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FECF0DB-6582-44E3-9773-F13E4ED9147C}" xr6:coauthVersionLast="47" xr6:coauthVersionMax="47" xr10:uidLastSave="{00000000-0000-0000-0000-000000000000}"/>
  <bookViews>
    <workbookView xWindow="-120" yWindow="-120" windowWidth="29040" windowHeight="15840" firstSheet="25" activeTab="25" xr2:uid="{00000000-000D-0000-FFFF-FFFF00000000}"/>
  </bookViews>
  <sheets>
    <sheet name="январь" sheetId="2" state="hidden" r:id="rId1"/>
    <sheet name="февраль " sheetId="3" state="hidden" r:id="rId2"/>
    <sheet name="март" sheetId="4" state="hidden" r:id="rId3"/>
    <sheet name="апрель" sheetId="5" state="hidden" r:id="rId4"/>
    <sheet name="май" sheetId="6" state="hidden" r:id="rId5"/>
    <sheet name="Июнь " sheetId="7" state="hidden" r:id="rId6"/>
    <sheet name="Июль" sheetId="8" state="hidden" r:id="rId7"/>
    <sheet name="Август" sheetId="9" state="hidden" r:id="rId8"/>
    <sheet name="Сентябрь" sheetId="10" state="hidden" r:id="rId9"/>
    <sheet name="октябрь" sheetId="11" state="hidden" r:id="rId10"/>
    <sheet name="ноябрь" sheetId="12" state="hidden" r:id="rId11"/>
    <sheet name="ноябрь (копия)" sheetId="13" state="hidden" r:id="rId12"/>
    <sheet name="декабрь" sheetId="14" state="hidden" r:id="rId13"/>
    <sheet name="январь 2025" sheetId="15" state="hidden" r:id="rId14"/>
    <sheet name="февраль 2025" sheetId="16" state="hidden" r:id="rId15"/>
    <sheet name="март 2025" sheetId="17" state="hidden" r:id="rId16"/>
    <sheet name="апрель 2025" sheetId="18" state="hidden" r:id="rId17"/>
    <sheet name="май 2025" sheetId="19" state="hidden" r:id="rId18"/>
    <sheet name="июнь 2025" sheetId="20" state="hidden" r:id="rId19"/>
    <sheet name="июль 2025" sheetId="21" state="hidden" r:id="rId20"/>
    <sheet name="август 2025" sheetId="22" state="hidden" r:id="rId21"/>
    <sheet name="сентябрь 2025" sheetId="23" state="hidden" r:id="rId22"/>
    <sheet name="октябрь 2025" sheetId="24" state="hidden" r:id="rId23"/>
    <sheet name="ноябрь 2025" sheetId="25" state="hidden" r:id="rId24"/>
    <sheet name="декабрь 2025" sheetId="26" state="hidden" r:id="rId25"/>
    <sheet name="октябрь 2026" sheetId="3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25" i="26" l="1"/>
  <c r="K225" i="26"/>
  <c r="J225" i="26"/>
  <c r="I225" i="26"/>
  <c r="H225" i="26"/>
  <c r="L220" i="26"/>
  <c r="K220" i="26"/>
  <c r="J220" i="26"/>
  <c r="I220" i="26"/>
  <c r="H220" i="26"/>
  <c r="L215" i="26"/>
  <c r="K215" i="26"/>
  <c r="J215" i="26"/>
  <c r="I215" i="26"/>
  <c r="H215" i="26"/>
  <c r="L208" i="26"/>
  <c r="K208" i="26"/>
  <c r="J208" i="26"/>
  <c r="I208" i="26"/>
  <c r="H208" i="26"/>
  <c r="L202" i="26"/>
  <c r="K202" i="26"/>
  <c r="J202" i="26"/>
  <c r="I202" i="26"/>
  <c r="H202" i="26"/>
  <c r="L196" i="26"/>
  <c r="K196" i="26"/>
  <c r="J196" i="26"/>
  <c r="I196" i="26"/>
  <c r="H196" i="26"/>
  <c r="L188" i="26"/>
  <c r="K188" i="26"/>
  <c r="J188" i="26"/>
  <c r="I188" i="26"/>
  <c r="H188" i="26"/>
  <c r="L181" i="26"/>
  <c r="K181" i="26"/>
  <c r="J181" i="26"/>
  <c r="I181" i="26"/>
  <c r="H181" i="26"/>
  <c r="L174" i="26"/>
  <c r="K174" i="26"/>
  <c r="J174" i="26"/>
  <c r="I174" i="26"/>
  <c r="H174" i="26"/>
  <c r="L167" i="26"/>
  <c r="K167" i="26"/>
  <c r="J167" i="26"/>
  <c r="I167" i="26"/>
  <c r="H167" i="26"/>
  <c r="L158" i="26"/>
  <c r="K158" i="26"/>
  <c r="J158" i="26"/>
  <c r="I158" i="26"/>
  <c r="H158" i="26"/>
  <c r="L151" i="26"/>
  <c r="K151" i="26"/>
  <c r="J151" i="26"/>
  <c r="I151" i="26"/>
  <c r="H151" i="26"/>
  <c r="L145" i="26"/>
  <c r="K145" i="26"/>
  <c r="J145" i="26"/>
  <c r="I145" i="26"/>
  <c r="H145" i="26"/>
  <c r="L136" i="26"/>
  <c r="K136" i="26"/>
  <c r="J136" i="26"/>
  <c r="I136" i="26"/>
  <c r="H136" i="26"/>
  <c r="L131" i="26"/>
  <c r="K131" i="26"/>
  <c r="J131" i="26"/>
  <c r="I131" i="26"/>
  <c r="H131" i="26"/>
  <c r="L124" i="26"/>
  <c r="K124" i="26"/>
  <c r="J124" i="26"/>
  <c r="I124" i="26"/>
  <c r="H124" i="26"/>
  <c r="L115" i="26"/>
  <c r="K115" i="26"/>
  <c r="J115" i="26"/>
  <c r="I115" i="26"/>
  <c r="H115" i="26"/>
  <c r="L111" i="26"/>
  <c r="K111" i="26"/>
  <c r="J111" i="26"/>
  <c r="I111" i="26"/>
  <c r="H111" i="26"/>
  <c r="L103" i="26"/>
  <c r="K103" i="26"/>
  <c r="J103" i="26"/>
  <c r="I103" i="26"/>
  <c r="H103" i="26"/>
  <c r="G103" i="26"/>
  <c r="C103" i="26"/>
  <c r="L86" i="26"/>
  <c r="K86" i="26"/>
  <c r="J86" i="26"/>
  <c r="I86" i="26"/>
  <c r="H86" i="26"/>
  <c r="G86" i="26"/>
  <c r="N86" i="26" s="1"/>
  <c r="C86" i="26"/>
  <c r="AC74" i="26"/>
  <c r="L64" i="26"/>
  <c r="K64" i="26"/>
  <c r="J64" i="26"/>
  <c r="I64" i="26"/>
  <c r="H64" i="26"/>
  <c r="G64" i="26"/>
  <c r="E64" i="26"/>
  <c r="E86" i="26" s="1"/>
  <c r="E103" i="26" s="1"/>
  <c r="C64" i="26"/>
  <c r="L49" i="26"/>
  <c r="K49" i="26"/>
  <c r="J49" i="26"/>
  <c r="I49" i="26"/>
  <c r="H49" i="26"/>
  <c r="G49" i="26"/>
  <c r="N49" i="26" s="1"/>
  <c r="E49" i="26"/>
  <c r="C49" i="26"/>
  <c r="AC47" i="26"/>
  <c r="L23" i="26"/>
  <c r="K23" i="26"/>
  <c r="I232" i="26" s="1"/>
  <c r="J23" i="26"/>
  <c r="I23" i="26"/>
  <c r="I228" i="26" s="1"/>
  <c r="H23" i="26"/>
  <c r="I231" i="26" s="1"/>
  <c r="G23" i="26"/>
  <c r="N23" i="26" s="1"/>
  <c r="C23" i="26"/>
  <c r="L196" i="25"/>
  <c r="K196" i="25"/>
  <c r="J196" i="25"/>
  <c r="I196" i="25"/>
  <c r="H196" i="25"/>
  <c r="L191" i="25"/>
  <c r="K191" i="25"/>
  <c r="J191" i="25"/>
  <c r="I191" i="25"/>
  <c r="H191" i="25"/>
  <c r="L186" i="25"/>
  <c r="K186" i="25"/>
  <c r="J186" i="25"/>
  <c r="I186" i="25"/>
  <c r="H186" i="25"/>
  <c r="L179" i="25"/>
  <c r="K179" i="25"/>
  <c r="J179" i="25"/>
  <c r="I179" i="25"/>
  <c r="H179" i="25"/>
  <c r="L173" i="25"/>
  <c r="K173" i="25"/>
  <c r="J173" i="25"/>
  <c r="I173" i="25"/>
  <c r="H173" i="25"/>
  <c r="L167" i="25"/>
  <c r="K167" i="25"/>
  <c r="J167" i="25"/>
  <c r="I167" i="25"/>
  <c r="H167" i="25"/>
  <c r="L161" i="25"/>
  <c r="K161" i="25"/>
  <c r="J161" i="25"/>
  <c r="I161" i="25"/>
  <c r="H161" i="25"/>
  <c r="L155" i="25"/>
  <c r="K155" i="25"/>
  <c r="J155" i="25"/>
  <c r="I155" i="25"/>
  <c r="H155" i="25"/>
  <c r="L149" i="25"/>
  <c r="K149" i="25"/>
  <c r="J149" i="25"/>
  <c r="I149" i="25"/>
  <c r="H149" i="25"/>
  <c r="L143" i="25"/>
  <c r="K143" i="25"/>
  <c r="J143" i="25"/>
  <c r="I143" i="25"/>
  <c r="H143" i="25"/>
  <c r="L133" i="25"/>
  <c r="K133" i="25"/>
  <c r="J133" i="25"/>
  <c r="I133" i="25"/>
  <c r="H133" i="25"/>
  <c r="L126" i="25"/>
  <c r="K126" i="25"/>
  <c r="J126" i="25"/>
  <c r="I126" i="25"/>
  <c r="H126" i="25"/>
  <c r="L120" i="25"/>
  <c r="K120" i="25"/>
  <c r="J120" i="25"/>
  <c r="I120" i="25"/>
  <c r="H120" i="25"/>
  <c r="L113" i="25"/>
  <c r="K113" i="25"/>
  <c r="J113" i="25"/>
  <c r="I113" i="25"/>
  <c r="H113" i="25"/>
  <c r="L104" i="25"/>
  <c r="K104" i="25"/>
  <c r="J104" i="25"/>
  <c r="I104" i="25"/>
  <c r="H104" i="25"/>
  <c r="L100" i="25"/>
  <c r="K100" i="25"/>
  <c r="J100" i="25"/>
  <c r="I100" i="25"/>
  <c r="H100" i="25"/>
  <c r="L95" i="25"/>
  <c r="K95" i="25"/>
  <c r="J95" i="25"/>
  <c r="I95" i="25"/>
  <c r="H95" i="25"/>
  <c r="G95" i="25"/>
  <c r="C95" i="25"/>
  <c r="L80" i="25"/>
  <c r="K80" i="25"/>
  <c r="J80" i="25"/>
  <c r="I80" i="25"/>
  <c r="H80" i="25"/>
  <c r="G80" i="25"/>
  <c r="N80" i="25" s="1"/>
  <c r="C80" i="25"/>
  <c r="AC71" i="25"/>
  <c r="L63" i="25"/>
  <c r="K63" i="25"/>
  <c r="J63" i="25"/>
  <c r="I63" i="25"/>
  <c r="H63" i="25"/>
  <c r="G63" i="25"/>
  <c r="E63" i="25"/>
  <c r="E80" i="25" s="1"/>
  <c r="E95" i="25" s="1"/>
  <c r="C63" i="25"/>
  <c r="L48" i="25"/>
  <c r="K48" i="25"/>
  <c r="J48" i="25"/>
  <c r="I48" i="25"/>
  <c r="H48" i="25"/>
  <c r="G48" i="25"/>
  <c r="N48" i="25" s="1"/>
  <c r="E48" i="25"/>
  <c r="C48" i="25"/>
  <c r="AC46" i="25"/>
  <c r="L24" i="25"/>
  <c r="K24" i="25"/>
  <c r="I203" i="25" s="1"/>
  <c r="J24" i="25"/>
  <c r="I24" i="25"/>
  <c r="I199" i="25" s="1"/>
  <c r="H24" i="25"/>
  <c r="I202" i="25" s="1"/>
  <c r="G24" i="25"/>
  <c r="N24" i="25" s="1"/>
  <c r="C24" i="25"/>
  <c r="L177" i="24"/>
  <c r="K177" i="24"/>
  <c r="J177" i="24"/>
  <c r="I177" i="24"/>
  <c r="H177" i="24"/>
  <c r="L172" i="24"/>
  <c r="K172" i="24"/>
  <c r="J172" i="24"/>
  <c r="I172" i="24"/>
  <c r="H172" i="24"/>
  <c r="L167" i="24"/>
  <c r="K167" i="24"/>
  <c r="J167" i="24"/>
  <c r="I167" i="24"/>
  <c r="H167" i="24"/>
  <c r="L160" i="24"/>
  <c r="K160" i="24"/>
  <c r="J160" i="24"/>
  <c r="I160" i="24"/>
  <c r="H160" i="24"/>
  <c r="L154" i="24"/>
  <c r="K154" i="24"/>
  <c r="J154" i="24"/>
  <c r="I154" i="24"/>
  <c r="H154" i="24"/>
  <c r="L148" i="24"/>
  <c r="K148" i="24"/>
  <c r="J148" i="24"/>
  <c r="I148" i="24"/>
  <c r="H148" i="24"/>
  <c r="L143" i="24"/>
  <c r="K143" i="24"/>
  <c r="J143" i="24"/>
  <c r="I143" i="24"/>
  <c r="H143" i="24"/>
  <c r="L135" i="24"/>
  <c r="K135" i="24"/>
  <c r="J135" i="24"/>
  <c r="I135" i="24"/>
  <c r="H135" i="24"/>
  <c r="L128" i="24"/>
  <c r="K128" i="24"/>
  <c r="J128" i="24"/>
  <c r="I128" i="24"/>
  <c r="H128" i="24"/>
  <c r="L122" i="24"/>
  <c r="K122" i="24"/>
  <c r="J122" i="24"/>
  <c r="I122" i="24"/>
  <c r="H122" i="24"/>
  <c r="L115" i="24"/>
  <c r="K115" i="24"/>
  <c r="J115" i="24"/>
  <c r="I115" i="24"/>
  <c r="H115" i="24"/>
  <c r="L106" i="24"/>
  <c r="K106" i="24"/>
  <c r="J106" i="24"/>
  <c r="I106" i="24"/>
  <c r="H106" i="24"/>
  <c r="L102" i="24"/>
  <c r="K102" i="24"/>
  <c r="J102" i="24"/>
  <c r="I102" i="24"/>
  <c r="H102" i="24"/>
  <c r="L97" i="24"/>
  <c r="K97" i="24"/>
  <c r="J97" i="24"/>
  <c r="I97" i="24"/>
  <c r="H97" i="24"/>
  <c r="G97" i="24"/>
  <c r="L79" i="24"/>
  <c r="K79" i="24"/>
  <c r="J79" i="24"/>
  <c r="I79" i="24"/>
  <c r="H79" i="24"/>
  <c r="M79" i="24" s="1"/>
  <c r="N79" i="24" s="1"/>
  <c r="G79" i="24"/>
  <c r="AC70" i="24"/>
  <c r="L62" i="24"/>
  <c r="K62" i="24"/>
  <c r="I62" i="24"/>
  <c r="H62" i="24"/>
  <c r="G62" i="24"/>
  <c r="E62" i="24"/>
  <c r="E79" i="24" s="1"/>
  <c r="E97" i="24" s="1"/>
  <c r="C62" i="24"/>
  <c r="C79" i="24" s="1"/>
  <c r="C97" i="24" s="1"/>
  <c r="L47" i="24"/>
  <c r="K47" i="24"/>
  <c r="J47" i="24"/>
  <c r="I47" i="24"/>
  <c r="H47" i="24"/>
  <c r="M47" i="24" s="1"/>
  <c r="N47" i="24" s="1"/>
  <c r="G47" i="24"/>
  <c r="E47" i="24"/>
  <c r="C47" i="24"/>
  <c r="AC45" i="24"/>
  <c r="L23" i="24"/>
  <c r="K23" i="24"/>
  <c r="J23" i="24"/>
  <c r="I23" i="24"/>
  <c r="I180" i="24" s="1"/>
  <c r="H23" i="24"/>
  <c r="M23" i="24" s="1"/>
  <c r="N23" i="24" s="1"/>
  <c r="G23" i="24"/>
  <c r="C23" i="24"/>
  <c r="I173" i="23"/>
  <c r="I176" i="23" s="1"/>
  <c r="H173" i="23"/>
  <c r="I178" i="23" s="1"/>
  <c r="I168" i="23"/>
  <c r="H168" i="23"/>
  <c r="I163" i="23"/>
  <c r="H163" i="23"/>
  <c r="I156" i="23"/>
  <c r="H156" i="23"/>
  <c r="I150" i="23"/>
  <c r="H150" i="23"/>
  <c r="I144" i="23"/>
  <c r="H144" i="23"/>
  <c r="I139" i="23"/>
  <c r="H139" i="23"/>
  <c r="I131" i="23"/>
  <c r="H131" i="23"/>
  <c r="I124" i="23"/>
  <c r="H124" i="23"/>
  <c r="I118" i="23"/>
  <c r="H118" i="23"/>
  <c r="I111" i="23"/>
  <c r="H111" i="23"/>
  <c r="I103" i="23"/>
  <c r="H103" i="23"/>
  <c r="I100" i="23"/>
  <c r="H100" i="23"/>
  <c r="J78" i="23"/>
  <c r="I78" i="23"/>
  <c r="H78" i="23"/>
  <c r="K78" i="23" s="1"/>
  <c r="L78" i="23" s="1"/>
  <c r="G78" i="23"/>
  <c r="E78" i="23"/>
  <c r="C78" i="23"/>
  <c r="J47" i="23"/>
  <c r="I47" i="23"/>
  <c r="H47" i="23"/>
  <c r="K47" i="23" s="1"/>
  <c r="L47" i="23" s="1"/>
  <c r="G47" i="23"/>
  <c r="E47" i="23"/>
  <c r="C47" i="23"/>
  <c r="J23" i="23"/>
  <c r="I23" i="23"/>
  <c r="H23" i="23"/>
  <c r="K23" i="23" s="1"/>
  <c r="L23" i="23" s="1"/>
  <c r="G23" i="23"/>
  <c r="C23" i="23"/>
  <c r="I159" i="22"/>
  <c r="I162" i="22" s="1"/>
  <c r="H159" i="22"/>
  <c r="I164" i="22" s="1"/>
  <c r="I154" i="22"/>
  <c r="H154" i="22"/>
  <c r="I149" i="22"/>
  <c r="H149" i="22"/>
  <c r="I142" i="22"/>
  <c r="H142" i="22"/>
  <c r="I136" i="22"/>
  <c r="H136" i="22"/>
  <c r="I130" i="22"/>
  <c r="H130" i="22"/>
  <c r="I125" i="22"/>
  <c r="H125" i="22"/>
  <c r="I117" i="22"/>
  <c r="H117" i="22"/>
  <c r="I110" i="22"/>
  <c r="H110" i="22"/>
  <c r="I104" i="22"/>
  <c r="H104" i="22"/>
  <c r="I97" i="22"/>
  <c r="H97" i="22"/>
  <c r="I89" i="22"/>
  <c r="H89" i="22"/>
  <c r="I86" i="22"/>
  <c r="H86" i="22"/>
  <c r="J73" i="22"/>
  <c r="I73" i="22"/>
  <c r="H73" i="22"/>
  <c r="K73" i="22" s="1"/>
  <c r="L73" i="22" s="1"/>
  <c r="G73" i="22"/>
  <c r="E73" i="22"/>
  <c r="C73" i="22"/>
  <c r="J47" i="22"/>
  <c r="I47" i="22"/>
  <c r="H47" i="22"/>
  <c r="K47" i="22" s="1"/>
  <c r="L47" i="22" s="1"/>
  <c r="G47" i="22"/>
  <c r="E47" i="22"/>
  <c r="C47" i="22"/>
  <c r="J23" i="22"/>
  <c r="I23" i="22"/>
  <c r="H23" i="22"/>
  <c r="K23" i="22" s="1"/>
  <c r="L23" i="22" s="1"/>
  <c r="G23" i="22"/>
  <c r="C23" i="22"/>
  <c r="I159" i="21"/>
  <c r="I162" i="21" s="1"/>
  <c r="H159" i="21"/>
  <c r="I164" i="21" s="1"/>
  <c r="I154" i="21"/>
  <c r="H154" i="21"/>
  <c r="I149" i="21"/>
  <c r="H149" i="21"/>
  <c r="I142" i="21"/>
  <c r="H142" i="21"/>
  <c r="I136" i="21"/>
  <c r="H136" i="21"/>
  <c r="I130" i="21"/>
  <c r="H130" i="21"/>
  <c r="I125" i="21"/>
  <c r="H125" i="21"/>
  <c r="I117" i="21"/>
  <c r="H117" i="21"/>
  <c r="I110" i="21"/>
  <c r="H110" i="21"/>
  <c r="I104" i="21"/>
  <c r="H104" i="21"/>
  <c r="I97" i="21"/>
  <c r="H97" i="21"/>
  <c r="I89" i="21"/>
  <c r="H89" i="21"/>
  <c r="I86" i="21"/>
  <c r="H86" i="21"/>
  <c r="J73" i="21"/>
  <c r="I73" i="21"/>
  <c r="H73" i="21"/>
  <c r="K73" i="21" s="1"/>
  <c r="L73" i="21" s="1"/>
  <c r="G73" i="21"/>
  <c r="E73" i="21"/>
  <c r="C73" i="21"/>
  <c r="J47" i="21"/>
  <c r="I47" i="21"/>
  <c r="H47" i="21"/>
  <c r="K47" i="21" s="1"/>
  <c r="L47" i="21" s="1"/>
  <c r="G47" i="21"/>
  <c r="E47" i="21"/>
  <c r="C47" i="21"/>
  <c r="J23" i="21"/>
  <c r="I23" i="21"/>
  <c r="H23" i="21"/>
  <c r="K23" i="21" s="1"/>
  <c r="L23" i="21" s="1"/>
  <c r="G23" i="21"/>
  <c r="C23" i="21"/>
  <c r="I151" i="20"/>
  <c r="I154" i="20" s="1"/>
  <c r="H151" i="20"/>
  <c r="I146" i="20"/>
  <c r="H146" i="20"/>
  <c r="I141" i="20"/>
  <c r="H141" i="20"/>
  <c r="I134" i="20"/>
  <c r="H134" i="20"/>
  <c r="I128" i="20"/>
  <c r="H128" i="20"/>
  <c r="I122" i="20"/>
  <c r="H122" i="20"/>
  <c r="I116" i="20"/>
  <c r="H116" i="20"/>
  <c r="I109" i="20"/>
  <c r="H109" i="20"/>
  <c r="I103" i="20"/>
  <c r="H103" i="20"/>
  <c r="I96" i="20"/>
  <c r="H91" i="20"/>
  <c r="H96" i="20" s="1"/>
  <c r="I89" i="20"/>
  <c r="H89" i="20"/>
  <c r="I86" i="20"/>
  <c r="H86" i="20"/>
  <c r="J73" i="20"/>
  <c r="I73" i="20"/>
  <c r="H73" i="20"/>
  <c r="K73" i="20" s="1"/>
  <c r="L73" i="20" s="1"/>
  <c r="G73" i="20"/>
  <c r="E73" i="20"/>
  <c r="C73" i="20"/>
  <c r="J47" i="20"/>
  <c r="I47" i="20"/>
  <c r="H47" i="20"/>
  <c r="K47" i="20" s="1"/>
  <c r="L47" i="20" s="1"/>
  <c r="G47" i="20"/>
  <c r="E47" i="20"/>
  <c r="C47" i="20"/>
  <c r="J23" i="20"/>
  <c r="I23" i="20"/>
  <c r="H23" i="20"/>
  <c r="K23" i="20" s="1"/>
  <c r="L23" i="20" s="1"/>
  <c r="G23" i="20"/>
  <c r="C23" i="20"/>
  <c r="I151" i="19"/>
  <c r="I154" i="19" s="1"/>
  <c r="H151" i="19"/>
  <c r="I146" i="19"/>
  <c r="H146" i="19"/>
  <c r="I141" i="19"/>
  <c r="H141" i="19"/>
  <c r="I134" i="19"/>
  <c r="H134" i="19"/>
  <c r="I128" i="19"/>
  <c r="H128" i="19"/>
  <c r="I122" i="19"/>
  <c r="H122" i="19"/>
  <c r="I116" i="19"/>
  <c r="H116" i="19"/>
  <c r="I109" i="19"/>
  <c r="H109" i="19"/>
  <c r="I103" i="19"/>
  <c r="H103" i="19"/>
  <c r="I96" i="19"/>
  <c r="H91" i="19"/>
  <c r="H96" i="19" s="1"/>
  <c r="I89" i="19"/>
  <c r="H89" i="19"/>
  <c r="I86" i="19"/>
  <c r="H86" i="19"/>
  <c r="J73" i="19"/>
  <c r="I73" i="19"/>
  <c r="H73" i="19"/>
  <c r="K73" i="19" s="1"/>
  <c r="L73" i="19" s="1"/>
  <c r="G73" i="19"/>
  <c r="E73" i="19"/>
  <c r="C73" i="19"/>
  <c r="J47" i="19"/>
  <c r="I47" i="19"/>
  <c r="H47" i="19"/>
  <c r="K47" i="19" s="1"/>
  <c r="L47" i="19" s="1"/>
  <c r="G47" i="19"/>
  <c r="E47" i="19"/>
  <c r="C47" i="19"/>
  <c r="J23" i="19"/>
  <c r="I23" i="19"/>
  <c r="H23" i="19"/>
  <c r="K23" i="19" s="1"/>
  <c r="L23" i="19" s="1"/>
  <c r="G23" i="19"/>
  <c r="C23" i="19"/>
  <c r="I151" i="18"/>
  <c r="I154" i="18" s="1"/>
  <c r="H151" i="18"/>
  <c r="I156" i="18" s="1"/>
  <c r="I146" i="18"/>
  <c r="H146" i="18"/>
  <c r="I141" i="18"/>
  <c r="H141" i="18"/>
  <c r="I134" i="18"/>
  <c r="H134" i="18"/>
  <c r="I128" i="18"/>
  <c r="H128" i="18"/>
  <c r="I122" i="18"/>
  <c r="H122" i="18"/>
  <c r="I116" i="18"/>
  <c r="H116" i="18"/>
  <c r="I109" i="18"/>
  <c r="H109" i="18"/>
  <c r="I103" i="18"/>
  <c r="H103" i="18"/>
  <c r="I96" i="18"/>
  <c r="H91" i="18"/>
  <c r="H96" i="18" s="1"/>
  <c r="I89" i="18"/>
  <c r="H89" i="18"/>
  <c r="I86" i="18"/>
  <c r="H86" i="18"/>
  <c r="J73" i="18"/>
  <c r="I73" i="18"/>
  <c r="H73" i="18"/>
  <c r="K73" i="18" s="1"/>
  <c r="L73" i="18" s="1"/>
  <c r="G73" i="18"/>
  <c r="E73" i="18"/>
  <c r="C73" i="18"/>
  <c r="J47" i="18"/>
  <c r="I47" i="18"/>
  <c r="H47" i="18"/>
  <c r="K47" i="18" s="1"/>
  <c r="L47" i="18" s="1"/>
  <c r="G47" i="18"/>
  <c r="E47" i="18"/>
  <c r="C47" i="18"/>
  <c r="J23" i="18"/>
  <c r="I23" i="18"/>
  <c r="H23" i="18"/>
  <c r="K23" i="18" s="1"/>
  <c r="L23" i="18" s="1"/>
  <c r="G23" i="18"/>
  <c r="C23" i="18"/>
  <c r="I147" i="17"/>
  <c r="I150" i="17" s="1"/>
  <c r="H147" i="17"/>
  <c r="I142" i="17"/>
  <c r="H142" i="17"/>
  <c r="I137" i="17"/>
  <c r="H137" i="17"/>
  <c r="I130" i="17"/>
  <c r="H130" i="17"/>
  <c r="I124" i="17"/>
  <c r="H124" i="17"/>
  <c r="I118" i="17"/>
  <c r="H118" i="17"/>
  <c r="I112" i="17"/>
  <c r="H112" i="17"/>
  <c r="I105" i="17"/>
  <c r="H105" i="17"/>
  <c r="I99" i="17"/>
  <c r="H99" i="17"/>
  <c r="I92" i="17"/>
  <c r="H87" i="17"/>
  <c r="H92" i="17" s="1"/>
  <c r="I85" i="17"/>
  <c r="H85" i="17"/>
  <c r="I82" i="17"/>
  <c r="H82" i="17"/>
  <c r="J69" i="17"/>
  <c r="I69" i="17"/>
  <c r="H69" i="17"/>
  <c r="K69" i="17" s="1"/>
  <c r="L69" i="17" s="1"/>
  <c r="G69" i="17"/>
  <c r="E69" i="17"/>
  <c r="C69" i="17"/>
  <c r="J47" i="17"/>
  <c r="I47" i="17"/>
  <c r="H47" i="17"/>
  <c r="K47" i="17" s="1"/>
  <c r="L47" i="17" s="1"/>
  <c r="G47" i="17"/>
  <c r="E47" i="17"/>
  <c r="C47" i="17"/>
  <c r="J23" i="17"/>
  <c r="I23" i="17"/>
  <c r="H23" i="17"/>
  <c r="K23" i="17" s="1"/>
  <c r="L23" i="17" s="1"/>
  <c r="G23" i="17"/>
  <c r="C23" i="17"/>
  <c r="I147" i="16"/>
  <c r="I150" i="16" s="1"/>
  <c r="H147" i="16"/>
  <c r="I142" i="16"/>
  <c r="H142" i="16"/>
  <c r="I137" i="16"/>
  <c r="H137" i="16"/>
  <c r="I130" i="16"/>
  <c r="H130" i="16"/>
  <c r="I124" i="16"/>
  <c r="H124" i="16"/>
  <c r="I118" i="16"/>
  <c r="H118" i="16"/>
  <c r="I112" i="16"/>
  <c r="H112" i="16"/>
  <c r="I105" i="16"/>
  <c r="H105" i="16"/>
  <c r="I99" i="16"/>
  <c r="H99" i="16"/>
  <c r="I92" i="16"/>
  <c r="H87" i="16"/>
  <c r="H92" i="16" s="1"/>
  <c r="I85" i="16"/>
  <c r="H85" i="16"/>
  <c r="I82" i="16"/>
  <c r="H82" i="16"/>
  <c r="J69" i="16"/>
  <c r="I69" i="16"/>
  <c r="H69" i="16"/>
  <c r="K69" i="16" s="1"/>
  <c r="L69" i="16" s="1"/>
  <c r="G69" i="16"/>
  <c r="E69" i="16"/>
  <c r="C69" i="16"/>
  <c r="J47" i="16"/>
  <c r="I47" i="16"/>
  <c r="H47" i="16"/>
  <c r="K47" i="16" s="1"/>
  <c r="L47" i="16" s="1"/>
  <c r="G47" i="16"/>
  <c r="E47" i="16"/>
  <c r="C47" i="16"/>
  <c r="J23" i="16"/>
  <c r="I23" i="16"/>
  <c r="H23" i="16"/>
  <c r="K23" i="16" s="1"/>
  <c r="L23" i="16" s="1"/>
  <c r="G23" i="16"/>
  <c r="C23" i="16"/>
  <c r="I147" i="15"/>
  <c r="I150" i="15" s="1"/>
  <c r="H147" i="15"/>
  <c r="I142" i="15"/>
  <c r="H142" i="15"/>
  <c r="I137" i="15"/>
  <c r="H137" i="15"/>
  <c r="I130" i="15"/>
  <c r="H130" i="15"/>
  <c r="I124" i="15"/>
  <c r="H124" i="15"/>
  <c r="I118" i="15"/>
  <c r="H118" i="15"/>
  <c r="I112" i="15"/>
  <c r="H112" i="15"/>
  <c r="I105" i="15"/>
  <c r="H105" i="15"/>
  <c r="I99" i="15"/>
  <c r="H99" i="15"/>
  <c r="I92" i="15"/>
  <c r="H87" i="15"/>
  <c r="H92" i="15" s="1"/>
  <c r="I85" i="15"/>
  <c r="H85" i="15"/>
  <c r="I82" i="15"/>
  <c r="H82" i="15"/>
  <c r="J69" i="15"/>
  <c r="I69" i="15"/>
  <c r="H69" i="15"/>
  <c r="K69" i="15" s="1"/>
  <c r="G69" i="15"/>
  <c r="E69" i="15"/>
  <c r="C69" i="15"/>
  <c r="J47" i="15"/>
  <c r="I47" i="15"/>
  <c r="H47" i="15"/>
  <c r="K47" i="15" s="1"/>
  <c r="G47" i="15"/>
  <c r="E47" i="15"/>
  <c r="C47" i="15"/>
  <c r="J23" i="15"/>
  <c r="I23" i="15"/>
  <c r="H23" i="15"/>
  <c r="K23" i="15" s="1"/>
  <c r="G23" i="15"/>
  <c r="C23" i="15"/>
  <c r="H133" i="14"/>
  <c r="H128" i="14"/>
  <c r="H122" i="14"/>
  <c r="H115" i="14"/>
  <c r="H108" i="14"/>
  <c r="H100" i="14"/>
  <c r="H95" i="14"/>
  <c r="H90" i="14"/>
  <c r="H82" i="14"/>
  <c r="H79" i="14"/>
  <c r="H77" i="14"/>
  <c r="H75" i="14"/>
  <c r="H72" i="14"/>
  <c r="H67" i="14"/>
  <c r="C67" i="14"/>
  <c r="I47" i="14"/>
  <c r="G47" i="14"/>
  <c r="E47" i="14"/>
  <c r="C47" i="14"/>
  <c r="H35" i="14"/>
  <c r="H47" i="14" s="1"/>
  <c r="J47" i="14" s="1"/>
  <c r="I23" i="14"/>
  <c r="G23" i="14"/>
  <c r="C23" i="14"/>
  <c r="H19" i="14"/>
  <c r="H16" i="14"/>
  <c r="H23" i="14" s="1"/>
  <c r="J23" i="14" s="1"/>
  <c r="H10" i="14"/>
  <c r="H133" i="13"/>
  <c r="H127" i="13"/>
  <c r="H121" i="13"/>
  <c r="H114" i="13"/>
  <c r="H108" i="13"/>
  <c r="H100" i="13"/>
  <c r="H95" i="13"/>
  <c r="H90" i="13"/>
  <c r="H79" i="13"/>
  <c r="H82" i="13" s="1"/>
  <c r="H77" i="13"/>
  <c r="H75" i="13"/>
  <c r="H72" i="13"/>
  <c r="H67" i="13"/>
  <c r="C67" i="13"/>
  <c r="I47" i="13"/>
  <c r="G47" i="13"/>
  <c r="E47" i="13"/>
  <c r="C47" i="13"/>
  <c r="H35" i="13"/>
  <c r="H47" i="13" s="1"/>
  <c r="J47" i="13" s="1"/>
  <c r="I23" i="13"/>
  <c r="G23" i="13"/>
  <c r="C23" i="13"/>
  <c r="H19" i="13"/>
  <c r="H16" i="13"/>
  <c r="H10" i="13"/>
  <c r="H23" i="13" s="1"/>
  <c r="J23" i="13" s="1"/>
  <c r="I136" i="13" s="1"/>
  <c r="H126" i="12"/>
  <c r="H120" i="12"/>
  <c r="H114" i="12"/>
  <c r="H108" i="12"/>
  <c r="H102" i="12"/>
  <c r="H94" i="12"/>
  <c r="H89" i="12"/>
  <c r="H84" i="12"/>
  <c r="H73" i="12"/>
  <c r="H71" i="12"/>
  <c r="H76" i="12" s="1"/>
  <c r="H69" i="12"/>
  <c r="H66" i="12"/>
  <c r="H62" i="12"/>
  <c r="C62" i="12"/>
  <c r="I43" i="12"/>
  <c r="G43" i="12"/>
  <c r="E43" i="12"/>
  <c r="C43" i="12"/>
  <c r="H30" i="12"/>
  <c r="H43" i="12" s="1"/>
  <c r="J43" i="12" s="1"/>
  <c r="I18" i="12"/>
  <c r="G18" i="12"/>
  <c r="C18" i="12"/>
  <c r="H12" i="12"/>
  <c r="H11" i="12"/>
  <c r="H7" i="12"/>
  <c r="H18" i="12" s="1"/>
  <c r="J18" i="12" s="1"/>
  <c r="H123" i="11"/>
  <c r="H117" i="11"/>
  <c r="H111" i="11"/>
  <c r="H105" i="11"/>
  <c r="H99" i="11"/>
  <c r="H92" i="11"/>
  <c r="H83" i="11"/>
  <c r="H78" i="11"/>
  <c r="H73" i="11"/>
  <c r="H62" i="11"/>
  <c r="H60" i="11"/>
  <c r="H65" i="11" s="1"/>
  <c r="H58" i="11"/>
  <c r="H55" i="11"/>
  <c r="I43" i="11"/>
  <c r="G43" i="11"/>
  <c r="E43" i="11"/>
  <c r="C43" i="11"/>
  <c r="H34" i="11"/>
  <c r="H30" i="11"/>
  <c r="H43" i="11" s="1"/>
  <c r="J43" i="11" s="1"/>
  <c r="I18" i="11"/>
  <c r="G18" i="11"/>
  <c r="H12" i="11"/>
  <c r="H11" i="11"/>
  <c r="H7" i="11"/>
  <c r="H18" i="11" s="1"/>
  <c r="J18" i="11" s="1"/>
  <c r="H113" i="10"/>
  <c r="H107" i="10"/>
  <c r="H101" i="10"/>
  <c r="H95" i="10"/>
  <c r="H89" i="10"/>
  <c r="H82" i="10"/>
  <c r="H72" i="10"/>
  <c r="H71" i="10"/>
  <c r="H73" i="10" s="1"/>
  <c r="H64" i="10"/>
  <c r="H63" i="10"/>
  <c r="H62" i="10"/>
  <c r="H61" i="10"/>
  <c r="H65" i="10" s="1"/>
  <c r="H60" i="10"/>
  <c r="H58" i="10"/>
  <c r="H55" i="10"/>
  <c r="I43" i="10"/>
  <c r="G43" i="10"/>
  <c r="E43" i="10"/>
  <c r="C43" i="10"/>
  <c r="H34" i="10"/>
  <c r="H30" i="10"/>
  <c r="H43" i="10" s="1"/>
  <c r="J43" i="10" s="1"/>
  <c r="I18" i="10"/>
  <c r="G18" i="10"/>
  <c r="H12" i="10"/>
  <c r="H11" i="10"/>
  <c r="H7" i="10"/>
  <c r="H18" i="10" s="1"/>
  <c r="J18" i="10" s="1"/>
  <c r="I116" i="10" s="1"/>
  <c r="H111" i="9"/>
  <c r="H105" i="9"/>
  <c r="H99" i="9"/>
  <c r="H93" i="9"/>
  <c r="H87" i="9"/>
  <c r="H80" i="9"/>
  <c r="H65" i="9"/>
  <c r="H64" i="9"/>
  <c r="H66" i="9" s="1"/>
  <c r="H57" i="9"/>
  <c r="H56" i="9"/>
  <c r="H55" i="9"/>
  <c r="H54" i="9"/>
  <c r="H53" i="9"/>
  <c r="H58" i="9" s="1"/>
  <c r="H51" i="9"/>
  <c r="H48" i="9"/>
  <c r="H42" i="9"/>
  <c r="I39" i="9"/>
  <c r="G39" i="9"/>
  <c r="E39" i="9"/>
  <c r="C39" i="9"/>
  <c r="H28" i="9"/>
  <c r="H27" i="9"/>
  <c r="H26" i="9"/>
  <c r="H39" i="9" s="1"/>
  <c r="J39" i="9" s="1"/>
  <c r="P22" i="9"/>
  <c r="H18" i="9"/>
  <c r="H17" i="9"/>
  <c r="I15" i="9"/>
  <c r="G15" i="9"/>
  <c r="C15" i="9"/>
  <c r="H14" i="9"/>
  <c r="H8" i="9"/>
  <c r="H7" i="9"/>
  <c r="H6" i="9"/>
  <c r="H5" i="9"/>
  <c r="H15" i="9" s="1"/>
  <c r="J15" i="9" s="1"/>
  <c r="H70" i="8"/>
  <c r="H63" i="8"/>
  <c r="H62" i="8"/>
  <c r="H64" i="8" s="1"/>
  <c r="H59" i="8"/>
  <c r="H58" i="8"/>
  <c r="H60" i="8" s="1"/>
  <c r="H55" i="8"/>
  <c r="H54" i="8"/>
  <c r="H53" i="8"/>
  <c r="H52" i="8"/>
  <c r="H51" i="8"/>
  <c r="H56" i="8" s="1"/>
  <c r="H48" i="8"/>
  <c r="H49" i="8" s="1"/>
  <c r="H45" i="8"/>
  <c r="H46" i="8" s="1"/>
  <c r="H42" i="8"/>
  <c r="H41" i="8"/>
  <c r="H40" i="8"/>
  <c r="H39" i="8"/>
  <c r="I37" i="8"/>
  <c r="G37" i="8"/>
  <c r="E37" i="8"/>
  <c r="C37" i="8"/>
  <c r="H36" i="8"/>
  <c r="H31" i="8"/>
  <c r="H30" i="8"/>
  <c r="H29" i="8"/>
  <c r="H28" i="8"/>
  <c r="H37" i="8" s="1"/>
  <c r="J37" i="8" s="1"/>
  <c r="P24" i="8"/>
  <c r="H23" i="8"/>
  <c r="H22" i="8"/>
  <c r="H21" i="8"/>
  <c r="H20" i="8"/>
  <c r="H19" i="8"/>
  <c r="I16" i="8"/>
  <c r="G16" i="8"/>
  <c r="C16" i="8"/>
  <c r="H15" i="8"/>
  <c r="H11" i="8"/>
  <c r="H10" i="8"/>
  <c r="H9" i="8"/>
  <c r="H8" i="8"/>
  <c r="H7" i="8"/>
  <c r="H6" i="8"/>
  <c r="H5" i="8"/>
  <c r="H16" i="8" s="1"/>
  <c r="J16" i="8" s="1"/>
  <c r="J71" i="8" s="1"/>
  <c r="F68" i="7"/>
  <c r="F63" i="7"/>
  <c r="I64" i="7" s="1"/>
  <c r="I36" i="7"/>
  <c r="G36" i="7"/>
  <c r="F36" i="7"/>
  <c r="E36" i="7"/>
  <c r="C36" i="7"/>
  <c r="I18" i="7"/>
  <c r="H18" i="7"/>
  <c r="G18" i="7"/>
  <c r="F18" i="7"/>
  <c r="C18" i="7"/>
  <c r="F61" i="6"/>
  <c r="H34" i="6"/>
  <c r="G34" i="6"/>
  <c r="F34" i="6"/>
  <c r="I34" i="6" s="1"/>
  <c r="I63" i="6" s="1"/>
  <c r="E34" i="6"/>
  <c r="C34" i="6"/>
  <c r="H17" i="6"/>
  <c r="G17" i="6"/>
  <c r="F17" i="6"/>
  <c r="I17" i="6" s="1"/>
  <c r="C17" i="6"/>
  <c r="G47" i="5"/>
  <c r="F47" i="5"/>
  <c r="D47" i="5"/>
  <c r="C47" i="5"/>
  <c r="H24" i="5"/>
  <c r="G24" i="5"/>
  <c r="F24" i="5"/>
  <c r="D24" i="5"/>
  <c r="C24" i="5"/>
  <c r="G47" i="4"/>
  <c r="F47" i="4"/>
  <c r="D47" i="4"/>
  <c r="C47" i="4"/>
  <c r="H24" i="4"/>
  <c r="G24" i="4"/>
  <c r="F24" i="4"/>
  <c r="D24" i="4"/>
  <c r="C24" i="4"/>
  <c r="K9" i="4"/>
  <c r="L4" i="4"/>
  <c r="L3" i="4"/>
  <c r="L9" i="4" s="1"/>
  <c r="E103" i="3"/>
  <c r="G47" i="3"/>
  <c r="F47" i="3"/>
  <c r="D47" i="3"/>
  <c r="C47" i="3"/>
  <c r="H24" i="3"/>
  <c r="G24" i="3"/>
  <c r="F24" i="3"/>
  <c r="D24" i="3"/>
  <c r="C24" i="3"/>
  <c r="L9" i="3"/>
  <c r="L10" i="3" s="1"/>
  <c r="K9" i="3"/>
  <c r="L4" i="3"/>
  <c r="L3" i="3"/>
  <c r="E107" i="2"/>
  <c r="G51" i="2"/>
  <c r="F51" i="2"/>
  <c r="D51" i="2"/>
  <c r="C51" i="2"/>
  <c r="H24" i="2"/>
  <c r="G24" i="2"/>
  <c r="F24" i="2"/>
  <c r="D24" i="2"/>
  <c r="C24" i="2"/>
  <c r="K9" i="2"/>
  <c r="L8" i="2"/>
  <c r="L4" i="2"/>
  <c r="L3" i="2"/>
  <c r="L9" i="2" s="1"/>
  <c r="L10" i="2" l="1"/>
  <c r="M9" i="2"/>
  <c r="L10" i="4"/>
  <c r="M9" i="4"/>
  <c r="I136" i="14"/>
  <c r="I152" i="15"/>
  <c r="I156" i="19"/>
  <c r="I126" i="11"/>
  <c r="I129" i="12"/>
  <c r="I152" i="16"/>
  <c r="I156" i="20"/>
  <c r="I152" i="17"/>
  <c r="I182" i="24"/>
  <c r="M9" i="3"/>
  <c r="P33" i="16" l="1"/>
  <c r="P32" i="16"/>
  <c r="O33" i="15"/>
  <c r="O32" i="15"/>
  <c r="P33" i="17"/>
  <c r="P32" i="17"/>
</calcChain>
</file>

<file path=xl/sharedStrings.xml><?xml version="1.0" encoding="utf-8"?>
<sst xmlns="http://schemas.openxmlformats.org/spreadsheetml/2006/main" count="9035" uniqueCount="1348">
  <si>
    <t xml:space="preserve">  </t>
  </si>
  <si>
    <t>март</t>
  </si>
  <si>
    <t>Январь</t>
  </si>
  <si>
    <t xml:space="preserve">итого </t>
  </si>
  <si>
    <t>KPI</t>
  </si>
  <si>
    <t>№</t>
  </si>
  <si>
    <t>февраль</t>
  </si>
  <si>
    <t>Экран/ Ботаническая сторона А</t>
  </si>
  <si>
    <t>Актуально</t>
  </si>
  <si>
    <t>кол-во секунд</t>
  </si>
  <si>
    <t>Период размещения</t>
  </si>
  <si>
    <t>Кол-во дней</t>
  </si>
  <si>
    <t>Оплачено живыми  $</t>
  </si>
  <si>
    <t>Оплачено по ВЗ</t>
  </si>
  <si>
    <t>Поверхность</t>
  </si>
  <si>
    <t>План</t>
  </si>
  <si>
    <t>Факт</t>
  </si>
  <si>
    <t xml:space="preserve">РедБокс  </t>
  </si>
  <si>
    <t>пока есть место</t>
  </si>
  <si>
    <t>Ботаническая</t>
  </si>
  <si>
    <t>Тайга</t>
  </si>
  <si>
    <t>Бурятия за президента</t>
  </si>
  <si>
    <t>Борсоева</t>
  </si>
  <si>
    <t xml:space="preserve">Абсолют </t>
  </si>
  <si>
    <t>01.02-29.02</t>
  </si>
  <si>
    <t>Сити формат А</t>
  </si>
  <si>
    <t xml:space="preserve">РЦМП </t>
  </si>
  <si>
    <t>01.03-31.03</t>
  </si>
  <si>
    <t>Сити формат Б</t>
  </si>
  <si>
    <t xml:space="preserve">Титан </t>
  </si>
  <si>
    <t xml:space="preserve">май </t>
  </si>
  <si>
    <t>Гусиноозерск А</t>
  </si>
  <si>
    <t>01.12 - 31.12</t>
  </si>
  <si>
    <t>Машторг</t>
  </si>
  <si>
    <t>Гусиноозерск Б</t>
  </si>
  <si>
    <t>САРМА</t>
  </si>
  <si>
    <t>Авиазавод</t>
  </si>
  <si>
    <t>19.01-31.01</t>
  </si>
  <si>
    <t>с февраля</t>
  </si>
  <si>
    <t>Радио Ирина Диваева</t>
  </si>
  <si>
    <t>01.03-14.03</t>
  </si>
  <si>
    <t>Титан ТЭ</t>
  </si>
  <si>
    <t>Серебр мода</t>
  </si>
  <si>
    <t>02.03-08.03</t>
  </si>
  <si>
    <t>АригУс</t>
  </si>
  <si>
    <t>Сибкасса</t>
  </si>
  <si>
    <t>в январе позвонить</t>
  </si>
  <si>
    <t>Зубной</t>
  </si>
  <si>
    <t>01.03-12.03</t>
  </si>
  <si>
    <t>10-23.02</t>
  </si>
  <si>
    <t>Титан Байкальская рыбалка</t>
  </si>
  <si>
    <t>01.12-31.12</t>
  </si>
  <si>
    <t>19.01- пока есть место</t>
  </si>
  <si>
    <t xml:space="preserve">
</t>
  </si>
  <si>
    <t>01.02-14.02</t>
  </si>
  <si>
    <t>БРИОП</t>
  </si>
  <si>
    <t>11.03-25.03</t>
  </si>
  <si>
    <t>Минспорт</t>
  </si>
  <si>
    <t>01.01-31.01</t>
  </si>
  <si>
    <t>Харитонов КПРФ</t>
  </si>
  <si>
    <t>01.03-17.03</t>
  </si>
  <si>
    <t>АТВ</t>
  </si>
  <si>
    <t>07.03-17.03</t>
  </si>
  <si>
    <t>15.01-14.03</t>
  </si>
  <si>
    <t>Шахматы</t>
  </si>
  <si>
    <t>13.03.-18.03</t>
  </si>
  <si>
    <t>Этногр муз</t>
  </si>
  <si>
    <t>14.03-17.03</t>
  </si>
  <si>
    <t>15.02-12.03</t>
  </si>
  <si>
    <t>Федерация стрельбы из лука</t>
  </si>
  <si>
    <t>Редмонд</t>
  </si>
  <si>
    <t>22.02-26.02</t>
  </si>
  <si>
    <t>опора России</t>
  </si>
  <si>
    <t>до 26.02 бесплатно</t>
  </si>
  <si>
    <t>Экран/ Борсоева сторона А</t>
  </si>
  <si>
    <t xml:space="preserve">РедБокс </t>
  </si>
  <si>
    <t>-</t>
  </si>
  <si>
    <t>апрель</t>
  </si>
  <si>
    <t>Наименование</t>
  </si>
  <si>
    <t>Сроки размещения</t>
  </si>
  <si>
    <t>Цена/мес</t>
  </si>
  <si>
    <t>Муравьев-Амурский</t>
  </si>
  <si>
    <t>28.02-06.03</t>
  </si>
  <si>
    <t>01.03-06.03</t>
  </si>
  <si>
    <t>Громов</t>
  </si>
  <si>
    <t>07.03-13.03</t>
  </si>
  <si>
    <t xml:space="preserve">профиль дорс </t>
  </si>
  <si>
    <t>КАИГ фильм 2022</t>
  </si>
  <si>
    <t>19.02-24.02</t>
  </si>
  <si>
    <t>01.04-30.04</t>
  </si>
  <si>
    <t xml:space="preserve">до декабря </t>
  </si>
  <si>
    <t>до июня</t>
  </si>
  <si>
    <t>ГРЭС</t>
  </si>
  <si>
    <t>01.04-15.04</t>
  </si>
  <si>
    <t xml:space="preserve">каиг </t>
  </si>
  <si>
    <t>ВТБ</t>
  </si>
  <si>
    <t>ЩИТ БОРСОЕВА сторона Б</t>
  </si>
  <si>
    <t>Титан Торгэконом</t>
  </si>
  <si>
    <t>01.04-14.04</t>
  </si>
  <si>
    <t>22,04-5,05</t>
  </si>
  <si>
    <t>Мегафон</t>
  </si>
  <si>
    <t>Спецтехника</t>
  </si>
  <si>
    <t>22 000,00</t>
  </si>
  <si>
    <t>Спецтехгика</t>
  </si>
  <si>
    <t>январь</t>
  </si>
  <si>
    <t>20 000,00</t>
  </si>
  <si>
    <t>ЩИТ БОТАНИЧЕСКАЯ сторона Б</t>
  </si>
  <si>
    <t>Продвижение туризма</t>
  </si>
  <si>
    <t>15 000,00</t>
  </si>
  <si>
    <t>16.04-30.04</t>
  </si>
  <si>
    <t>Альфа банк (медиа рум)</t>
  </si>
  <si>
    <t>Сити-формат</t>
  </si>
  <si>
    <t>08.04-30.04</t>
  </si>
  <si>
    <t>кол-во дней</t>
  </si>
  <si>
    <t>А</t>
  </si>
  <si>
    <t>МинСпорт</t>
  </si>
  <si>
    <t>Бизнес право (Максим Подерников)</t>
  </si>
  <si>
    <t>11.04-28.04</t>
  </si>
  <si>
    <t>бесплатно</t>
  </si>
  <si>
    <t>Б</t>
  </si>
  <si>
    <t>11.04-11.05</t>
  </si>
  <si>
    <t>Каиг/ Полиция</t>
  </si>
  <si>
    <t>Щит Проспект Авт-в</t>
  </si>
  <si>
    <t>Щит ГУсиноозерск</t>
  </si>
  <si>
    <t>16,04-до конца года</t>
  </si>
  <si>
    <t>Такси</t>
  </si>
  <si>
    <t>01.09-09.09 (9 дней)</t>
  </si>
  <si>
    <t>21.09-30.09 (10 дней)</t>
  </si>
  <si>
    <t>Метком</t>
  </si>
  <si>
    <t>Байкальское Шале</t>
  </si>
  <si>
    <t>21.04-21.05</t>
  </si>
  <si>
    <t>пол года, с разрывами</t>
  </si>
  <si>
    <t>С</t>
  </si>
  <si>
    <t>Приход</t>
  </si>
  <si>
    <t>Абсолют</t>
  </si>
  <si>
    <t>Титан</t>
  </si>
  <si>
    <t xml:space="preserve">на 1 тысячу поднять </t>
  </si>
  <si>
    <t>КРДВ</t>
  </si>
  <si>
    <t xml:space="preserve">     </t>
  </si>
  <si>
    <t>32 000,00</t>
  </si>
  <si>
    <t>29 750,00</t>
  </si>
  <si>
    <t>Минспорта</t>
  </si>
  <si>
    <t>15.04-28.04</t>
  </si>
  <si>
    <t>Дом РУ</t>
  </si>
  <si>
    <t>03.04-30.04</t>
  </si>
  <si>
    <t>Управление транспорта</t>
  </si>
  <si>
    <t>04.04-30.04</t>
  </si>
  <si>
    <t>КАИГ</t>
  </si>
  <si>
    <t>до конца года</t>
  </si>
  <si>
    <t xml:space="preserve">атв </t>
  </si>
  <si>
    <t>Тогргэконом</t>
  </si>
  <si>
    <t>Б1</t>
  </si>
  <si>
    <t>Б2</t>
  </si>
  <si>
    <t>Б3</t>
  </si>
  <si>
    <t xml:space="preserve">Гресс </t>
  </si>
  <si>
    <t>до декабря 2024г.</t>
  </si>
  <si>
    <t>Автолидер, бронь сентябрь-октябрь-20000 руб</t>
  </si>
  <si>
    <t>май-август-Николаевский</t>
  </si>
  <si>
    <t>Ульгэр-размещение на видеоэкране, май-июнь, безоплатно, Ксения-89146359528</t>
  </si>
  <si>
    <t>Кол-во сек</t>
  </si>
  <si>
    <t xml:space="preserve">Оплачено 1 блок </t>
  </si>
  <si>
    <t>оплачено 2 блок</t>
  </si>
  <si>
    <t>Инф</t>
  </si>
  <si>
    <t>РедБокс/Ульгэр</t>
  </si>
  <si>
    <t>Каиг/Тайга</t>
  </si>
  <si>
    <t xml:space="preserve">ульгер </t>
  </si>
  <si>
    <t>01.05-31.05</t>
  </si>
  <si>
    <t>20-го-счет</t>
  </si>
  <si>
    <t>КАИГ/ИКЗ</t>
  </si>
  <si>
    <t>до конца года, пока есть место</t>
  </si>
  <si>
    <t xml:space="preserve">Байкальское Шале </t>
  </si>
  <si>
    <t>24.04-09.05_15.05-31.05</t>
  </si>
  <si>
    <t>3 дня +, после 31,05</t>
  </si>
  <si>
    <t>Глория джинс</t>
  </si>
  <si>
    <t>16.05-31.05</t>
  </si>
  <si>
    <t>Жидовецкий ИК / ТГК 14</t>
  </si>
  <si>
    <t xml:space="preserve">макеты ждем </t>
  </si>
  <si>
    <t>Итого:</t>
  </si>
  <si>
    <t>РедБокс/ИКЗ</t>
  </si>
  <si>
    <t>Тайга/Ульгэр</t>
  </si>
  <si>
    <t xml:space="preserve">ульгэр </t>
  </si>
  <si>
    <t xml:space="preserve">Дом ру </t>
  </si>
  <si>
    <t>до ноября</t>
  </si>
  <si>
    <t>ООО СВН</t>
  </si>
  <si>
    <t xml:space="preserve">               08,05-08,06</t>
  </si>
  <si>
    <t>Авто под заказ</t>
  </si>
  <si>
    <t>08,05-08,06</t>
  </si>
  <si>
    <t>резерв август</t>
  </si>
  <si>
    <t>Либерти (работа)</t>
  </si>
  <si>
    <t>21.05-21.06</t>
  </si>
  <si>
    <t>до декабря</t>
  </si>
  <si>
    <t>ИКЗ</t>
  </si>
  <si>
    <t>май</t>
  </si>
  <si>
    <t>01.05-10.24</t>
  </si>
  <si>
    <t>Восток-Транзит</t>
  </si>
  <si>
    <t>Профбетон /Жидовецкий и К</t>
  </si>
  <si>
    <t>05.05-09.24</t>
  </si>
  <si>
    <t xml:space="preserve"> Шишкин дом</t>
  </si>
  <si>
    <t>05.05-10.24</t>
  </si>
  <si>
    <t xml:space="preserve"> </t>
  </si>
  <si>
    <t>01.05-10,24</t>
  </si>
  <si>
    <t>Николаевский</t>
  </si>
  <si>
    <t>01.05-08.24</t>
  </si>
  <si>
    <t>мега техника</t>
  </si>
  <si>
    <t>В</t>
  </si>
  <si>
    <t>ул. Пушкина</t>
  </si>
  <si>
    <t>Треугольник</t>
  </si>
  <si>
    <t xml:space="preserve">ИТОГО </t>
  </si>
  <si>
    <t>Тайга/</t>
  </si>
  <si>
    <t xml:space="preserve">до конца года </t>
  </si>
  <si>
    <t>оплачено</t>
  </si>
  <si>
    <t>Зоозащитники Бурятии</t>
  </si>
  <si>
    <t>22,06-15,09</t>
  </si>
  <si>
    <t>Автоцентр на Шаляпина</t>
  </si>
  <si>
    <t>13,06-13,07</t>
  </si>
  <si>
    <t>до конца года ???</t>
  </si>
  <si>
    <t>до 30,06,2024</t>
  </si>
  <si>
    <t xml:space="preserve">Нютаг кафе </t>
  </si>
  <si>
    <t>1,06-30,06</t>
  </si>
  <si>
    <t>Мелиор</t>
  </si>
  <si>
    <t>11,06-30,06</t>
  </si>
  <si>
    <t>1,06-15,06</t>
  </si>
  <si>
    <t>Банкет холл</t>
  </si>
  <si>
    <t>03,06-03,07</t>
  </si>
  <si>
    <t>Грэс</t>
  </si>
  <si>
    <t>?</t>
  </si>
  <si>
    <t>Ульгэр</t>
  </si>
  <si>
    <t>08,06-08,07</t>
  </si>
  <si>
    <t>Автолидер</t>
  </si>
  <si>
    <t>Икз</t>
  </si>
  <si>
    <t>01,06-30,06</t>
  </si>
  <si>
    <t>11,06-31,06</t>
  </si>
  <si>
    <t>18.06-20.06</t>
  </si>
  <si>
    <t>либерти</t>
  </si>
  <si>
    <t>21,05-21,06</t>
  </si>
  <si>
    <t>грэс</t>
  </si>
  <si>
    <t>Подвал/Каиг</t>
  </si>
  <si>
    <t xml:space="preserve">Профбетон </t>
  </si>
  <si>
    <t>20.06-09.24</t>
  </si>
  <si>
    <t>Вектор</t>
  </si>
  <si>
    <t>1,06-31,08,24</t>
  </si>
  <si>
    <t>В. Юндунова -ВЗ- 15000*2=30 000</t>
  </si>
  <si>
    <t>Заказы завершенные в этом месяце и снятые с поверхности</t>
  </si>
  <si>
    <t>Общее кол-во дней размещения</t>
  </si>
  <si>
    <t>Кол-во дней размещения в этом месяце</t>
  </si>
  <si>
    <t>Общая стоимость блока размешения</t>
  </si>
  <si>
    <t>Стоимость блока размешения в этом месяце</t>
  </si>
  <si>
    <t>Поверхность и кто размещался</t>
  </si>
  <si>
    <t>Тайга/ИКЗ</t>
  </si>
  <si>
    <t>БГУ</t>
  </si>
  <si>
    <t>Подвал</t>
  </si>
  <si>
    <t>Нютаг</t>
  </si>
  <si>
    <t>01.07-31.07</t>
  </si>
  <si>
    <t>ООО «Мир рекламы-Медиа»</t>
  </si>
  <si>
    <t>1.07-09.24</t>
  </si>
  <si>
    <t>Банкет хол</t>
  </si>
  <si>
    <t>10.07-10.08</t>
  </si>
  <si>
    <t>За рулем</t>
  </si>
  <si>
    <t>15.07-14.08</t>
  </si>
  <si>
    <t>Гедзе</t>
  </si>
  <si>
    <t>18.07-18.08</t>
  </si>
  <si>
    <t>ГК БИН (Николаевский)</t>
  </si>
  <si>
    <t>19.07-19.08</t>
  </si>
  <si>
    <t>Men’s Look store</t>
  </si>
  <si>
    <t>макет ждем</t>
  </si>
  <si>
    <t>Рэд Бокс/ Питер</t>
  </si>
  <si>
    <t>отпровила</t>
  </si>
  <si>
    <t>счет отправили</t>
  </si>
  <si>
    <t>15,06-15,07</t>
  </si>
  <si>
    <t>отправила</t>
  </si>
  <si>
    <t>торгэконом</t>
  </si>
  <si>
    <t>15.07-17.07</t>
  </si>
  <si>
    <t>01.07--31.07</t>
  </si>
  <si>
    <t>МСМ</t>
  </si>
  <si>
    <t>1.07-15.07</t>
  </si>
  <si>
    <t>ВЗ</t>
  </si>
  <si>
    <t>Суд пристав(СЕ) /Профбетон</t>
  </si>
  <si>
    <t>Рэдбокс (Тайга)/ Питер</t>
  </si>
  <si>
    <t xml:space="preserve">МИРЕЙ РОБОТИКС УК
</t>
  </si>
  <si>
    <t>Мама, от СЕ</t>
  </si>
  <si>
    <t>Каиг/ИКЗ</t>
  </si>
  <si>
    <t>Экран/ Борсоева сторона Б</t>
  </si>
  <si>
    <t>подняли оплату с августа-28 и 25 тыс</t>
  </si>
  <si>
    <t>47-август</t>
  </si>
  <si>
    <t>52-сентярь</t>
  </si>
  <si>
    <t>ИМЦ</t>
  </si>
  <si>
    <t>25,08-07,09</t>
  </si>
  <si>
    <t>Сибирский уголь</t>
  </si>
  <si>
    <t>29.08.2024-29.09</t>
  </si>
  <si>
    <t>Списание долгов</t>
  </si>
  <si>
    <t>Ипотечный отдел</t>
  </si>
  <si>
    <t>07.08-10.09</t>
  </si>
  <si>
    <t>Профбетон/ Суд пристав(СЕ)</t>
  </si>
  <si>
    <t>Бурдиков, 15 округ</t>
  </si>
  <si>
    <t>01.08-08.09</t>
  </si>
  <si>
    <t>08.08-07.09</t>
  </si>
  <si>
    <t>оплата в сентябре</t>
  </si>
  <si>
    <t>Шишкин дом</t>
  </si>
  <si>
    <t>по договоренности в 1 блок</t>
  </si>
  <si>
    <t>Щит ГУсиноозерск Красиков</t>
  </si>
  <si>
    <t>Буряд ТВ</t>
  </si>
  <si>
    <t>01.08-15.08</t>
  </si>
  <si>
    <t>предложить щит в Гус</t>
  </si>
  <si>
    <t>НЕ ОПЛАЧЕНО</t>
  </si>
  <si>
    <t>ЗП менеджера</t>
  </si>
  <si>
    <t>приход ДС по счетам</t>
  </si>
  <si>
    <t>приход ДС по счетам без учета предоплат</t>
  </si>
  <si>
    <t>ранее оплаченые</t>
  </si>
  <si>
    <t>приход ДС по ВЗ</t>
  </si>
  <si>
    <t>отгрузка</t>
  </si>
  <si>
    <t>бесплатные</t>
  </si>
  <si>
    <t>каиг , ульгер , РЭД БОКС , Тайга ,БГУ , управление транспорта, питер</t>
  </si>
  <si>
    <t>Чери/АСФ</t>
  </si>
  <si>
    <t>с сентября-18000 руб</t>
  </si>
  <si>
    <t>Щит в центре</t>
  </si>
  <si>
    <t>Экран, ул. Бабушкина, д. 65</t>
  </si>
  <si>
    <t>Тривижн. Бабушкина, д. 65</t>
  </si>
  <si>
    <t>АСФ</t>
  </si>
  <si>
    <t>Чери</t>
  </si>
  <si>
    <t>МКД</t>
  </si>
  <si>
    <t xml:space="preserve">стоит </t>
  </si>
  <si>
    <t>Ипотечный отдел/ Титан</t>
  </si>
  <si>
    <t>2,3*7,7=17,71 кв, баннер-8495 руб</t>
  </si>
  <si>
    <t>Щит, с. Сотниково</t>
  </si>
  <si>
    <t>Титан?</t>
  </si>
  <si>
    <t>Щит, с. Нижняя Иволга</t>
  </si>
  <si>
    <t>Щит, Иволгинский р-н</t>
  </si>
  <si>
    <t>Профбетон/ Сила в законе</t>
  </si>
  <si>
    <t xml:space="preserve">ООО после завтра </t>
  </si>
  <si>
    <t>24,09,24-  5,10,24</t>
  </si>
  <si>
    <t>счет выставлен , пост оплата 6,10,24</t>
  </si>
  <si>
    <t>сч</t>
  </si>
  <si>
    <t>ТДТ Торгашин( Чери)</t>
  </si>
  <si>
    <t>4.09-4.02.25</t>
  </si>
  <si>
    <t>04.09.2024-04.10</t>
  </si>
  <si>
    <t>теле 2 (Ред Таг)</t>
  </si>
  <si>
    <t>05.09.2024-30.09</t>
  </si>
  <si>
    <t>оплата в еис</t>
  </si>
  <si>
    <t>ИП Бимбаева Д.В Гедзе</t>
  </si>
  <si>
    <t xml:space="preserve">            18.09.-18.10</t>
  </si>
  <si>
    <t>Сатурн ( Николаевский)</t>
  </si>
  <si>
    <t xml:space="preserve">             19.09-19.10</t>
  </si>
  <si>
    <t>Игроник Аутдор ООО</t>
  </si>
  <si>
    <t>__.09-___.10</t>
  </si>
  <si>
    <t>ждем макет</t>
  </si>
  <si>
    <t>ООО Голд (бассейн)</t>
  </si>
  <si>
    <t>05.09.2024-05.10</t>
  </si>
  <si>
    <t>сч,эдо</t>
  </si>
  <si>
    <t>ГАУ ДО РБ РЦХТТ "Созвездие"</t>
  </si>
  <si>
    <t>2.09-08.09</t>
  </si>
  <si>
    <t>счет с Эрж Найд</t>
  </si>
  <si>
    <t>Будаев/ Смолина</t>
  </si>
  <si>
    <t>титан (борьба)/ шахматная школа</t>
  </si>
  <si>
    <t>до 21.09</t>
  </si>
  <si>
    <t>Рэдбокс/ Профбетон</t>
  </si>
  <si>
    <t>ИКЗ/Сила взаконе</t>
  </si>
  <si>
    <t>Аскона</t>
  </si>
  <si>
    <t>12.09-12.12</t>
  </si>
  <si>
    <t>дом ру (РИМ)</t>
  </si>
  <si>
    <t>до 30.09.2024</t>
  </si>
  <si>
    <r>
      <rPr>
        <sz val="10"/>
        <color rgb="FF000000"/>
        <rFont val="Arial"/>
      </rPr>
      <t>ИП Бимбаева Д.В Гедзе</t>
    </r>
  </si>
  <si>
    <t>18.09-18.10</t>
  </si>
  <si>
    <t>оплатят 1.10</t>
  </si>
  <si>
    <t>теле 2 (РИМ)</t>
  </si>
  <si>
    <t>Угольная компания Бурятии</t>
  </si>
  <si>
    <t>30.08-30.09</t>
  </si>
  <si>
    <t>Сатурн (Николаевский)</t>
  </si>
  <si>
    <t>19.08-19.09</t>
  </si>
  <si>
    <t>19.09-19.10</t>
  </si>
  <si>
    <t>10.09-10.10</t>
  </si>
  <si>
    <t>кандидат Пуховский</t>
  </si>
  <si>
    <t>до 8.09</t>
  </si>
  <si>
    <t>Мама предприниматель</t>
  </si>
  <si>
    <t>торги</t>
  </si>
  <si>
    <t>Шахматная школа</t>
  </si>
  <si>
    <t>Щит Борсоева сторона Б</t>
  </si>
  <si>
    <t xml:space="preserve">оплачено </t>
  </si>
  <si>
    <t>оплачено до окт</t>
  </si>
  <si>
    <t>19.09-19.02.25</t>
  </si>
  <si>
    <t>с октября-21250 руб.</t>
  </si>
  <si>
    <t>на нем стоит</t>
  </si>
  <si>
    <t>01.09-18.09</t>
  </si>
  <si>
    <t>Рим (РСХБ)</t>
  </si>
  <si>
    <t>до 20.10</t>
  </si>
  <si>
    <t>ИП Макогон (Автомир)</t>
  </si>
  <si>
    <t>07.10.24-07.01.25</t>
  </si>
  <si>
    <t>Вектор (Наш дискаунтер)</t>
  </si>
  <si>
    <t>01.05-09.24</t>
  </si>
  <si>
    <t>оплач полн</t>
  </si>
  <si>
    <t>Альфа-конфо</t>
  </si>
  <si>
    <t>01.10.2024-31.10.2024</t>
  </si>
  <si>
    <t>05.09.2024-31,10,24</t>
  </si>
  <si>
    <t>ТДТ ( Черри)</t>
  </si>
  <si>
    <t>макет-4500</t>
  </si>
  <si>
    <t>РИТМ</t>
  </si>
  <si>
    <t>РИМ Дом.ру</t>
  </si>
  <si>
    <t>11.10-31.10</t>
  </si>
  <si>
    <t>16.09-</t>
  </si>
  <si>
    <t>16.09.2024-16.10.2024</t>
  </si>
  <si>
    <t xml:space="preserve">            19.10-18.11</t>
  </si>
  <si>
    <t>19.10-19.11</t>
  </si>
  <si>
    <t>03.10.24-03.11.2024</t>
  </si>
  <si>
    <t>37 000,00</t>
  </si>
  <si>
    <t xml:space="preserve">сч-ф </t>
  </si>
  <si>
    <t xml:space="preserve">ИП Халбазыков </t>
  </si>
  <si>
    <t>1,10-31,10,24</t>
  </si>
  <si>
    <t>19.09.24-30.09.24</t>
  </si>
  <si>
    <t>ООО Вектор</t>
  </si>
  <si>
    <t>ИТОГО:</t>
  </si>
  <si>
    <t>09.10.24-23.10.24</t>
  </si>
  <si>
    <t xml:space="preserve">Серебрянная мода </t>
  </si>
  <si>
    <t>25.10.2024 на 3 мес</t>
  </si>
  <si>
    <t>ИП Макогон (масло)</t>
  </si>
  <si>
    <t>23.10.2024-22.11.2024</t>
  </si>
  <si>
    <t>опл</t>
  </si>
  <si>
    <t>Рим. Дом.ру</t>
  </si>
  <si>
    <t>ИП Макогон (автомир)</t>
  </si>
  <si>
    <t>оплачен полн</t>
  </si>
  <si>
    <t xml:space="preserve">Зубной </t>
  </si>
  <si>
    <t>03.10.2024-03.11.2024</t>
  </si>
  <si>
    <t>35 000</t>
  </si>
  <si>
    <t>сч-ф</t>
  </si>
  <si>
    <t>еис</t>
  </si>
  <si>
    <r>
      <rPr>
        <sz val="10"/>
        <color rgb="FF000000"/>
        <rFont val="Arial"/>
      </rPr>
      <t>ИП Бимбаева Д.В Гедзе</t>
    </r>
  </si>
  <si>
    <t>18.10-18.11</t>
  </si>
  <si>
    <t>09.10.24-22.10.24</t>
  </si>
  <si>
    <t>20.10-19.11</t>
  </si>
  <si>
    <t>10.10-10.12</t>
  </si>
  <si>
    <t>оплач</t>
  </si>
  <si>
    <t>ип Макогон (масло)</t>
  </si>
  <si>
    <t>Информполис спортсмены</t>
  </si>
  <si>
    <t>08.11.2024-</t>
  </si>
  <si>
    <t>Дом пива</t>
  </si>
  <si>
    <t>08.11.24-07.12.2024</t>
  </si>
  <si>
    <t>01.11..2024-30,11,24</t>
  </si>
  <si>
    <t>Информполис волонтеры</t>
  </si>
  <si>
    <t>Бронь - Орда</t>
  </si>
  <si>
    <t>Щит Гусиноозерск ул.Ленина</t>
  </si>
  <si>
    <t>Информполис (Минспорт)</t>
  </si>
  <si>
    <t>общ ст-ть проекта 280,0 тыс. 200,0 тыс - экраны, 80,0 - 3 баннера</t>
  </si>
  <si>
    <t>20.10.-</t>
  </si>
  <si>
    <t>Щит Гусиноозерск, Абсолют</t>
  </si>
  <si>
    <t>ИП Сандаков</t>
  </si>
  <si>
    <t>14.10.24-14.11.24</t>
  </si>
  <si>
    <t>Вектор (Наш)</t>
  </si>
  <si>
    <t>Щит Гусиноозерск, Шоссейная</t>
  </si>
  <si>
    <t>СадЭм</t>
  </si>
  <si>
    <t>14.10.24-14.01.2024</t>
  </si>
  <si>
    <t>Радость материнства</t>
  </si>
  <si>
    <t>при наличии свободных мест</t>
  </si>
  <si>
    <t>Автомир</t>
  </si>
  <si>
    <t>24.10.2024-23.01.2025</t>
  </si>
  <si>
    <t>оплач за 90дн 3 экрана</t>
  </si>
  <si>
    <t>Автомир масло</t>
  </si>
  <si>
    <t>24.10.2024-23.10.2024</t>
  </si>
  <si>
    <t xml:space="preserve">оплач </t>
  </si>
  <si>
    <r>
      <rPr>
        <sz val="10"/>
        <color rgb="FF000000"/>
        <rFont val="Arial"/>
      </rPr>
      <t>ИП Бимбаева Д.В Гедзе</t>
    </r>
  </si>
  <si>
    <t>01.11.2024-30.11.2024</t>
  </si>
  <si>
    <t>В1</t>
  </si>
  <si>
    <t>В2</t>
  </si>
  <si>
    <t>В3</t>
  </si>
  <si>
    <t>Ритм</t>
  </si>
  <si>
    <t>16.09-30.11.2024</t>
  </si>
  <si>
    <t>16.10-16.12.2024</t>
  </si>
  <si>
    <t>10.10.24 - 30.12.2024</t>
  </si>
  <si>
    <t>24.10.2024-23.11.2024</t>
  </si>
  <si>
    <t xml:space="preserve">Рэдбокс </t>
  </si>
  <si>
    <t xml:space="preserve">пока есть место </t>
  </si>
  <si>
    <t xml:space="preserve">тайга </t>
  </si>
  <si>
    <t>итого</t>
  </si>
  <si>
    <t xml:space="preserve">   </t>
  </si>
  <si>
    <t>Информполис Спорт</t>
  </si>
  <si>
    <t>05.11.2024-05.12.2024</t>
  </si>
  <si>
    <t>14.10.24-14.01.2025</t>
  </si>
  <si>
    <t>Адм.Селенг.р-на (Дамбаев С.В)</t>
  </si>
  <si>
    <t xml:space="preserve">информполис минспорт </t>
  </si>
  <si>
    <t>с 8,11,24-8,12,24</t>
  </si>
  <si>
    <t>не оплачено</t>
  </si>
  <si>
    <t>ИП Макогон (Автомир) шины /аккамуляторы</t>
  </si>
  <si>
    <t>ИП Макогон (Автомир) масло</t>
  </si>
  <si>
    <t xml:space="preserve">Титан /РЦМП </t>
  </si>
  <si>
    <t>18.11-17-12</t>
  </si>
  <si>
    <t>Прима Медиа (ЖК Елки)</t>
  </si>
  <si>
    <t>27.11.2024-27.12.24</t>
  </si>
  <si>
    <t>- 20% агентские</t>
  </si>
  <si>
    <t xml:space="preserve">ИП Макогон (автомир) аккумулятор/шины </t>
  </si>
  <si>
    <t xml:space="preserve">ИП Макогон (автомир) масло </t>
  </si>
  <si>
    <r>
      <rPr>
        <sz val="10"/>
        <color rgb="FF000000"/>
        <rFont val="Arial"/>
      </rPr>
      <t>ИП Бимбаева Д.В Гедзе</t>
    </r>
  </si>
  <si>
    <t xml:space="preserve">Автомир шины/аккумуляторы </t>
  </si>
  <si>
    <t>24.10.2024-2310.02.2025</t>
  </si>
  <si>
    <t xml:space="preserve">Краса Бурятии </t>
  </si>
  <si>
    <t>до 25.11.2024</t>
  </si>
  <si>
    <t>не оплачен</t>
  </si>
  <si>
    <t>19.101-19.12</t>
  </si>
  <si>
    <t>РедБокс</t>
  </si>
  <si>
    <t>Министерство образования</t>
  </si>
  <si>
    <t>26.12.2024-25.01.2025</t>
  </si>
  <si>
    <t>01.12.2024-31.12.2024</t>
  </si>
  <si>
    <t>24.11.2024-23.12.2024</t>
  </si>
  <si>
    <t>на 3 мес с 25.10.24по 24.01.2025</t>
  </si>
  <si>
    <t>18.11-18-12</t>
  </si>
  <si>
    <t>03.12.2024-02.01.2025</t>
  </si>
  <si>
    <t>до 04.02.2025</t>
  </si>
  <si>
    <t>контрак по торгам оплата вторая половина декабря</t>
  </si>
  <si>
    <t>оплата в ЕИС</t>
  </si>
  <si>
    <t xml:space="preserve">ИП Сандаков </t>
  </si>
  <si>
    <t>14.11.2024-13.12.2024</t>
  </si>
  <si>
    <t>акт сверки</t>
  </si>
  <si>
    <t>07.11.2024-06.12.2024</t>
  </si>
  <si>
    <t>07.11.24-06.12.2024</t>
  </si>
  <si>
    <t>06.12.2024-07.01.2025</t>
  </si>
  <si>
    <r>
      <rPr>
        <sz val="10"/>
        <color rgb="FF000000"/>
        <rFont val="Arial"/>
      </rPr>
      <t>ИП Бимбаева Д.В Гедзе</t>
    </r>
  </si>
  <si>
    <t>18.11-18.12</t>
  </si>
  <si>
    <t>продлен до февраля 2025г</t>
  </si>
  <si>
    <t>10.10.24 - 10.11.2024</t>
  </si>
  <si>
    <t>ООО СЗ ИДК</t>
  </si>
  <si>
    <t>01.12.2024 - 31.12.2024</t>
  </si>
  <si>
    <t>БРОНЬ!!!</t>
  </si>
  <si>
    <t xml:space="preserve">ИП Ободоева </t>
  </si>
  <si>
    <t>09.12.24-09.06.25</t>
  </si>
  <si>
    <t>на 6 мес</t>
  </si>
  <si>
    <t>ИП Ободоева</t>
  </si>
  <si>
    <t>17.12.2024 -28.02.2024</t>
  </si>
  <si>
    <t>до февраля по акции вместе с призматроном</t>
  </si>
  <si>
    <t>Баран на корове</t>
  </si>
  <si>
    <t>27.12.2024-26.01.2025</t>
  </si>
  <si>
    <t>на 4 мес 27.12.24-27.04.2025</t>
  </si>
  <si>
    <t>09.12.24-09.01.25</t>
  </si>
  <si>
    <t>Бронь - Орда, Сахар</t>
  </si>
  <si>
    <t>ЖК Елки (Поляков)</t>
  </si>
  <si>
    <t>11.12.2024-11.01.2024</t>
  </si>
  <si>
    <t>оплач -20% агентск</t>
  </si>
  <si>
    <t xml:space="preserve">Оплаченно в этом месяце </t>
  </si>
  <si>
    <t>20.01.2025-19.02.2025</t>
  </si>
  <si>
    <t>в течении года</t>
  </si>
  <si>
    <t>счет</t>
  </si>
  <si>
    <t>БайкалВуд</t>
  </si>
  <si>
    <t>11.12.2024-11.01.2025</t>
  </si>
  <si>
    <t>Прима медиа (ЖК Елки)</t>
  </si>
  <si>
    <t>28.01.2025-27.02.2025</t>
  </si>
  <si>
    <t>опл -20% аген</t>
  </si>
  <si>
    <t>01.01.2025-31.01.2025</t>
  </si>
  <si>
    <t>теле2 (Ред Таг) бонус</t>
  </si>
  <si>
    <t>16.01.2025-21.01.2025</t>
  </si>
  <si>
    <t>бесплатно бонус</t>
  </si>
  <si>
    <t>24.01.2025-23.02.2025</t>
  </si>
  <si>
    <t>07.12.2024-07.12.2024</t>
  </si>
  <si>
    <t>02.01.2025-01.02.2025</t>
  </si>
  <si>
    <t>ИП Карпова А.А (</t>
  </si>
  <si>
    <t>19.12.2024-18.01.2025</t>
  </si>
  <si>
    <t>-20% агентские</t>
  </si>
  <si>
    <t xml:space="preserve">936 тысяч на экранах  3 шт </t>
  </si>
  <si>
    <t>в работе</t>
  </si>
  <si>
    <t xml:space="preserve">супер сайты - 29+ 27= 56 тысяч </t>
  </si>
  <si>
    <t>автом- 29 +27+18 = 122 тысяч</t>
  </si>
  <si>
    <t xml:space="preserve">ситиформат - 7+6= 13 т </t>
  </si>
  <si>
    <t xml:space="preserve">Гусиноозерск 17 +23 =120 </t>
  </si>
  <si>
    <t xml:space="preserve">призматрон 75 ( 3 шт )  на бабушкина </t>
  </si>
  <si>
    <t>мкд 30+25= 55</t>
  </si>
  <si>
    <t xml:space="preserve">Сотниково , иволга , Нижняя иволга 35  - 105 </t>
  </si>
  <si>
    <t>итого 100% без учета скидок</t>
  </si>
  <si>
    <t>оплачен полностью</t>
  </si>
  <si>
    <t>Теле2 (РедТаг)</t>
  </si>
  <si>
    <t>15.01.2025-31.01.2025</t>
  </si>
  <si>
    <t>Теле2 (Ред Таг) бонус</t>
  </si>
  <si>
    <t>Сугтаа</t>
  </si>
  <si>
    <t>09.01.2025-08.02.2025</t>
  </si>
  <si>
    <t>оплачен</t>
  </si>
  <si>
    <t>Сибирский трактор</t>
  </si>
  <si>
    <t>23.01.2025-22.02.2025</t>
  </si>
  <si>
    <t>01.02.2025-28.02.2025</t>
  </si>
  <si>
    <t>оплачен в январе</t>
  </si>
  <si>
    <t>Титан (Байк.рыбалка)</t>
  </si>
  <si>
    <t>12.02.2025-28.02.2025</t>
  </si>
  <si>
    <t>Байкал Моторс</t>
  </si>
  <si>
    <t>17.02.2025-16.03.2025</t>
  </si>
  <si>
    <t>155 400,00</t>
  </si>
  <si>
    <t>Смит-инвест</t>
  </si>
  <si>
    <t>14.02.2025-28.02.2025</t>
  </si>
  <si>
    <t>на 2 недели ежемесячно</t>
  </si>
  <si>
    <t>01.03.2025-31.03.2025</t>
  </si>
  <si>
    <t>1,5 слота</t>
  </si>
  <si>
    <t>ТГК 14</t>
  </si>
  <si>
    <t>22.02.2025-23.03.25</t>
  </si>
  <si>
    <t>25.02.-28.03.2025</t>
  </si>
  <si>
    <t>20.02.2025-19.03.2025</t>
  </si>
  <si>
    <t>28.02.2025-30.03.2025</t>
  </si>
  <si>
    <t>12.02.2025-28.03.2025</t>
  </si>
  <si>
    <t>17.03.2025-16.04.2025</t>
  </si>
  <si>
    <t>25.02.2025-24.03.2025</t>
  </si>
  <si>
    <t>% продаж к емкости</t>
  </si>
  <si>
    <t>17.03.2025-31.03.2025</t>
  </si>
  <si>
    <t>27.02.-26.03.2025</t>
  </si>
  <si>
    <t>24.10.2024-23.02.2025</t>
  </si>
  <si>
    <t>на 1 мес</t>
  </si>
  <si>
    <t>20.03.2025-пока есть свобод</t>
  </si>
  <si>
    <t>баран на корове</t>
  </si>
  <si>
    <t>27.12.24-26.01.25</t>
  </si>
  <si>
    <t>на 4 мес до 26.04.2025</t>
  </si>
  <si>
    <t>по акции, на Борсоева оплач</t>
  </si>
  <si>
    <t>ИП Сосновский (мастер03)</t>
  </si>
  <si>
    <t>15.01.2025-14.02.2025</t>
  </si>
  <si>
    <t>на 6 мес до 14.07.2025</t>
  </si>
  <si>
    <t xml:space="preserve">Тайга </t>
  </si>
  <si>
    <t>оплачено в декабре</t>
  </si>
  <si>
    <t>скидка за размещение более чем на  6 мес</t>
  </si>
  <si>
    <t>КАИГ (9 мая)</t>
  </si>
  <si>
    <t>с 22.01.2025 пока есть место</t>
  </si>
  <si>
    <t xml:space="preserve">по договору </t>
  </si>
  <si>
    <t>оплатили в феврале</t>
  </si>
  <si>
    <t>01.02.2025-15.02.2025</t>
  </si>
  <si>
    <t>07.02.2025-28.02.2025</t>
  </si>
  <si>
    <t>363 000,00</t>
  </si>
  <si>
    <t>25 928,50</t>
  </si>
  <si>
    <t>оплачен в феврале</t>
  </si>
  <si>
    <t>Простоквашино (РедТаг)</t>
  </si>
  <si>
    <t>03.03.2025-31.03.2025</t>
  </si>
  <si>
    <t>Диамед</t>
  </si>
  <si>
    <t>07.03.2025-07.07.</t>
  </si>
  <si>
    <t>взаимозачет</t>
  </si>
  <si>
    <t>4 мес</t>
  </si>
  <si>
    <t>при наличии мест</t>
  </si>
  <si>
    <t>Сибирский тактор</t>
  </si>
  <si>
    <t>20.03.2025-19.04.2025</t>
  </si>
  <si>
    <t>Титан (детская байк.рыбалка)</t>
  </si>
  <si>
    <t>19.03.25-22.03.2025</t>
  </si>
  <si>
    <t>20.03.2025 пока есть свобод</t>
  </si>
  <si>
    <t>07.01.2025-06.02.2025</t>
  </si>
  <si>
    <t>Орда</t>
  </si>
  <si>
    <t>с 01.02.25</t>
  </si>
  <si>
    <t>Сахар</t>
  </si>
  <si>
    <t>Титан (детская байк.рыбалка)/ Алтан мулдарга</t>
  </si>
  <si>
    <t>27.01.25-26.02.25</t>
  </si>
  <si>
    <t>19.03.2025-22.03.2025</t>
  </si>
  <si>
    <t>27.02.2025-26.03.2025</t>
  </si>
  <si>
    <t>.</t>
  </si>
  <si>
    <t>07.03.2025-07.10.2025</t>
  </si>
  <si>
    <t>7 мес</t>
  </si>
  <si>
    <t>15.02.2025-14.03.2025</t>
  </si>
  <si>
    <t>Тайга / Байкал Вуд</t>
  </si>
  <si>
    <t>09.02.2025-08.03.2025</t>
  </si>
  <si>
    <t>Байкал ЭКСПО</t>
  </si>
  <si>
    <t>10.03.2025-09.04.2025</t>
  </si>
  <si>
    <t>оплачен в декабре</t>
  </si>
  <si>
    <t>ООО Агван (Еши)</t>
  </si>
  <si>
    <t xml:space="preserve">3 333,00 </t>
  </si>
  <si>
    <t>БурятФармация</t>
  </si>
  <si>
    <t>бронь на февраль</t>
  </si>
  <si>
    <t>01.04.2025-30.04.2025</t>
  </si>
  <si>
    <t>ИП Чагдурова</t>
  </si>
  <si>
    <t>25.01.2025-24.02.2025</t>
  </si>
  <si>
    <t>с учетом переплаты 15,2</t>
  </si>
  <si>
    <t>23.02.2025-21.03.2025</t>
  </si>
  <si>
    <t>оплачен в марте</t>
  </si>
  <si>
    <t>Ред Таг Синтек</t>
  </si>
  <si>
    <t>23.01.2025-23.07.2025</t>
  </si>
  <si>
    <t>01.04.2025-15.04.2025</t>
  </si>
  <si>
    <t>Автомир (Макогон)</t>
  </si>
  <si>
    <t>07.04.2025-06.05.2025</t>
  </si>
  <si>
    <t>14.01.2025-13.02.2025</t>
  </si>
  <si>
    <t>Авиценна</t>
  </si>
  <si>
    <t>на 3 мес до 06.07.2025</t>
  </si>
  <si>
    <t>16 200,00</t>
  </si>
  <si>
    <t>17.04.2025-16.05.2025</t>
  </si>
  <si>
    <t>на 6 мес  до 17.08.25</t>
  </si>
  <si>
    <t>25.03.2025-24.04.2025</t>
  </si>
  <si>
    <t>оплата в марте</t>
  </si>
  <si>
    <t>16.04.2025-30.04.2025</t>
  </si>
  <si>
    <t xml:space="preserve">Итого оплачено в этом месяце </t>
  </si>
  <si>
    <t>07.03.2025-06.04.2025</t>
  </si>
  <si>
    <t>23.02.2025-22.03.2025</t>
  </si>
  <si>
    <t xml:space="preserve">итого продано в этом месяце </t>
  </si>
  <si>
    <t>Самбо</t>
  </si>
  <si>
    <t>ИП Занданова</t>
  </si>
  <si>
    <t>14.03.2025-13.04.2025</t>
  </si>
  <si>
    <t>на 3 мес</t>
  </si>
  <si>
    <t>Дом №14</t>
  </si>
  <si>
    <t>Дом №38</t>
  </si>
  <si>
    <t>07.02.2025-06.03.2025</t>
  </si>
  <si>
    <t>23.01.2025-22.03.2025</t>
  </si>
  <si>
    <t>оплачено в январе</t>
  </si>
  <si>
    <t>Байкальская угольная компания</t>
  </si>
  <si>
    <t>24.02.2025-23.05.2025</t>
  </si>
  <si>
    <t>61 000,00</t>
  </si>
  <si>
    <t>на 3 мес оплачено полностью</t>
  </si>
  <si>
    <t>РедТаг Синтек</t>
  </si>
  <si>
    <t>оплачено в феврале</t>
  </si>
  <si>
    <t>на 6 мес до 25.07.25</t>
  </si>
  <si>
    <t>20.04.2025-19.05.2025</t>
  </si>
  <si>
    <t>ИП Харнууд</t>
  </si>
  <si>
    <t>на 3 мес до 30.06.25</t>
  </si>
  <si>
    <t>22500 на 3 мес</t>
  </si>
  <si>
    <t>с 19.02.25</t>
  </si>
  <si>
    <t>оплачено полностью</t>
  </si>
  <si>
    <t>оплата до 14.03.2025</t>
  </si>
  <si>
    <t xml:space="preserve">ЦЗН </t>
  </si>
  <si>
    <t>05.03.2025-04.04.2025</t>
  </si>
  <si>
    <t>выставить счет</t>
  </si>
  <si>
    <t>17 500,00</t>
  </si>
  <si>
    <t>10.02.2025-09.03.2025</t>
  </si>
  <si>
    <t xml:space="preserve">Мелиор </t>
  </si>
  <si>
    <t>на 7 мес до 30.10.25</t>
  </si>
  <si>
    <t>27.03.2025-26.04.2025</t>
  </si>
  <si>
    <t>07.04.2025-07.05.2025</t>
  </si>
  <si>
    <t>15.04.2025-14.05.2025</t>
  </si>
  <si>
    <t>Тайга / Байкал Вуд/КАИГ</t>
  </si>
  <si>
    <t>09.04.2025-08.05.2025</t>
  </si>
  <si>
    <t>до 09.07.25</t>
  </si>
  <si>
    <t>14.02.2025-13.03.2025</t>
  </si>
  <si>
    <t xml:space="preserve">ИП Марков </t>
  </si>
  <si>
    <t>24.04.2025-23.05.2025</t>
  </si>
  <si>
    <t xml:space="preserve">Агван </t>
  </si>
  <si>
    <t>Высокий градус</t>
  </si>
  <si>
    <t>04.04.2025-03.05.2025</t>
  </si>
  <si>
    <t>ИП Марков</t>
  </si>
  <si>
    <t>22.03.2025-21.04.2025</t>
  </si>
  <si>
    <t>Профбетон</t>
  </si>
  <si>
    <t>оплачено в марте</t>
  </si>
  <si>
    <t>на 6 мес до 30.09.25</t>
  </si>
  <si>
    <t>на 3 мес до 16.06.25</t>
  </si>
  <si>
    <t>23.03.2025-22.04.2025</t>
  </si>
  <si>
    <t>до 23.07.25</t>
  </si>
  <si>
    <t>ИП Эрхитуева</t>
  </si>
  <si>
    <t>09.04.2025-09.05.2025</t>
  </si>
  <si>
    <t>до 31.07.25</t>
  </si>
  <si>
    <t>14.04.2025-13.05.2025</t>
  </si>
  <si>
    <t>на 3 мес до 13.06.25</t>
  </si>
  <si>
    <t>бронь</t>
  </si>
  <si>
    <t>Светлана Капитан Кук</t>
  </si>
  <si>
    <t>24.03.2025-23.04.2025</t>
  </si>
  <si>
    <t>на 3 мес оплачено полностью до 23.05.25</t>
  </si>
  <si>
    <t>10.04.2025-09.05.2025</t>
  </si>
  <si>
    <t>на 3 мес до 09.05.25</t>
  </si>
  <si>
    <t>на 6 мес до 24.07.25</t>
  </si>
  <si>
    <t>01.05.2025-31.05.2025</t>
  </si>
  <si>
    <t>05.04.2025-04.05.2025</t>
  </si>
  <si>
    <t>на 6 мес до 04.09.25</t>
  </si>
  <si>
    <t>25.04.2025-24.05.2025</t>
  </si>
  <si>
    <t>16.05.2025-30.05.2025</t>
  </si>
  <si>
    <t xml:space="preserve">Автомир (Макагон) </t>
  </si>
  <si>
    <t>07.05.2025-06.06.2025</t>
  </si>
  <si>
    <t>в тч 25320 ВЗ</t>
  </si>
  <si>
    <t>до 07.07.25</t>
  </si>
  <si>
    <t>ИП Очиров Ц.В.</t>
  </si>
  <si>
    <t>01.05.2025-18.05.2025</t>
  </si>
  <si>
    <t>0,5 слота</t>
  </si>
  <si>
    <t>01.06.2025-30.06.2025</t>
  </si>
  <si>
    <t>20.05.2025-19.06.2025</t>
  </si>
  <si>
    <t>оплачен в мае</t>
  </si>
  <si>
    <t xml:space="preserve">Барис продукт </t>
  </si>
  <si>
    <t>01.07.2025-31.07.2025</t>
  </si>
  <si>
    <t>20.06.2025-19.07.2025</t>
  </si>
  <si>
    <t>убрать в июне</t>
  </si>
  <si>
    <t>25 900,00</t>
  </si>
  <si>
    <t>СибГМУ (ООО РБ)</t>
  </si>
  <si>
    <t>оплачено в апреле</t>
  </si>
  <si>
    <t>25.05.2025-24.06.2025</t>
  </si>
  <si>
    <t>16.06.2025-30.06.2025</t>
  </si>
  <si>
    <t>до 07.07.2025</t>
  </si>
  <si>
    <t>ТПП</t>
  </si>
  <si>
    <t>07.05.2025-23.05.2025</t>
  </si>
  <si>
    <t>оплачен в июне</t>
  </si>
  <si>
    <t>07.06.2025-06.07.2025</t>
  </si>
  <si>
    <t>РИМ Сбер детская</t>
  </si>
  <si>
    <t>01.07.2025-15.07.2025</t>
  </si>
  <si>
    <t>постоплата 60 дней</t>
  </si>
  <si>
    <t>01.06.2025-10.06.2025</t>
  </si>
  <si>
    <t>РИМ Вуш</t>
  </si>
  <si>
    <t>постоплата</t>
  </si>
  <si>
    <t>17.07.2025-31.07.2025</t>
  </si>
  <si>
    <t>Мой бизнес</t>
  </si>
  <si>
    <t>постоплата в сентябре</t>
  </si>
  <si>
    <t>до 20.09.2025</t>
  </si>
  <si>
    <t>ЛВРЗ</t>
  </si>
  <si>
    <t>21.07.2025 - 20.08.2025</t>
  </si>
  <si>
    <t xml:space="preserve">постоплата </t>
  </si>
  <si>
    <t>на 6 мес до января 2026</t>
  </si>
  <si>
    <t>10.05.2025-09.06.2025</t>
  </si>
  <si>
    <t>100 000,00</t>
  </si>
  <si>
    <t>на 7 мес до 20.10.25</t>
  </si>
  <si>
    <t>Старт (Гефест)</t>
  </si>
  <si>
    <t>07.05.2025-07.06.2025</t>
  </si>
  <si>
    <t>15.05.2025-14.06.2025</t>
  </si>
  <si>
    <t>09.05.2025-08.06.2025</t>
  </si>
  <si>
    <t>ВЗ до декабря</t>
  </si>
  <si>
    <t>Барис продукт</t>
  </si>
  <si>
    <t>до 12.05.2025</t>
  </si>
  <si>
    <t>03.04.2025-03.05.2025</t>
  </si>
  <si>
    <t>до 16.06</t>
  </si>
  <si>
    <t>Дашинимаева С.В.</t>
  </si>
  <si>
    <t>12.05.2025-11.06.2025</t>
  </si>
  <si>
    <t>11.06.2025-20.06.2025</t>
  </si>
  <si>
    <t>на 3 мес до 30.07.2025</t>
  </si>
  <si>
    <t xml:space="preserve">РИМ Мегафон </t>
  </si>
  <si>
    <t>до 01.09.2025</t>
  </si>
  <si>
    <t>21.07.2025-20.08.2025</t>
  </si>
  <si>
    <t>25.07.2025-24.08.2025</t>
  </si>
  <si>
    <t>01.08.2025-31.08.2025</t>
  </si>
  <si>
    <t>10.06.2025-09.07.2025</t>
  </si>
  <si>
    <t>оплата до 10 числа</t>
  </si>
  <si>
    <t>04.06.2025-03.07.2025</t>
  </si>
  <si>
    <t>20.07.2025-19.08.2025</t>
  </si>
  <si>
    <t>байкалвуд</t>
  </si>
  <si>
    <t>до 04.09.2025</t>
  </si>
  <si>
    <t>22.04.2025-21.05.2025</t>
  </si>
  <si>
    <t>на 7 мес до 07.10.2025</t>
  </si>
  <si>
    <t>оплачен в июле</t>
  </si>
  <si>
    <t>Металопрокат бронь с 17.06.</t>
  </si>
  <si>
    <t>22709 сумма на 1 месяц, далее по 18,0 или если на год, то меньше</t>
  </si>
  <si>
    <t>02.06.2025-16.06.2025</t>
  </si>
  <si>
    <t>взамен щита</t>
  </si>
  <si>
    <t>20.06.2025-30.06.2025</t>
  </si>
  <si>
    <t>17.08.2025-31.08.2025</t>
  </si>
  <si>
    <t>17.05.2025-16.06.2025</t>
  </si>
  <si>
    <t>12.05.2025-18.06.2025</t>
  </si>
  <si>
    <t>23.04.2025-22.05.2025</t>
  </si>
  <si>
    <t>до 12.08.2025</t>
  </si>
  <si>
    <t>10.07.2025-09.08.2025</t>
  </si>
  <si>
    <t>04.07.2025-03.08.2025</t>
  </si>
  <si>
    <t>07.06.2025-07.07.2025</t>
  </si>
  <si>
    <t>15.06.2025-14.07.2025</t>
  </si>
  <si>
    <t>09.07.2025-08.08.2025</t>
  </si>
  <si>
    <t>14.05.2025-13.06.2025</t>
  </si>
  <si>
    <t>до января 2026</t>
  </si>
  <si>
    <t>Арюна Бальжирова</t>
  </si>
  <si>
    <t>бронь Авиценна</t>
  </si>
  <si>
    <t>17.06.2025-16.07.2025</t>
  </si>
  <si>
    <t xml:space="preserve">Бронь Тачки </t>
  </si>
  <si>
    <t>22.05.2025-21.06.2025</t>
  </si>
  <si>
    <t>24.05.2025-23.08.2025</t>
  </si>
  <si>
    <t>23.01.2025-23.06.2025</t>
  </si>
  <si>
    <t>на 3 мес оплачено полностью до 23.08.25</t>
  </si>
  <si>
    <t>Металлпрокат</t>
  </si>
  <si>
    <t xml:space="preserve">РИМ Гранит памяти </t>
  </si>
  <si>
    <t>23.05.2025-22.06.2025</t>
  </si>
  <si>
    <t>до 23.06.25</t>
  </si>
  <si>
    <t>09.06.2025-08.07.2025</t>
  </si>
  <si>
    <t>оплачено в июле</t>
  </si>
  <si>
    <t>Сибирьвтормет</t>
  </si>
  <si>
    <t>оплачено в июне</t>
  </si>
  <si>
    <t>05.05.2025-04.06.2025</t>
  </si>
  <si>
    <t>01.06.2025-15.06.2025</t>
  </si>
  <si>
    <t>Агван</t>
  </si>
  <si>
    <t>17.07.2025 пока свободные места</t>
  </si>
  <si>
    <t>Елки призма бронь!</t>
  </si>
  <si>
    <t>07.07.2025-06.08.2025</t>
  </si>
  <si>
    <t>с 06.08. снять до октября</t>
  </si>
  <si>
    <t>Юргарант</t>
  </si>
  <si>
    <t>23.07.2025-22.08.2025</t>
  </si>
  <si>
    <t>10.08.2025-09.09.2025</t>
  </si>
  <si>
    <t>Жигжитова А.Б.</t>
  </si>
  <si>
    <t>04.08.2025-03.09.2025</t>
  </si>
  <si>
    <t>5000 опл в мае</t>
  </si>
  <si>
    <t>на 3 мес до 30.08.25</t>
  </si>
  <si>
    <t>ООО Братство</t>
  </si>
  <si>
    <t>07.08.2025-07.09.2025</t>
  </si>
  <si>
    <t>Красовский</t>
  </si>
  <si>
    <t>18.08.2025-14.09.2025</t>
  </si>
  <si>
    <t>09.08.2025-08.09.2025</t>
  </si>
  <si>
    <t>27 000,00</t>
  </si>
  <si>
    <t>Елки бронь № 38</t>
  </si>
  <si>
    <t>Щит, ул.Пищевая</t>
  </si>
  <si>
    <t>до 13.07.2025</t>
  </si>
  <si>
    <t>17.07.2025-16.08.2025</t>
  </si>
  <si>
    <t>с 21.07.2025 пока свободно</t>
  </si>
  <si>
    <t>28.07.2025 -27.08.2025</t>
  </si>
  <si>
    <t>пока есть свободное место</t>
  </si>
  <si>
    <t>01.09.2025-30.09.2025</t>
  </si>
  <si>
    <t>20.08.2025-19.09.2025</t>
  </si>
  <si>
    <t>физлицо</t>
  </si>
  <si>
    <t>13.08.2025-12.09.2025</t>
  </si>
  <si>
    <t>Автолидер (ИП Поломошных)</t>
  </si>
  <si>
    <t>25.06.2025-24.07.2025</t>
  </si>
  <si>
    <t>ЕТК+</t>
  </si>
  <si>
    <t>15.09.2025-30.09.2025</t>
  </si>
  <si>
    <t>до 22.11.2025</t>
  </si>
  <si>
    <t>14.06.2025-13.07.2025</t>
  </si>
  <si>
    <t>05.07.2025-04.08.2025</t>
  </si>
  <si>
    <t>21.08.2025 - 20.09.2025</t>
  </si>
  <si>
    <t>24.09.2025-23.10.2025</t>
  </si>
  <si>
    <t xml:space="preserve">Хоол+ </t>
  </si>
  <si>
    <t>с 01.10.2025</t>
  </si>
  <si>
    <t>оплатил в сентябре</t>
  </si>
  <si>
    <t>Красовский кандидат</t>
  </si>
  <si>
    <t>19.08.2025-14.09.2025</t>
  </si>
  <si>
    <t>Федоров кандидат</t>
  </si>
  <si>
    <t>21.08.2025-14.09.2025</t>
  </si>
  <si>
    <t>05.08.2025-04.09.2025</t>
  </si>
  <si>
    <t>до сентября</t>
  </si>
  <si>
    <t>С.Аюшеева</t>
  </si>
  <si>
    <t>02.09.2025 пока свободно</t>
  </si>
  <si>
    <t>Доп.услуги (макет, печать) по счету</t>
  </si>
  <si>
    <t>Доп.услуги оплаченные в этом месяце</t>
  </si>
  <si>
    <t>01.10.2025-31.10.2025</t>
  </si>
  <si>
    <t>Тайга/Байкалвуд</t>
  </si>
  <si>
    <t>на 3 мес до октября</t>
  </si>
  <si>
    <t>20.09.2025-19.10.2025</t>
  </si>
  <si>
    <t>ИП Очиров Ц.В. (Тони моли)</t>
  </si>
  <si>
    <t>21.08.2025-20.09.2025</t>
  </si>
  <si>
    <t>оплачен в сентябре</t>
  </si>
  <si>
    <t>21.09.2025 - 20.10.2025</t>
  </si>
  <si>
    <t>на 3 мес до 23.08.25</t>
  </si>
  <si>
    <t>ХООЛ+</t>
  </si>
  <si>
    <t>на 2 мес</t>
  </si>
  <si>
    <t>Орда (Сэлмэг)</t>
  </si>
  <si>
    <t>15.10.2025-31.10.2025</t>
  </si>
  <si>
    <t>постоплата в ноябре</t>
  </si>
  <si>
    <t xml:space="preserve">ИП Очиров Ц.В. (Тони Моли) </t>
  </si>
  <si>
    <t>Титан (постоплата)</t>
  </si>
  <si>
    <t>Саган-Морин бронь</t>
  </si>
  <si>
    <t>Автомир бронь</t>
  </si>
  <si>
    <t>Поющие чаши бронь</t>
  </si>
  <si>
    <t>РедТаг (постоплата)</t>
  </si>
  <si>
    <t>Экран/ ул. Бабушкина, д. 65, сторона А</t>
  </si>
  <si>
    <t>Цыбикжапов В.Б.</t>
  </si>
  <si>
    <t>22.08.2025-13.09.2025</t>
  </si>
  <si>
    <t>БРОНЬ Гусиноозерская ЦРБ</t>
  </si>
  <si>
    <t>10.09.2025-09.10.2025</t>
  </si>
  <si>
    <t>ЦРБ</t>
  </si>
  <si>
    <t>30.09.2025 -13.09.2025</t>
  </si>
  <si>
    <t>02.09.2025 пока свобод</t>
  </si>
  <si>
    <t>07.09.2025-07.10.2025</t>
  </si>
  <si>
    <t>09.09.2025-08.10.2025</t>
  </si>
  <si>
    <t>ИП Колесникова</t>
  </si>
  <si>
    <t>30.09.2025-29.10.2025</t>
  </si>
  <si>
    <t>Морепродукты бронь декабрь</t>
  </si>
  <si>
    <t>01.11.2025-30.11.2025</t>
  </si>
  <si>
    <t>Мегадом</t>
  </si>
  <si>
    <t>Байкальский банк (РИМ)</t>
  </si>
  <si>
    <t>с 01.10.2025 на 3 мес</t>
  </si>
  <si>
    <t>20.10.2025-19.11.2025</t>
  </si>
  <si>
    <t>21.10.2025 - 20.11.2025</t>
  </si>
  <si>
    <t>21.09.2025-20.10.2025</t>
  </si>
  <si>
    <t>до 18.10.2025</t>
  </si>
  <si>
    <t>Экран, ул. Куйбышева "ДИНАМО"</t>
  </si>
  <si>
    <t>24.10.2025-23.11.2025</t>
  </si>
  <si>
    <t>СМИТ Кудо</t>
  </si>
  <si>
    <t>03.09.2025 до конца года</t>
  </si>
  <si>
    <t>- пока есть свободн</t>
  </si>
  <si>
    <t>РБ/Тайга/БайкалВуд</t>
  </si>
  <si>
    <t>пока свободно</t>
  </si>
  <si>
    <t>03.09.2025-18.10.2025</t>
  </si>
  <si>
    <t>с 20.10.2025 на Динамо</t>
  </si>
  <si>
    <t>СМИТ</t>
  </si>
  <si>
    <t>Серебрянная мода</t>
  </si>
  <si>
    <t>13.10.2025-19.10.2025</t>
  </si>
  <si>
    <t>Номер один (Минприроды)</t>
  </si>
  <si>
    <t xml:space="preserve">Поющие чаши </t>
  </si>
  <si>
    <t>Нордконцерт (стендап)</t>
  </si>
  <si>
    <t>15.09.2025-15.11.2025</t>
  </si>
  <si>
    <t>21.10.2025-18.11.2025</t>
  </si>
  <si>
    <t xml:space="preserve">оплачено полностью </t>
  </si>
  <si>
    <t>Залан</t>
  </si>
  <si>
    <t>26.09.2025-29.10.2025</t>
  </si>
  <si>
    <t>22000 (?)</t>
  </si>
  <si>
    <t xml:space="preserve">Автомир </t>
  </si>
  <si>
    <t>Смит  инвест ВЗ</t>
  </si>
  <si>
    <t>23.10.2025-22.11.2025</t>
  </si>
  <si>
    <t>16.11.2025-30.11.2025</t>
  </si>
  <si>
    <t>ИП Шаров (ЖК)</t>
  </si>
  <si>
    <t>ВЛ-клиник 01.10-31.10</t>
  </si>
  <si>
    <t>Автомир бронь, предоплата</t>
  </si>
  <si>
    <t>23.11.2025-22.12.2025</t>
  </si>
  <si>
    <t>Серебряная мода бронь</t>
  </si>
  <si>
    <t>Щит ул. Куйбышева "Динамо" сторона Б</t>
  </si>
  <si>
    <t>Благотур (Тэнсуури) бронь</t>
  </si>
  <si>
    <t>Отель Ривьера бронь</t>
  </si>
  <si>
    <t>до конца октября</t>
  </si>
  <si>
    <t>Частная наркология Баир Нимаевич</t>
  </si>
  <si>
    <t>03.10.2025-31.10.2025</t>
  </si>
  <si>
    <t>Космос бронь февраль, март 2026</t>
  </si>
  <si>
    <t>07.10.2025 -06.11.2025</t>
  </si>
  <si>
    <t>Профмаш</t>
  </si>
  <si>
    <t>10.09.2025-09.10.025</t>
  </si>
  <si>
    <t xml:space="preserve">на 3 мес </t>
  </si>
  <si>
    <t>на 3 мея</t>
  </si>
  <si>
    <t>13.10.2025-31.10.2025</t>
  </si>
  <si>
    <t>СантехМет бронь</t>
  </si>
  <si>
    <t>СМИТ по ВЗ</t>
  </si>
  <si>
    <t>ИП Очиров (Тони Моли) ноябрь-март</t>
  </si>
  <si>
    <t>опл в августе</t>
  </si>
  <si>
    <t>Благотур (Тэнсуури)</t>
  </si>
  <si>
    <t>10.09.2025-20.10.2025</t>
  </si>
  <si>
    <t>05.09.2025-04.10.2025</t>
  </si>
  <si>
    <t>23.08.2025-22.09.2025</t>
  </si>
  <si>
    <t>Гефест по ВЗ</t>
  </si>
  <si>
    <t>15.11.2025-14.12.2025</t>
  </si>
  <si>
    <t>07.09.2025-07.12.2025</t>
  </si>
  <si>
    <t>на 8 мес до 07.12.2025</t>
  </si>
  <si>
    <t>01.10.2025--31.10.2025</t>
  </si>
  <si>
    <t>Байкальская Ривьера</t>
  </si>
  <si>
    <t>27.11.2025-26.12.2025</t>
  </si>
  <si>
    <t>07.11.2025-30.11.2025</t>
  </si>
  <si>
    <t>09.10.2025-08.11.2025</t>
  </si>
  <si>
    <t>Нордконцерт (стендап)/ЭКОвата</t>
  </si>
  <si>
    <t>Эковата - ВЗ</t>
  </si>
  <si>
    <t>01.12.2025-31.12.2025</t>
  </si>
  <si>
    <t>17.08.2025-16.09.2025</t>
  </si>
  <si>
    <t>ЖК (ИП Шаров)</t>
  </si>
  <si>
    <t>07.11.2025-06.12.2025</t>
  </si>
  <si>
    <t>оплачено в октябре</t>
  </si>
  <si>
    <t>01.12.2025-22.12.2025</t>
  </si>
  <si>
    <t>10.10.2025-31.10.2025</t>
  </si>
  <si>
    <t>РедТаг/Серебряная мода</t>
  </si>
  <si>
    <t>20.11.2025-19.12.2025</t>
  </si>
  <si>
    <t>Гефест (ИП Марков)</t>
  </si>
  <si>
    <t>15.10.2025-14.11.2025</t>
  </si>
  <si>
    <t>ВЗ (база Моховая)</t>
  </si>
  <si>
    <t>Поющие чаши (ИП Асташова)</t>
  </si>
  <si>
    <t>21.11.2025 - 20.12.2025</t>
  </si>
  <si>
    <t>28.08.2025 -27.09.2025</t>
  </si>
  <si>
    <t>24.11.2025-23.12.2025</t>
  </si>
  <si>
    <t>23.12.2025-22.01.2026</t>
  </si>
  <si>
    <t>Бот+Борс А</t>
  </si>
  <si>
    <t>24.08.2025-23.11.2025</t>
  </si>
  <si>
    <t xml:space="preserve">Николаевский </t>
  </si>
  <si>
    <t>20.10.2025 - 19.11.2025</t>
  </si>
  <si>
    <t>Нордконцерт (Стендап)</t>
  </si>
  <si>
    <t>15.12.2025-31.12.2025</t>
  </si>
  <si>
    <t xml:space="preserve">ИП Очиров (Тони Моли) </t>
  </si>
  <si>
    <t xml:space="preserve">Залан </t>
  </si>
  <si>
    <t>26.09.2025 - 25.10.2025</t>
  </si>
  <si>
    <t>до 15.10.2025</t>
  </si>
  <si>
    <t>Космос</t>
  </si>
  <si>
    <t>ИП Романова (лофт)</t>
  </si>
  <si>
    <t>21.11.2025-05.12.2025</t>
  </si>
  <si>
    <t xml:space="preserve">бесплатно </t>
  </si>
  <si>
    <t xml:space="preserve">ВЛ-клиник </t>
  </si>
  <si>
    <t xml:space="preserve">ММА </t>
  </si>
  <si>
    <t>бесплатно 17.11-23.11</t>
  </si>
  <si>
    <t>02.10.2025-31.10.2025</t>
  </si>
  <si>
    <t xml:space="preserve">Смит трейд </t>
  </si>
  <si>
    <t xml:space="preserve">ЦРБ </t>
  </si>
  <si>
    <t>15.10.2025-14.11.20205</t>
  </si>
  <si>
    <t>30.08.2025-14.09.2025</t>
  </si>
  <si>
    <t>Абсолют - тур (бронь)</t>
  </si>
  <si>
    <t>17.11.2025-31.12.2025</t>
  </si>
  <si>
    <t>25.08.2025-24.09.2025</t>
  </si>
  <si>
    <t>ООО Виктория (Астория Гранд)</t>
  </si>
  <si>
    <t>27.10.2025-23.11.205</t>
  </si>
  <si>
    <t>оплачено в октябре полностью</t>
  </si>
  <si>
    <t>до 30.12.2025</t>
  </si>
  <si>
    <t>ИМЦ (Байкал АГРО)</t>
  </si>
  <si>
    <t>Саган-Морин</t>
  </si>
  <si>
    <t>27.10.2025-26.11.2025</t>
  </si>
  <si>
    <t>ГБУ ИМЦ (Байкал Агро)</t>
  </si>
  <si>
    <t>частичное размещение</t>
  </si>
  <si>
    <t>Цыбикжапов В.Б./ЦРБ</t>
  </si>
  <si>
    <t>Динамо</t>
  </si>
  <si>
    <t xml:space="preserve">              22.08.2025-13.09.2025             </t>
  </si>
  <si>
    <t xml:space="preserve">  с 14.09.2025-30.11.2025  ЦРБ</t>
  </si>
  <si>
    <t>Бронь Суши-Хаус на 3 мес</t>
  </si>
  <si>
    <t>ЦРБ/С.Аюшеева с 13.09.2025</t>
  </si>
  <si>
    <t>30.09.2025-13.09.2025</t>
  </si>
  <si>
    <t>отсрочка платежа</t>
  </si>
  <si>
    <t>временно, потом на Абсолют перейдет</t>
  </si>
  <si>
    <t>на 6 мес до 04.10.25</t>
  </si>
  <si>
    <t>Шакман</t>
  </si>
  <si>
    <t>25.09.2025-24.10.2025</t>
  </si>
  <si>
    <t>РИМ Сбер</t>
  </si>
  <si>
    <t>26.11.2025-30.11.2025</t>
  </si>
  <si>
    <t>09.11.2025-08.12.2025</t>
  </si>
  <si>
    <t>21.10.2025-20.11.2025</t>
  </si>
  <si>
    <t>РИМ ДОМКЛИК</t>
  </si>
  <si>
    <t>по факту с 3.11.</t>
  </si>
  <si>
    <t>21.11.2025-20.12.2025</t>
  </si>
  <si>
    <t>Ёлки ЖК</t>
  </si>
  <si>
    <t>01.10.2025-до 31.12.2025</t>
  </si>
  <si>
    <t>оплачено в сентябре</t>
  </si>
  <si>
    <t>10.10.2025-09.11.025</t>
  </si>
  <si>
    <t>Униформа бронь</t>
  </si>
  <si>
    <t>Масличенко Кумуткан</t>
  </si>
  <si>
    <t>25.12.2025-24.01.2026</t>
  </si>
  <si>
    <t>Серебряная мода</t>
  </si>
  <si>
    <t xml:space="preserve">Байкальская Ривьера </t>
  </si>
  <si>
    <t>РА Виктория (Прайм)</t>
  </si>
  <si>
    <t>04.12.2025-03.01.2026</t>
  </si>
  <si>
    <t>ЭКОвата 03 по ВЗ</t>
  </si>
  <si>
    <t>26.11.2025-25.12.2026</t>
  </si>
  <si>
    <t>ВЗ в ноябре</t>
  </si>
  <si>
    <t>01.10.2025-31.12.2025</t>
  </si>
  <si>
    <t>Гефест (ВЗ) / Зубной ВЗ</t>
  </si>
  <si>
    <t>26.10.2025 - 25.11.2025</t>
  </si>
  <si>
    <t xml:space="preserve">Благотур (Тэнсуури) </t>
  </si>
  <si>
    <t>РА Виктория (ИП Носкова)</t>
  </si>
  <si>
    <t>19.12.2025-05.01.2026</t>
  </si>
  <si>
    <t>05.10.2025-04.11.2025</t>
  </si>
  <si>
    <t>23.09.2025-22.10.2025</t>
  </si>
  <si>
    <t>СМИТ ВЗ</t>
  </si>
  <si>
    <t>Космос (ВЗ)</t>
  </si>
  <si>
    <t>Абсолют Тур</t>
  </si>
  <si>
    <t>ЖК Бархан бронь декабрь</t>
  </si>
  <si>
    <t>Гефест (по ВЗ)</t>
  </si>
  <si>
    <t>Здоровый регион</t>
  </si>
  <si>
    <t>15.12.2025-14.01.2026</t>
  </si>
  <si>
    <t>Байкал Курорт ВЗ</t>
  </si>
  <si>
    <t>22.12.2025-21.12.2025</t>
  </si>
  <si>
    <t xml:space="preserve">Масличенко </t>
  </si>
  <si>
    <t>17.09.2025-16.10.2025</t>
  </si>
  <si>
    <t>25.10.2025-24.11.2025</t>
  </si>
  <si>
    <t>28.09.2025 -27.10.2025</t>
  </si>
  <si>
    <t>на 3 мес до января</t>
  </si>
  <si>
    <t xml:space="preserve">Диамед </t>
  </si>
  <si>
    <t>Байкал Экспо</t>
  </si>
  <si>
    <t>06.12.2025-20.12.2025</t>
  </si>
  <si>
    <t>Типография (ВЗ)</t>
  </si>
  <si>
    <t>01.12.2025 на 3 мес</t>
  </si>
  <si>
    <t>10.11.2025-09.12.2025</t>
  </si>
  <si>
    <t>Главная елка Бурятии</t>
  </si>
  <si>
    <t>до 31.12.2025</t>
  </si>
  <si>
    <t>Униформа (ИП Масличенко)</t>
  </si>
  <si>
    <t>11.11.2025-10.12.2025</t>
  </si>
  <si>
    <t>Здоровый регион 03</t>
  </si>
  <si>
    <t xml:space="preserve">Морепродукты </t>
  </si>
  <si>
    <t>Экодом (ООО Риц)</t>
  </si>
  <si>
    <t>08.12.2025-07.01.2026</t>
  </si>
  <si>
    <t>01.10.2025-30.11.2025</t>
  </si>
  <si>
    <t>до 30.11.2025</t>
  </si>
  <si>
    <t>Дента Люкс (бронь)</t>
  </si>
  <si>
    <t>05.11.2025-04.12.2025</t>
  </si>
  <si>
    <t>20.11.2025 - 19.12.2025</t>
  </si>
  <si>
    <t>Юргарант/Космос</t>
  </si>
  <si>
    <t>оплачено в сентябре полностью</t>
  </si>
  <si>
    <t>ЖК Бархан</t>
  </si>
  <si>
    <t>01.12.2025 -31.12.2025</t>
  </si>
  <si>
    <t>Бронь байкал Моторс</t>
  </si>
  <si>
    <t>Профмаш (вместо призмы</t>
  </si>
  <si>
    <t>22.12.2025-10.01.2026</t>
  </si>
  <si>
    <t>ИП Богданова (Березка)</t>
  </si>
  <si>
    <t>Типография</t>
  </si>
  <si>
    <t>16.10.2025-16.04.2026</t>
  </si>
  <si>
    <t>ЦЗН /ГРЭС</t>
  </si>
  <si>
    <t>ЖК Восход (ИП Шаров)</t>
  </si>
  <si>
    <t>до 06.12.2025</t>
  </si>
  <si>
    <t>Байкал курорт ВЗ</t>
  </si>
  <si>
    <t>на 3 мес с 01 января 2026г Соколова</t>
  </si>
  <si>
    <t>Заиграевский тракт (позиция 6) бронь такси "Везучая трешка"</t>
  </si>
  <si>
    <t>27.11.2025-30.12.205</t>
  </si>
  <si>
    <t>17.10.2025-16.11.2025</t>
  </si>
  <si>
    <t>Саган-Морин кафе бронь январь</t>
  </si>
  <si>
    <t>Агван по ВЗ</t>
  </si>
  <si>
    <t>28.10.2025 -27.11.2025</t>
  </si>
  <si>
    <t>оплачено полностью в октябре</t>
  </si>
  <si>
    <t>25.11.2025-24.12.2025</t>
  </si>
  <si>
    <r>
      <rPr>
        <sz val="10"/>
        <color theme="1"/>
        <rFont val="Comfortaa"/>
      </rPr>
      <t xml:space="preserve">Щит, </t>
    </r>
    <r>
      <rPr>
        <b/>
        <sz val="10"/>
        <color theme="1"/>
        <rFont val="Comfortaa"/>
      </rPr>
      <t xml:space="preserve">БУРНИИСХ </t>
    </r>
    <r>
      <rPr>
        <sz val="10"/>
        <color theme="1"/>
        <rFont val="Comfortaa"/>
      </rPr>
      <t>пр. Автомобилистов и ул. Блинова</t>
    </r>
  </si>
  <si>
    <t>Мелиор (ВЗ)</t>
  </si>
  <si>
    <r>
      <rPr>
        <sz val="10"/>
        <color theme="1"/>
        <rFont val="Comfortaa"/>
      </rPr>
      <t xml:space="preserve">Щит, </t>
    </r>
    <r>
      <rPr>
        <b/>
        <sz val="10"/>
        <color theme="1"/>
        <rFont val="Comfortaa"/>
      </rPr>
      <t xml:space="preserve">Зеленхоз, </t>
    </r>
    <r>
      <rPr>
        <sz val="10"/>
        <color theme="1"/>
        <rFont val="Comfortaa"/>
      </rPr>
      <t>ул. Блинова</t>
    </r>
  </si>
  <si>
    <t>10.12.2025-10.01.2026</t>
  </si>
  <si>
    <r>
      <rPr>
        <sz val="10"/>
        <color theme="1"/>
        <rFont val="Comfortaa"/>
      </rPr>
      <t xml:space="preserve">Щит, </t>
    </r>
    <r>
      <rPr>
        <b/>
        <sz val="10"/>
        <color theme="1"/>
        <rFont val="Comfortaa"/>
      </rPr>
      <t xml:space="preserve">Сосновый бор, </t>
    </r>
    <r>
      <rPr>
        <sz val="10"/>
        <color theme="1"/>
        <rFont val="Comfortaa"/>
      </rPr>
      <t>Заиграевский тракт</t>
    </r>
  </si>
  <si>
    <t>до 17.12.2025</t>
  </si>
  <si>
    <t>продляем еще на 3 мес до 23.02.2026</t>
  </si>
  <si>
    <t>02.11.2025-01.12.2025</t>
  </si>
  <si>
    <r>
      <rPr>
        <sz val="10"/>
        <color theme="1"/>
        <rFont val="Comfortaa"/>
      </rPr>
      <t xml:space="preserve">Тривижн. </t>
    </r>
    <r>
      <rPr>
        <b/>
        <sz val="10"/>
        <color theme="1"/>
        <rFont val="Comfortaa"/>
      </rPr>
      <t xml:space="preserve">ТАМИР </t>
    </r>
    <r>
      <rPr>
        <sz val="10"/>
        <color theme="1"/>
        <rFont val="Comfortaa"/>
      </rPr>
      <t>Бабушкина, д. 65</t>
    </r>
  </si>
  <si>
    <t xml:space="preserve">Абсолют - тур </t>
  </si>
  <si>
    <t>Дента люкс</t>
  </si>
  <si>
    <r>
      <rPr>
        <sz val="10"/>
        <color theme="1"/>
        <rFont val="Comfortaa"/>
      </rPr>
      <t>Щит,</t>
    </r>
    <r>
      <rPr>
        <b/>
        <sz val="10"/>
        <color theme="1"/>
        <rFont val="Comfortaa"/>
      </rPr>
      <t>ВАИ</t>
    </r>
    <r>
      <rPr>
        <sz val="10"/>
        <color theme="1"/>
        <rFont val="Comfortaa"/>
      </rPr>
      <t xml:space="preserve">  ул. Дорожная и Гурульбинская</t>
    </r>
  </si>
  <si>
    <t>Мелиор  ВЗ</t>
  </si>
  <si>
    <t>26.12.2025-25.01.2026</t>
  </si>
  <si>
    <t>14.11.2025 - 13.12.2025</t>
  </si>
  <si>
    <t>Призматрон и щит ул. Гагарина и Добролюбова</t>
  </si>
  <si>
    <t>бронь НАШ, сторона А</t>
  </si>
  <si>
    <t>ЦРБ/ Суши Хаус</t>
  </si>
  <si>
    <t>30.10.2025-29.11.2025</t>
  </si>
  <si>
    <t>Сити-формат, Сухэ-Батора, 7</t>
  </si>
  <si>
    <t>05.12.2025-04.01.2025</t>
  </si>
  <si>
    <t>5400 Юргарант</t>
  </si>
  <si>
    <t>16.10.2025-16.11.2026</t>
  </si>
  <si>
    <t>Зеленхоз, Сосновый бор - бронь март-май 2026 ИП Мункоев Н (автомат.ворота)</t>
  </si>
  <si>
    <t>Мелиор - на новые щиты</t>
  </si>
  <si>
    <t>Саган-Морин кафе бронь февраль</t>
  </si>
  <si>
    <t>добавить ВЗ</t>
  </si>
  <si>
    <t>в т.ч. доп. услуги</t>
  </si>
  <si>
    <t>28.11.2025 -27.12.2025</t>
  </si>
  <si>
    <t>Барис</t>
  </si>
  <si>
    <r>
      <rPr>
        <sz val="10"/>
        <color theme="1"/>
        <rFont val="Comfortaa"/>
      </rPr>
      <t xml:space="preserve">Щит, </t>
    </r>
    <r>
      <rPr>
        <b/>
        <sz val="10"/>
        <color theme="1"/>
        <rFont val="Comfortaa"/>
      </rPr>
      <t xml:space="preserve">БУРНИИСХ </t>
    </r>
    <r>
      <rPr>
        <sz val="10"/>
        <color theme="1"/>
        <rFont val="Comfortaa"/>
      </rPr>
      <t>пр. Автомобилистов и ул. Блинова</t>
    </r>
  </si>
  <si>
    <r>
      <rPr>
        <sz val="10"/>
        <color theme="1"/>
        <rFont val="Comfortaa"/>
      </rPr>
      <t xml:space="preserve">Щит, </t>
    </r>
    <r>
      <rPr>
        <b/>
        <sz val="10"/>
        <color theme="1"/>
        <rFont val="Comfortaa"/>
      </rPr>
      <t xml:space="preserve">Зеленхоз, </t>
    </r>
    <r>
      <rPr>
        <sz val="10"/>
        <color theme="1"/>
        <rFont val="Comfortaa"/>
      </rPr>
      <t>ул. Блинова</t>
    </r>
  </si>
  <si>
    <t xml:space="preserve">Индра М </t>
  </si>
  <si>
    <t>18.12.2025-17.01.2026</t>
  </si>
  <si>
    <t>А,Б</t>
  </si>
  <si>
    <t>Скважина 03 бронь март-октябрь 2026 обе стороны по 15000,00</t>
  </si>
  <si>
    <r>
      <rPr>
        <sz val="10"/>
        <color theme="1"/>
        <rFont val="Comfortaa"/>
      </rPr>
      <t xml:space="preserve">Щит, </t>
    </r>
    <r>
      <rPr>
        <b/>
        <sz val="10"/>
        <color theme="1"/>
        <rFont val="Comfortaa"/>
      </rPr>
      <t xml:space="preserve">Сосновый бор, </t>
    </r>
    <r>
      <rPr>
        <sz val="10"/>
        <color theme="1"/>
        <rFont val="Comfortaa"/>
      </rPr>
      <t>Заиграевский тракт</t>
    </r>
  </si>
  <si>
    <t>ИП Ткачева Н.И. Цветы</t>
  </si>
  <si>
    <t>14.12.2025 - 13.01.2026</t>
  </si>
  <si>
    <t>Суши-Хаус</t>
  </si>
  <si>
    <t>на 3 мес до28.02.2026</t>
  </si>
  <si>
    <t>16.11.2025-17.12.2026</t>
  </si>
  <si>
    <t>05.12.2025-04.01.2026</t>
  </si>
  <si>
    <t>Экран, пр. Автомобилистов сторона А</t>
  </si>
  <si>
    <t>Экран, пр. Автомобилистов сторона Б</t>
  </si>
  <si>
    <t>Экран, ул. Терешковой, 50</t>
  </si>
  <si>
    <t>09.07.2026-08.08.2026</t>
  </si>
  <si>
    <t xml:space="preserve">Такси барс  </t>
  </si>
  <si>
    <t>07.08.2026-06.09.2026</t>
  </si>
  <si>
    <t>15.08.2026-14.09.2026</t>
  </si>
  <si>
    <t>19.08.2026-18.09.2026</t>
  </si>
  <si>
    <t>Щит, ул. Мокрова, 30</t>
  </si>
  <si>
    <t>Тайга ВЗ</t>
  </si>
  <si>
    <t>20.08.2026-19.09.2026</t>
  </si>
  <si>
    <t>Щит, ул. Мокрова, 32</t>
  </si>
  <si>
    <t>05.08.2026-04.09.2026</t>
  </si>
  <si>
    <t>сентябрь</t>
  </si>
  <si>
    <t>07.09.2026-06.10.2026</t>
  </si>
  <si>
    <t>02.09.2026-30.09.2026</t>
  </si>
  <si>
    <t xml:space="preserve">Натяжные потолки Заря </t>
  </si>
  <si>
    <t>Моховая с 16.02.2026</t>
  </si>
  <si>
    <t>18.08.2026-17.09.2026</t>
  </si>
  <si>
    <t>17.09.2026-16.10.2026</t>
  </si>
  <si>
    <t>15.09.2026-14.10.2026</t>
  </si>
  <si>
    <t>Скважина03 - хотят в Сотниково или Бурвод</t>
  </si>
  <si>
    <t>26.09.2026-25.10.2026</t>
  </si>
  <si>
    <t>23.08.2026-22.09.2026</t>
  </si>
  <si>
    <t>17.09.2026-07.10.2026</t>
  </si>
  <si>
    <t>Щит, ул. Ключевская, 40В</t>
  </si>
  <si>
    <t>25.09.2026-10.10.2026</t>
  </si>
  <si>
    <t>11.08.2026-10.09.2026</t>
  </si>
  <si>
    <t xml:space="preserve">Тайга ВЗ </t>
  </si>
  <si>
    <t>13.08.2026-12.09.2026</t>
  </si>
  <si>
    <t>05.10.2026-04.11.2026</t>
  </si>
  <si>
    <t>Сити-формат,  ул. Смолина, 54, 1ый</t>
  </si>
  <si>
    <t>14.08.2026-14.10.2026</t>
  </si>
  <si>
    <t>Сити-формат,  ул. Смолина, 54, 2ый</t>
  </si>
  <si>
    <t>Сити-формат,  ул. Смолина, 54, 3ый</t>
  </si>
  <si>
    <t>Экран "Ольхон" Сахьяновой 9/14</t>
  </si>
  <si>
    <t>Экран Бурвод (Вегос М)</t>
  </si>
  <si>
    <t>Сити-формат,  ул. Гагарина, 25А (Сагаан Морин)</t>
  </si>
  <si>
    <t>Сити-формат,  ул. Гагарина - ул. Рылеева</t>
  </si>
  <si>
    <t xml:space="preserve">Кадровые решения </t>
  </si>
  <si>
    <r>
      <rPr>
        <sz val="10"/>
        <color theme="1"/>
        <rFont val="Comfortaa"/>
      </rPr>
      <t>Щит,</t>
    </r>
    <r>
      <rPr>
        <b/>
        <sz val="10"/>
        <color theme="1"/>
        <rFont val="Comfortaa"/>
      </rPr>
      <t>ВАИ</t>
    </r>
    <r>
      <rPr>
        <sz val="10"/>
        <color theme="1"/>
        <rFont val="Comfortaa"/>
      </rPr>
      <t xml:space="preserve">  ул. Дорожная и Гурульбинская</t>
    </r>
  </si>
  <si>
    <t>Сити-формат,  ул. Гагарина, 20</t>
  </si>
  <si>
    <t>Leznova Clinic бронь</t>
  </si>
  <si>
    <r>
      <rPr>
        <sz val="10"/>
        <color theme="1"/>
        <rFont val="Comfortaa"/>
      </rPr>
      <t xml:space="preserve">Тривижн. </t>
    </r>
    <r>
      <rPr>
        <b/>
        <sz val="10"/>
        <color theme="1"/>
        <rFont val="Comfortaa"/>
      </rPr>
      <t xml:space="preserve">ТАМИР </t>
    </r>
    <r>
      <rPr>
        <sz val="10"/>
        <color theme="1"/>
        <rFont val="Comfortaa"/>
      </rPr>
      <t>Бабушкина, д. 65</t>
    </r>
  </si>
  <si>
    <t>Сити-формат,  ул. Гагарина, 39 (Новый Юбилейный)</t>
  </si>
  <si>
    <t>Сити-формат,  ул. Гагарина, 28 (парк Железнодорожников)</t>
  </si>
  <si>
    <t>Сити-формат,  ул. Гагарина, 51 (ост. Аптека)</t>
  </si>
  <si>
    <t>Сити-формат,  ул. Гагарина 34, сквер Космос</t>
  </si>
  <si>
    <t>Сити-формат,  ул. Гагарина вблизи дома 57</t>
  </si>
  <si>
    <t>Сити-формат,  ул. Гагарина, 57а (ост. Баня)</t>
  </si>
  <si>
    <t>03.08.026-02.09.2026</t>
  </si>
  <si>
    <t>не работает</t>
  </si>
  <si>
    <t>Щит Бурвод</t>
  </si>
  <si>
    <t>до 23.10.2026</t>
  </si>
  <si>
    <t>Щит Сахьяновой, 6 БНЦ</t>
  </si>
  <si>
    <t>Щит Сахьяновой, 8</t>
  </si>
  <si>
    <t>Вегос М</t>
  </si>
  <si>
    <r>
      <rPr>
        <sz val="10"/>
        <color theme="1"/>
        <rFont val="Comfortaa"/>
      </rPr>
      <t xml:space="preserve">Щит, </t>
    </r>
    <r>
      <rPr>
        <b/>
        <sz val="10"/>
        <color theme="1"/>
        <rFont val="Comfortaa"/>
      </rPr>
      <t xml:space="preserve">БУРНИИСХ </t>
    </r>
    <r>
      <rPr>
        <sz val="10"/>
        <color theme="1"/>
        <rFont val="Comfortaa"/>
      </rPr>
      <t>пр. Автомобилистов и ул. Блинова</t>
    </r>
  </si>
  <si>
    <r>
      <rPr>
        <sz val="10"/>
        <color theme="1"/>
        <rFont val="Comfortaa"/>
      </rPr>
      <t xml:space="preserve">Щит, </t>
    </r>
    <r>
      <rPr>
        <b/>
        <sz val="10"/>
        <color theme="1"/>
        <rFont val="Comfortaa"/>
      </rPr>
      <t xml:space="preserve">Зеленхоз, </t>
    </r>
    <r>
      <rPr>
        <sz val="10"/>
        <color theme="1"/>
        <rFont val="Comfortaa"/>
      </rPr>
      <t>ул. Блинова</t>
    </r>
  </si>
  <si>
    <t>Теплица</t>
  </si>
  <si>
    <t>22.08.2026-21.09.2026</t>
  </si>
  <si>
    <t>ИП Сан Е.М. (кафе 110)</t>
  </si>
  <si>
    <r>
      <rPr>
        <sz val="10"/>
        <color theme="1"/>
        <rFont val="Comfortaa"/>
      </rPr>
      <t xml:space="preserve">Щит, </t>
    </r>
    <r>
      <rPr>
        <b/>
        <sz val="10"/>
        <color theme="1"/>
        <rFont val="Comfortaa"/>
      </rPr>
      <t>105 мркн</t>
    </r>
  </si>
  <si>
    <t>Щит, Иволгинск "Первый"</t>
  </si>
  <si>
    <t>Щит, Иволгинск "Второй" (Красовский)</t>
  </si>
  <si>
    <t>Щит Гусиноозерск ул.Ленина (ПЕРЕКРЕСТОК)</t>
  </si>
  <si>
    <t>Бредний Кристина Вадимовна ИП</t>
  </si>
  <si>
    <t>БАРИС-ПРОДУКТЫ ООО</t>
  </si>
  <si>
    <t>Ухнеева Зоя Пурбоевна ИП</t>
  </si>
  <si>
    <t>Шагдарова Индира Валерьевна ИП</t>
  </si>
  <si>
    <t xml:space="preserve">СМИТ-ТРЕЙД ООО  </t>
  </si>
  <si>
    <t>СМИТ-ТРЕЙД ООО</t>
  </si>
  <si>
    <t>СМИТ-ТРЕЙД ООО (Тритон)</t>
  </si>
  <si>
    <t>БАЙКАЛЬСКАЯ РИВЬЕРА ООО</t>
  </si>
  <si>
    <t>ГАРАНТИЙНЫЙ ФОНД БУРЯТИИ</t>
  </si>
  <si>
    <t>Каркунова Баярма Солбоновна ИП</t>
  </si>
  <si>
    <t>Машкович Алексей Александрович ИП</t>
  </si>
  <si>
    <t>Макогон Олег Викторович ИП</t>
  </si>
  <si>
    <t>СЗ БАЙКАЛ ПЛЮС ООО</t>
  </si>
  <si>
    <t xml:space="preserve">СЗ БАЙКАЛ ПЛЮС ООО </t>
  </si>
  <si>
    <t>ИП Норбоева Елена Иннокентьевна (новый Полином)</t>
  </si>
  <si>
    <t>Щит 112, близи магазина Бредний Кристина Вадимовна ИП</t>
  </si>
  <si>
    <t>Россельхозбанк</t>
  </si>
  <si>
    <t>ЦОЗИМП РБ ИМ. В.Р. БОЯНОВОЙ ГБУЗ</t>
  </si>
  <si>
    <t>ИП Седова Юлия Олеговна</t>
  </si>
  <si>
    <t>ООО "БАЙКАЛ ЭКСПО"</t>
  </si>
  <si>
    <t>ООО "Диагрупп"</t>
  </si>
  <si>
    <t>СЗ БАРХАН ООО</t>
  </si>
  <si>
    <t>ИДК ООО СЗ</t>
  </si>
  <si>
    <t xml:space="preserve">ИДК ООО СЗ </t>
  </si>
  <si>
    <t>Гасанов Саид Расул Оглы ИП</t>
  </si>
  <si>
    <t>Бальжиров Баир Евгеньевич ИП (вуднекст)</t>
  </si>
  <si>
    <t>Метком ООО</t>
  </si>
  <si>
    <t>ПРИМА МЕДИА ООО</t>
  </si>
  <si>
    <t>МАСТЕР ЭД ООО</t>
  </si>
  <si>
    <t>ТЦ ВОСТОК ООО</t>
  </si>
  <si>
    <t>МЕЛИОР ООО</t>
  </si>
  <si>
    <t>ГК ДЖИ ЭН ООО</t>
  </si>
  <si>
    <t>ДЕНТА ЛЮКС ООО</t>
  </si>
  <si>
    <t>Носкова Виктория Анатольевна</t>
  </si>
  <si>
    <t>ЭМ ДЕНТ+ ООО</t>
  </si>
  <si>
    <t>СТРОЙСТАНДАРТ ООО СЗ</t>
  </si>
  <si>
    <t>АГВАН ООО</t>
  </si>
  <si>
    <t>УЮТНЫЙ МИР ООО</t>
  </si>
  <si>
    <t>ООО "УГОЛЬНАЯ КОМПАНИЯ БУРЯТИИ"</t>
  </si>
  <si>
    <t>ВЕКТОР ООО (Николаевский)</t>
  </si>
  <si>
    <t xml:space="preserve"> ТЦ ВОСТОК ООО</t>
  </si>
  <si>
    <t>КВИНТА ООО</t>
  </si>
  <si>
    <t>01.10.2026-31.10.2026</t>
  </si>
  <si>
    <t xml:space="preserve">01.10.2026-31.10.2026 </t>
  </si>
  <si>
    <t>номер в схеме</t>
  </si>
  <si>
    <t>7/23</t>
  </si>
  <si>
    <t>5/25</t>
  </si>
  <si>
    <t>01.08.2026-31.10.2026</t>
  </si>
  <si>
    <t>сторона</t>
  </si>
  <si>
    <t>Щит, пр. Автомобилистов</t>
  </si>
  <si>
    <t>C</t>
  </si>
  <si>
    <t>B</t>
  </si>
  <si>
    <t>01.09.2026- 25.11.2026</t>
  </si>
  <si>
    <t>Сторона</t>
  </si>
  <si>
    <t>A</t>
  </si>
  <si>
    <t>A1</t>
  </si>
  <si>
    <t>A2</t>
  </si>
  <si>
    <t>A3</t>
  </si>
  <si>
    <t>B1</t>
  </si>
  <si>
    <t>B2</t>
  </si>
  <si>
    <t>B3</t>
  </si>
  <si>
    <t>20/25</t>
  </si>
  <si>
    <t>3/20</t>
  </si>
  <si>
    <t>32/24</t>
  </si>
  <si>
    <t>16/25</t>
  </si>
  <si>
    <t>6/25</t>
  </si>
  <si>
    <t>Призматрон/ щит ул. Гагарина и Добролюбова</t>
  </si>
  <si>
    <t>2/25</t>
  </si>
  <si>
    <t>01.12.2026-31.12.2026</t>
  </si>
  <si>
    <t>Лезнова Туяна Доржиевна ИП</t>
  </si>
  <si>
    <t>Болотов Чингис Аякович</t>
  </si>
  <si>
    <t>30/25</t>
  </si>
  <si>
    <t>31/25</t>
  </si>
  <si>
    <t>32/25</t>
  </si>
  <si>
    <t>33/25</t>
  </si>
  <si>
    <t>34/25</t>
  </si>
  <si>
    <t>35/25</t>
  </si>
  <si>
    <t>36/25</t>
  </si>
  <si>
    <t>37/25</t>
  </si>
  <si>
    <t>38/25</t>
  </si>
  <si>
    <t>39/25</t>
  </si>
  <si>
    <t>40/25</t>
  </si>
  <si>
    <t>41/25</t>
  </si>
  <si>
    <t>МКД №14</t>
  </si>
  <si>
    <t>МКД №38</t>
  </si>
  <si>
    <t>19/25</t>
  </si>
  <si>
    <t>б/н</t>
  </si>
  <si>
    <t>12/25</t>
  </si>
  <si>
    <t>12/24</t>
  </si>
  <si>
    <t>10/25</t>
  </si>
  <si>
    <t>27/25</t>
  </si>
  <si>
    <t>Щит,Заиграевское шоссе, 3 км</t>
  </si>
  <si>
    <t>29/24</t>
  </si>
  <si>
    <t>МУВ АРТ ПРОДАКШН ООО</t>
  </si>
  <si>
    <t>Курьянов Иван Николаевич ИП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</si>
</sst>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р.-419]#,##0.00"/>
    <numFmt numFmtId="165" formatCode="dd\.mm\.yyyy"/>
    <numFmt numFmtId="166" formatCode="#,##0.00;\(#,##0.00\)"/>
    <numFmt numFmtId="167" formatCode="dd\.mm"/>
    <numFmt numFmtId="168" formatCode="d\ mmmm"/>
  </numFmts>
  <fonts count="4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Comfortaa"/>
    </font>
    <font>
      <sz val="10"/>
      <color theme="1"/>
      <name val="Arial"/>
    </font>
    <font>
      <sz val="10"/>
      <color theme="1"/>
      <name val="&quot;Times New Roman&quot;"/>
    </font>
    <font>
      <sz val="11"/>
      <color rgb="FF000000"/>
      <name val="Calibri"/>
    </font>
    <font>
      <strike/>
      <sz val="10"/>
      <color theme="1"/>
      <name val="Comfortaa"/>
    </font>
    <font>
      <strike/>
      <sz val="10"/>
      <color theme="1"/>
      <name val="&quot;Times New Roman&quot;"/>
    </font>
    <font>
      <strike/>
      <sz val="10"/>
      <color rgb="FFFF0000"/>
      <name val="&quot;Times New Roman&quot;"/>
    </font>
    <font>
      <sz val="10"/>
      <color rgb="FFFF0000"/>
      <name val="&quot;Times New Roman&quot;"/>
    </font>
    <font>
      <strike/>
      <sz val="10"/>
      <color rgb="FFFF0000"/>
      <name val="Comfortaa"/>
    </font>
    <font>
      <sz val="10"/>
      <color rgb="FFFF0000"/>
      <name val="Comfortaa"/>
    </font>
    <font>
      <sz val="10"/>
      <color rgb="FF2C2D2E"/>
      <name val="Comfortaa"/>
    </font>
    <font>
      <sz val="10"/>
      <color rgb="FF000000"/>
      <name val="Comfortaa"/>
    </font>
    <font>
      <strike/>
      <sz val="10"/>
      <color theme="1"/>
      <name val="Arial"/>
      <scheme val="minor"/>
    </font>
    <font>
      <b/>
      <sz val="11"/>
      <color theme="1"/>
      <name val="Comfortaa"/>
    </font>
    <font>
      <sz val="10"/>
      <color rgb="FF434343"/>
      <name val="Comfortaa"/>
    </font>
    <font>
      <sz val="10"/>
      <color rgb="FFFF0000"/>
      <name val="Comfortaa"/>
    </font>
    <font>
      <sz val="10"/>
      <color rgb="FF000000"/>
      <name val="Comfortaa"/>
    </font>
    <font>
      <b/>
      <sz val="10"/>
      <color theme="1"/>
      <name val="Comfortaa"/>
    </font>
    <font>
      <sz val="10"/>
      <color theme="1"/>
      <name val="Comfortaa"/>
    </font>
    <font>
      <b/>
      <sz val="10"/>
      <color theme="1"/>
      <name val="Arial"/>
      <scheme val="minor"/>
    </font>
    <font>
      <sz val="11"/>
      <color theme="1"/>
      <name val="Arial"/>
      <scheme val="minor"/>
    </font>
    <font>
      <strike/>
      <sz val="10"/>
      <color rgb="FF000000"/>
      <name val="Comfortaa"/>
    </font>
    <font>
      <sz val="10"/>
      <color rgb="FF000000"/>
      <name val="Arial"/>
    </font>
    <font>
      <sz val="10"/>
      <color rgb="FFFF0000"/>
      <name val="Arial"/>
      <scheme val="minor"/>
    </font>
    <font>
      <b/>
      <sz val="10"/>
      <color rgb="FFFF0000"/>
      <name val="Comfortaa"/>
    </font>
    <font>
      <sz val="10"/>
      <name val="Arial"/>
    </font>
    <font>
      <b/>
      <sz val="10"/>
      <color theme="1"/>
      <name val="Comfortaa"/>
    </font>
    <font>
      <b/>
      <sz val="13"/>
      <color theme="1"/>
      <name val="Arial"/>
      <scheme val="minor"/>
    </font>
    <font>
      <b/>
      <sz val="10"/>
      <color rgb="FF000000"/>
      <name val="Comfortaa"/>
    </font>
    <font>
      <sz val="10"/>
      <color rgb="FF000000"/>
      <name val="Arial"/>
      <scheme val="minor"/>
    </font>
    <font>
      <sz val="11"/>
      <color rgb="FFFF0000"/>
      <name val="Arial"/>
      <scheme val="minor"/>
    </font>
    <font>
      <b/>
      <sz val="10"/>
      <color rgb="FFFF0000"/>
      <name val="Arial"/>
      <scheme val="minor"/>
    </font>
    <font>
      <sz val="10"/>
      <color rgb="FF0000FF"/>
      <name val="Comfortaa"/>
    </font>
    <font>
      <b/>
      <sz val="10"/>
      <color rgb="FFFF0000"/>
      <name val="Arial"/>
      <scheme val="minor"/>
    </font>
    <font>
      <sz val="11"/>
      <color rgb="FF333333"/>
      <name val="System-ui"/>
    </font>
    <font>
      <sz val="11"/>
      <color rgb="FF333333"/>
      <name val="Arial"/>
    </font>
    <font>
      <sz val="10"/>
      <color rgb="FF000000"/>
      <name val="Arial"/>
      <family val="2"/>
      <charset val="204"/>
      <scheme val="minor"/>
    </font>
    <font>
      <sz val="10"/>
      <name val="Comfortaa"/>
    </font>
    <font>
      <sz val="10"/>
      <color rgb="FF000000"/>
      <name val="Comfortaa"/>
      <charset val="204"/>
    </font>
    <font>
      <sz val="10"/>
      <color theme="1"/>
      <name val="Arial"/>
      <family val="2"/>
      <charset val="204"/>
      <scheme val="minor"/>
    </font>
    <font>
      <sz val="10"/>
      <name val="Arial"/>
      <family val="2"/>
      <charset val="204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F0"/>
        <bgColor rgb="FFFFFFF0"/>
      </patternFill>
    </fill>
    <fill>
      <patternFill patternType="solid">
        <fgColor rgb="FF92D050"/>
        <bgColor rgb="FF92D050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E69138"/>
        <bgColor rgb="FFE69138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theme="6"/>
        <bgColor theme="6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13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/>
    <xf numFmtId="0" fontId="2" fillId="0" borderId="2" xfId="0" applyFont="1" applyBorder="1" applyAlignment="1">
      <alignment horizontal="left"/>
    </xf>
    <xf numFmtId="0" fontId="4" fillId="0" borderId="2" xfId="0" applyFont="1" applyBorder="1" applyAlignment="1"/>
    <xf numFmtId="0" fontId="2" fillId="0" borderId="2" xfId="0" applyFont="1" applyBorder="1" applyAlignment="1">
      <alignment horizontal="center"/>
    </xf>
    <xf numFmtId="0" fontId="3" fillId="0" borderId="2" xfId="0" applyFont="1" applyBorder="1" applyAlignment="1"/>
    <xf numFmtId="164" fontId="2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/>
    <xf numFmtId="0" fontId="1" fillId="3" borderId="0" xfId="0" applyFont="1" applyFill="1" applyAlignment="1"/>
    <xf numFmtId="3" fontId="2" fillId="0" borderId="2" xfId="0" applyNumberFormat="1" applyFont="1" applyBorder="1" applyAlignment="1">
      <alignment horizontal="center"/>
    </xf>
    <xf numFmtId="3" fontId="3" fillId="0" borderId="2" xfId="0" applyNumberFormat="1" applyFont="1" applyBorder="1" applyAlignment="1"/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0" fontId="1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/>
    <xf numFmtId="0" fontId="2" fillId="4" borderId="2" xfId="0" applyFont="1" applyFill="1" applyBorder="1" applyAlignment="1">
      <alignment horizontal="left"/>
    </xf>
    <xf numFmtId="0" fontId="4" fillId="4" borderId="2" xfId="0" applyFont="1" applyFill="1" applyBorder="1" applyAlignment="1"/>
    <xf numFmtId="0" fontId="2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164" fontId="2" fillId="4" borderId="2" xfId="0" applyNumberFormat="1" applyFont="1" applyFill="1" applyBorder="1" applyAlignment="1">
      <alignment horizontal="center" wrapText="1"/>
    </xf>
    <xf numFmtId="164" fontId="4" fillId="4" borderId="2" xfId="0" applyNumberFormat="1" applyFont="1" applyFill="1" applyBorder="1" applyAlignment="1">
      <alignment horizontal="center" wrapText="1"/>
    </xf>
    <xf numFmtId="3" fontId="2" fillId="4" borderId="2" xfId="0" applyNumberFormat="1" applyFont="1" applyFill="1" applyBorder="1" applyAlignment="1">
      <alignment horizontal="center" wrapText="1"/>
    </xf>
    <xf numFmtId="3" fontId="4" fillId="4" borderId="2" xfId="0" applyNumberFormat="1" applyFont="1" applyFill="1" applyBorder="1" applyAlignment="1">
      <alignment horizontal="center" wrapText="1"/>
    </xf>
    <xf numFmtId="0" fontId="4" fillId="0" borderId="1" xfId="0" applyFont="1" applyBorder="1" applyAlignment="1"/>
    <xf numFmtId="0" fontId="2" fillId="0" borderId="2" xfId="0" applyFont="1" applyBorder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3" fontId="2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right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/>
    <xf numFmtId="0" fontId="1" fillId="0" borderId="0" xfId="0" applyFont="1" applyAlignment="1">
      <alignment horizontal="center" vertical="center"/>
    </xf>
    <xf numFmtId="164" fontId="2" fillId="5" borderId="2" xfId="0" applyNumberFormat="1" applyFont="1" applyFill="1" applyBorder="1" applyAlignment="1">
      <alignment horizontal="center"/>
    </xf>
    <xf numFmtId="0" fontId="8" fillId="0" borderId="2" xfId="0" applyFont="1" applyBorder="1" applyAlignment="1"/>
    <xf numFmtId="0" fontId="6" fillId="0" borderId="2" xfId="0" applyFont="1" applyBorder="1" applyAlignment="1">
      <alignment horizontal="left"/>
    </xf>
    <xf numFmtId="164" fontId="9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3" fontId="3" fillId="5" borderId="2" xfId="0" applyNumberFormat="1" applyFont="1" applyFill="1" applyBorder="1" applyAlignment="1"/>
    <xf numFmtId="164" fontId="2" fillId="5" borderId="2" xfId="0" applyNumberFormat="1" applyFont="1" applyFill="1" applyBorder="1" applyAlignment="1">
      <alignment horizontal="center"/>
    </xf>
    <xf numFmtId="3" fontId="2" fillId="5" borderId="2" xfId="0" applyNumberFormat="1" applyFont="1" applyFill="1" applyBorder="1" applyAlignment="1">
      <alignment horizontal="center"/>
    </xf>
    <xf numFmtId="164" fontId="3" fillId="5" borderId="2" xfId="0" applyNumberFormat="1" applyFont="1" applyFill="1" applyBorder="1" applyAlignment="1"/>
    <xf numFmtId="0" fontId="6" fillId="0" borderId="2" xfId="0" applyFont="1" applyBorder="1" applyAlignment="1">
      <alignment horizontal="left"/>
    </xf>
    <xf numFmtId="3" fontId="4" fillId="0" borderId="2" xfId="0" applyNumberFormat="1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0" fontId="3" fillId="5" borderId="2" xfId="0" applyFont="1" applyFill="1" applyBorder="1" applyAlignment="1"/>
    <xf numFmtId="3" fontId="6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164" fontId="4" fillId="5" borderId="2" xfId="0" applyNumberFormat="1" applyFont="1" applyFill="1" applyBorder="1" applyAlignment="1">
      <alignment horizontal="center"/>
    </xf>
    <xf numFmtId="3" fontId="4" fillId="5" borderId="2" xfId="0" applyNumberFormat="1" applyFont="1" applyFill="1" applyBorder="1" applyAlignment="1">
      <alignment horizontal="center"/>
    </xf>
    <xf numFmtId="0" fontId="7" fillId="0" borderId="0" xfId="0" applyFont="1" applyAlignment="1"/>
    <xf numFmtId="3" fontId="3" fillId="0" borderId="0" xfId="0" applyNumberFormat="1" applyFont="1" applyAlignment="1"/>
    <xf numFmtId="2" fontId="2" fillId="8" borderId="0" xfId="0" applyNumberFormat="1" applyFont="1" applyFill="1" applyAlignment="1">
      <alignment horizontal="center"/>
    </xf>
    <xf numFmtId="0" fontId="7" fillId="0" borderId="2" xfId="0" applyFont="1" applyBorder="1" applyAlignment="1"/>
    <xf numFmtId="164" fontId="7" fillId="0" borderId="2" xfId="0" applyNumberFormat="1" applyFont="1" applyBorder="1" applyAlignment="1">
      <alignment horizontal="center"/>
    </xf>
    <xf numFmtId="3" fontId="7" fillId="0" borderId="2" xfId="0" applyNumberFormat="1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6" fillId="0" borderId="2" xfId="0" applyFont="1" applyBorder="1" applyAlignment="1">
      <alignment horizontal="center"/>
    </xf>
    <xf numFmtId="2" fontId="4" fillId="8" borderId="0" xfId="0" applyNumberFormat="1" applyFont="1" applyFill="1" applyAlignment="1">
      <alignment horizontal="right"/>
    </xf>
    <xf numFmtId="0" fontId="10" fillId="0" borderId="2" xfId="0" applyFont="1" applyBorder="1" applyAlignment="1">
      <alignment horizontal="left"/>
    </xf>
    <xf numFmtId="0" fontId="4" fillId="0" borderId="0" xfId="0" applyFont="1" applyAlignment="1"/>
    <xf numFmtId="0" fontId="10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2" fontId="4" fillId="0" borderId="0" xfId="0" applyNumberFormat="1" applyFont="1" applyAlignment="1">
      <alignment horizontal="right"/>
    </xf>
    <xf numFmtId="164" fontId="10" fillId="0" borderId="3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3" fontId="6" fillId="0" borderId="3" xfId="0" applyNumberFormat="1" applyFont="1" applyBorder="1" applyAlignment="1">
      <alignment horizontal="center"/>
    </xf>
    <xf numFmtId="2" fontId="3" fillId="0" borderId="0" xfId="0" applyNumberFormat="1" applyFont="1" applyAlignment="1"/>
    <xf numFmtId="0" fontId="10" fillId="0" borderId="2" xfId="0" applyFont="1" applyBorder="1" applyAlignment="1">
      <alignment horizontal="left"/>
    </xf>
    <xf numFmtId="3" fontId="6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64" fontId="10" fillId="0" borderId="2" xfId="0" applyNumberFormat="1" applyFont="1" applyBorder="1" applyAlignment="1">
      <alignment horizontal="center"/>
    </xf>
    <xf numFmtId="0" fontId="7" fillId="0" borderId="0" xfId="0" applyFont="1" applyAlignment="1"/>
    <xf numFmtId="0" fontId="6" fillId="0" borderId="2" xfId="0" applyFont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4" fillId="5" borderId="1" xfId="0" applyFont="1" applyFill="1" applyBorder="1" applyAlignment="1"/>
    <xf numFmtId="164" fontId="11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9" fillId="0" borderId="2" xfId="0" applyFont="1" applyBorder="1" applyAlignment="1"/>
    <xf numFmtId="0" fontId="2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4" fontId="11" fillId="0" borderId="3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0" fontId="11" fillId="0" borderId="2" xfId="0" applyFont="1" applyBorder="1" applyAlignment="1">
      <alignment horizontal="left" wrapText="1"/>
    </xf>
    <xf numFmtId="164" fontId="11" fillId="0" borderId="2" xfId="0" applyNumberFormat="1" applyFont="1" applyBorder="1" applyAlignment="1">
      <alignment horizontal="center"/>
    </xf>
    <xf numFmtId="164" fontId="12" fillId="5" borderId="3" xfId="0" applyNumberFormat="1" applyFont="1" applyFill="1" applyBorder="1" applyAlignment="1">
      <alignment horizontal="center"/>
    </xf>
    <xf numFmtId="2" fontId="3" fillId="5" borderId="0" xfId="0" applyNumberFormat="1" applyFont="1" applyFill="1" applyAlignment="1"/>
    <xf numFmtId="2" fontId="2" fillId="5" borderId="0" xfId="0" applyNumberFormat="1" applyFont="1" applyFill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3" fillId="5" borderId="4" xfId="0" applyFont="1" applyFill="1" applyBorder="1" applyAlignment="1"/>
    <xf numFmtId="0" fontId="3" fillId="0" borderId="4" xfId="0" applyFont="1" applyBorder="1" applyAlignment="1"/>
    <xf numFmtId="0" fontId="2" fillId="5" borderId="4" xfId="0" applyFont="1" applyFill="1" applyBorder="1" applyAlignment="1">
      <alignment horizontal="center"/>
    </xf>
    <xf numFmtId="164" fontId="3" fillId="0" borderId="4" xfId="0" applyNumberFormat="1" applyFont="1" applyBorder="1" applyAlignment="1"/>
    <xf numFmtId="0" fontId="2" fillId="0" borderId="4" xfId="0" applyFont="1" applyBorder="1" applyAlignment="1">
      <alignment horizontal="center"/>
    </xf>
    <xf numFmtId="3" fontId="3" fillId="0" borderId="4" xfId="0" applyNumberFormat="1" applyFont="1" applyBorder="1" applyAlignment="1"/>
    <xf numFmtId="164" fontId="2" fillId="0" borderId="4" xfId="0" applyNumberFormat="1" applyFont="1" applyBorder="1" applyAlignment="1">
      <alignment horizontal="center"/>
    </xf>
    <xf numFmtId="164" fontId="3" fillId="5" borderId="4" xfId="0" applyNumberFormat="1" applyFont="1" applyFill="1" applyBorder="1" applyAlignment="1"/>
    <xf numFmtId="3" fontId="2" fillId="0" borderId="4" xfId="0" applyNumberFormat="1" applyFont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0" fontId="4" fillId="9" borderId="1" xfId="0" applyFont="1" applyFill="1" applyBorder="1" applyAlignment="1"/>
    <xf numFmtId="0" fontId="2" fillId="9" borderId="1" xfId="0" applyFont="1" applyFill="1" applyBorder="1" applyAlignment="1">
      <alignment horizontal="center"/>
    </xf>
    <xf numFmtId="0" fontId="4" fillId="9" borderId="2" xfId="0" applyFont="1" applyFill="1" applyBorder="1" applyAlignment="1"/>
    <xf numFmtId="0" fontId="2" fillId="9" borderId="2" xfId="0" applyFont="1" applyFill="1" applyBorder="1" applyAlignment="1">
      <alignment horizontal="left"/>
    </xf>
    <xf numFmtId="0" fontId="4" fillId="9" borderId="2" xfId="0" applyFont="1" applyFill="1" applyBorder="1" applyAlignment="1">
      <alignment horizontal="center" wrapText="1"/>
    </xf>
    <xf numFmtId="0" fontId="2" fillId="9" borderId="2" xfId="0" applyFont="1" applyFill="1" applyBorder="1" applyAlignment="1">
      <alignment horizontal="center" wrapText="1"/>
    </xf>
    <xf numFmtId="164" fontId="4" fillId="9" borderId="2" xfId="0" applyNumberFormat="1" applyFont="1" applyFill="1" applyBorder="1" applyAlignment="1">
      <alignment horizontal="center" wrapText="1"/>
    </xf>
    <xf numFmtId="164" fontId="2" fillId="9" borderId="2" xfId="0" applyNumberFormat="1" applyFont="1" applyFill="1" applyBorder="1" applyAlignment="1">
      <alignment horizontal="center" wrapText="1"/>
    </xf>
    <xf numFmtId="3" fontId="4" fillId="9" borderId="2" xfId="0" applyNumberFormat="1" applyFont="1" applyFill="1" applyBorder="1" applyAlignment="1">
      <alignment horizontal="center" wrapText="1"/>
    </xf>
    <xf numFmtId="3" fontId="2" fillId="9" borderId="2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3" fillId="0" borderId="2" xfId="0" applyFont="1" applyBorder="1" applyAlignment="1">
      <alignment horizontal="left"/>
    </xf>
    <xf numFmtId="0" fontId="2" fillId="2" borderId="3" xfId="0" applyFont="1" applyFill="1" applyBorder="1" applyAlignment="1">
      <alignment horizontal="center" wrapText="1"/>
    </xf>
    <xf numFmtId="0" fontId="13" fillId="0" borderId="2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13" fillId="0" borderId="3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4" fillId="0" borderId="0" xfId="0" applyFont="1" applyAlignment="1"/>
    <xf numFmtId="0" fontId="6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3" fontId="6" fillId="0" borderId="3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10" borderId="2" xfId="0" applyFont="1" applyFill="1" applyBorder="1" applyAlignment="1"/>
    <xf numFmtId="0" fontId="3" fillId="10" borderId="2" xfId="0" applyFont="1" applyFill="1" applyBorder="1" applyAlignment="1"/>
    <xf numFmtId="0" fontId="2" fillId="5" borderId="3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13" fillId="0" borderId="2" xfId="0" applyFont="1" applyBorder="1" applyAlignment="1">
      <alignment horizontal="left"/>
    </xf>
    <xf numFmtId="0" fontId="13" fillId="0" borderId="2" xfId="0" applyFont="1" applyBorder="1" applyAlignment="1">
      <alignment horizontal="center"/>
    </xf>
    <xf numFmtId="164" fontId="13" fillId="0" borderId="2" xfId="0" applyNumberFormat="1" applyFont="1" applyBorder="1" applyAlignment="1">
      <alignment horizontal="center"/>
    </xf>
    <xf numFmtId="0" fontId="2" fillId="5" borderId="2" xfId="0" applyFont="1" applyFill="1" applyBorder="1" applyAlignment="1">
      <alignment horizontal="left"/>
    </xf>
    <xf numFmtId="3" fontId="13" fillId="0" borderId="2" xfId="0" applyNumberFormat="1" applyFont="1" applyBorder="1" applyAlignment="1">
      <alignment horizontal="center"/>
    </xf>
    <xf numFmtId="164" fontId="10" fillId="0" borderId="2" xfId="0" applyNumberFormat="1" applyFont="1" applyBorder="1" applyAlignment="1">
      <alignment horizontal="center"/>
    </xf>
    <xf numFmtId="3" fontId="10" fillId="0" borderId="2" xfId="0" applyNumberFormat="1" applyFont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2" fontId="6" fillId="5" borderId="3" xfId="0" applyNumberFormat="1" applyFont="1" applyFill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3" fillId="11" borderId="1" xfId="0" applyFont="1" applyFill="1" applyBorder="1" applyAlignment="1"/>
    <xf numFmtId="164" fontId="2" fillId="9" borderId="2" xfId="0" applyNumberFormat="1" applyFont="1" applyFill="1" applyBorder="1" applyAlignment="1">
      <alignment horizontal="center"/>
    </xf>
    <xf numFmtId="0" fontId="4" fillId="11" borderId="2" xfId="0" applyFont="1" applyFill="1" applyBorder="1" applyAlignment="1"/>
    <xf numFmtId="3" fontId="2" fillId="9" borderId="2" xfId="0" applyNumberFormat="1" applyFont="1" applyFill="1" applyBorder="1" applyAlignment="1">
      <alignment horizontal="center"/>
    </xf>
    <xf numFmtId="0" fontId="3" fillId="11" borderId="2" xfId="0" applyFont="1" applyFill="1" applyBorder="1" applyAlignment="1"/>
    <xf numFmtId="164" fontId="3" fillId="11" borderId="2" xfId="0" applyNumberFormat="1" applyFont="1" applyFill="1" applyBorder="1" applyAlignment="1"/>
    <xf numFmtId="0" fontId="13" fillId="0" borderId="1" xfId="0" applyFont="1" applyBorder="1" applyAlignment="1">
      <alignment horizontal="center"/>
    </xf>
    <xf numFmtId="3" fontId="3" fillId="11" borderId="2" xfId="0" applyNumberFormat="1" applyFont="1" applyFill="1" applyBorder="1" applyAlignment="1"/>
    <xf numFmtId="164" fontId="13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3" fontId="13" fillId="0" borderId="3" xfId="0" applyNumberFormat="1" applyFont="1" applyBorder="1" applyAlignment="1">
      <alignment horizontal="center"/>
    </xf>
    <xf numFmtId="164" fontId="13" fillId="0" borderId="2" xfId="0" applyNumberFormat="1" applyFont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2" fillId="4" borderId="3" xfId="0" applyFont="1" applyFill="1" applyBorder="1" applyAlignment="1">
      <alignment horizontal="left"/>
    </xf>
    <xf numFmtId="0" fontId="13" fillId="0" borderId="3" xfId="0" applyFont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3" fontId="2" fillId="4" borderId="3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3" fontId="4" fillId="11" borderId="2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11" borderId="1" xfId="0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11" borderId="2" xfId="0" applyFont="1" applyFill="1" applyBorder="1" applyAlignment="1">
      <alignment horizontal="left"/>
    </xf>
    <xf numFmtId="0" fontId="2" fillId="11" borderId="2" xfId="0" applyFont="1" applyFill="1" applyBorder="1" applyAlignment="1">
      <alignment horizontal="center"/>
    </xf>
    <xf numFmtId="164" fontId="2" fillId="11" borderId="2" xfId="0" applyNumberFormat="1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3" fontId="2" fillId="11" borderId="2" xfId="0" applyNumberFormat="1" applyFont="1" applyFill="1" applyBorder="1" applyAlignment="1">
      <alignment horizontal="center"/>
    </xf>
    <xf numFmtId="0" fontId="2" fillId="11" borderId="3" xfId="0" applyFont="1" applyFill="1" applyBorder="1" applyAlignment="1">
      <alignment horizontal="left"/>
    </xf>
    <xf numFmtId="0" fontId="11" fillId="0" borderId="3" xfId="0" applyFont="1" applyBorder="1" applyAlignment="1">
      <alignment horizontal="center"/>
    </xf>
    <xf numFmtId="164" fontId="2" fillId="11" borderId="3" xfId="0" applyNumberFormat="1" applyFont="1" applyFill="1" applyBorder="1" applyAlignment="1">
      <alignment horizontal="center"/>
    </xf>
    <xf numFmtId="3" fontId="2" fillId="11" borderId="3" xfId="0" applyNumberFormat="1" applyFont="1" applyFill="1" applyBorder="1" applyAlignment="1">
      <alignment horizontal="center"/>
    </xf>
    <xf numFmtId="0" fontId="3" fillId="0" borderId="5" xfId="0" applyFont="1" applyBorder="1" applyAlignment="1"/>
    <xf numFmtId="0" fontId="2" fillId="11" borderId="3" xfId="0" applyFont="1" applyFill="1" applyBorder="1" applyAlignment="1">
      <alignment horizontal="left"/>
    </xf>
    <xf numFmtId="2" fontId="2" fillId="5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3" fillId="0" borderId="0" xfId="0" applyNumberFormat="1" applyFont="1" applyAlignment="1"/>
    <xf numFmtId="3" fontId="11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left" wrapText="1"/>
    </xf>
    <xf numFmtId="164" fontId="4" fillId="0" borderId="0" xfId="0" applyNumberFormat="1" applyFont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3" fontId="11" fillId="0" borderId="2" xfId="0" applyNumberFormat="1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2" xfId="0" applyFont="1" applyBorder="1" applyAlignment="1">
      <alignment horizontal="left"/>
    </xf>
    <xf numFmtId="0" fontId="15" fillId="0" borderId="2" xfId="0" applyFont="1" applyBorder="1" applyAlignment="1">
      <alignment horizontal="center"/>
    </xf>
    <xf numFmtId="164" fontId="15" fillId="0" borderId="2" xfId="0" applyNumberFormat="1" applyFont="1" applyBorder="1" applyAlignment="1">
      <alignment horizontal="center"/>
    </xf>
    <xf numFmtId="3" fontId="15" fillId="0" borderId="2" xfId="0" applyNumberFormat="1" applyFont="1" applyBorder="1" applyAlignment="1">
      <alignment horizontal="center"/>
    </xf>
    <xf numFmtId="166" fontId="15" fillId="0" borderId="2" xfId="0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2" fillId="4" borderId="2" xfId="0" applyFont="1" applyFill="1" applyBorder="1" applyAlignment="1">
      <alignment horizontal="center" wrapText="1"/>
    </xf>
    <xf numFmtId="166" fontId="2" fillId="4" borderId="2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166" fontId="2" fillId="5" borderId="2" xfId="0" applyNumberFormat="1" applyFont="1" applyFill="1" applyBorder="1" applyAlignment="1">
      <alignment horizontal="center"/>
    </xf>
    <xf numFmtId="166" fontId="2" fillId="5" borderId="2" xfId="0" applyNumberFormat="1" applyFont="1" applyFill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0" fontId="16" fillId="5" borderId="2" xfId="0" applyFont="1" applyFill="1" applyBorder="1" applyAlignment="1">
      <alignment horizontal="left"/>
    </xf>
    <xf numFmtId="166" fontId="17" fillId="0" borderId="2" xfId="0" applyNumberFormat="1" applyFont="1" applyBorder="1" applyAlignment="1">
      <alignment horizontal="center"/>
    </xf>
    <xf numFmtId="164" fontId="11" fillId="0" borderId="2" xfId="0" applyNumberFormat="1" applyFont="1" applyBorder="1" applyAlignment="1">
      <alignment horizontal="center" wrapText="1"/>
    </xf>
    <xf numFmtId="166" fontId="13" fillId="0" borderId="2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6" fontId="17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11" fillId="5" borderId="2" xfId="0" applyFont="1" applyFill="1" applyBorder="1" applyAlignment="1">
      <alignment horizontal="left"/>
    </xf>
    <xf numFmtId="0" fontId="18" fillId="12" borderId="3" xfId="0" applyFont="1" applyFill="1" applyBorder="1" applyAlignment="1">
      <alignment horizontal="left"/>
    </xf>
    <xf numFmtId="166" fontId="2" fillId="0" borderId="3" xfId="0" applyNumberFormat="1" applyFont="1" applyBorder="1" applyAlignment="1">
      <alignment horizontal="center"/>
    </xf>
    <xf numFmtId="0" fontId="1" fillId="0" borderId="3" xfId="0" applyFont="1" applyBorder="1" applyAlignment="1"/>
    <xf numFmtId="0" fontId="1" fillId="0" borderId="3" xfId="0" applyFont="1" applyBorder="1"/>
    <xf numFmtId="0" fontId="19" fillId="0" borderId="2" xfId="0" applyFont="1" applyBorder="1" applyAlignment="1">
      <alignment horizontal="left"/>
    </xf>
    <xf numFmtId="166" fontId="2" fillId="5" borderId="3" xfId="0" applyNumberFormat="1" applyFont="1" applyFill="1" applyBorder="1" applyAlignment="1">
      <alignment horizontal="center"/>
    </xf>
    <xf numFmtId="166" fontId="2" fillId="13" borderId="3" xfId="0" applyNumberFormat="1" applyFont="1" applyFill="1" applyBorder="1" applyAlignment="1">
      <alignment horizontal="center"/>
    </xf>
    <xf numFmtId="166" fontId="2" fillId="5" borderId="4" xfId="0" applyNumberFormat="1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6" fillId="0" borderId="2" xfId="0" applyFont="1" applyBorder="1" applyAlignment="1">
      <alignment horizontal="left"/>
    </xf>
    <xf numFmtId="0" fontId="16" fillId="0" borderId="2" xfId="0" applyFont="1" applyBorder="1" applyAlignment="1">
      <alignment horizontal="left" wrapText="1"/>
    </xf>
    <xf numFmtId="0" fontId="16" fillId="0" borderId="2" xfId="0" applyFon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0" fontId="17" fillId="5" borderId="3" xfId="0" applyFont="1" applyFill="1" applyBorder="1" applyAlignment="1">
      <alignment horizontal="left"/>
    </xf>
    <xf numFmtId="0" fontId="17" fillId="0" borderId="3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0" borderId="0" xfId="0" applyFont="1" applyAlignment="1">
      <alignment horizontal="center"/>
    </xf>
    <xf numFmtId="166" fontId="18" fillId="0" borderId="3" xfId="0" applyNumberFormat="1" applyFon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3" fillId="5" borderId="2" xfId="0" applyFont="1" applyFill="1" applyBorder="1" applyAlignment="1">
      <alignment horizontal="left"/>
    </xf>
    <xf numFmtId="0" fontId="13" fillId="12" borderId="2" xfId="0" applyFont="1" applyFill="1" applyBorder="1" applyAlignment="1">
      <alignment horizontal="left"/>
    </xf>
    <xf numFmtId="166" fontId="2" fillId="0" borderId="4" xfId="0" applyNumberFormat="1" applyFont="1" applyBorder="1" applyAlignment="1">
      <alignment horizontal="center"/>
    </xf>
    <xf numFmtId="166" fontId="2" fillId="9" borderId="2" xfId="0" applyNumberFormat="1" applyFont="1" applyFill="1" applyBorder="1" applyAlignment="1">
      <alignment horizontal="center"/>
    </xf>
    <xf numFmtId="166" fontId="2" fillId="4" borderId="3" xfId="0" applyNumberFormat="1" applyFont="1" applyFill="1" applyBorder="1" applyAlignment="1">
      <alignment horizontal="center"/>
    </xf>
    <xf numFmtId="166" fontId="2" fillId="0" borderId="3" xfId="0" applyNumberFormat="1" applyFont="1" applyBorder="1" applyAlignment="1">
      <alignment horizontal="center"/>
    </xf>
    <xf numFmtId="166" fontId="2" fillId="11" borderId="3" xfId="0" applyNumberFormat="1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166" fontId="2" fillId="11" borderId="2" xfId="0" applyNumberFormat="1" applyFont="1" applyFill="1" applyBorder="1" applyAlignment="1">
      <alignment horizontal="center"/>
    </xf>
    <xf numFmtId="3" fontId="2" fillId="5" borderId="3" xfId="0" applyNumberFormat="1" applyFont="1" applyFill="1" applyBorder="1" applyAlignment="1">
      <alignment horizontal="center"/>
    </xf>
    <xf numFmtId="3" fontId="2" fillId="0" borderId="0" xfId="0" applyNumberFormat="1" applyFont="1" applyAlignment="1">
      <alignment horizontal="center"/>
    </xf>
    <xf numFmtId="166" fontId="2" fillId="13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1" fillId="0" borderId="0" xfId="0" applyFont="1" applyAlignment="1"/>
    <xf numFmtId="165" fontId="3" fillId="0" borderId="0" xfId="0" applyNumberFormat="1" applyFont="1" applyAlignment="1"/>
    <xf numFmtId="0" fontId="2" fillId="1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166" fontId="2" fillId="5" borderId="3" xfId="0" applyNumberFormat="1" applyFont="1" applyFill="1" applyBorder="1" applyAlignment="1">
      <alignment horizontal="center"/>
    </xf>
    <xf numFmtId="0" fontId="18" fillId="5" borderId="2" xfId="0" applyFont="1" applyFill="1" applyBorder="1" applyAlignment="1">
      <alignment horizontal="left"/>
    </xf>
    <xf numFmtId="166" fontId="18" fillId="0" borderId="2" xfId="0" applyNumberFormat="1" applyFont="1" applyBorder="1" applyAlignment="1">
      <alignment horizontal="center"/>
    </xf>
    <xf numFmtId="166" fontId="11" fillId="0" borderId="2" xfId="0" applyNumberFormat="1" applyFont="1" applyBorder="1" applyAlignment="1">
      <alignment horizontal="center"/>
    </xf>
    <xf numFmtId="0" fontId="10" fillId="5" borderId="2" xfId="0" applyFont="1" applyFill="1" applyBorder="1" applyAlignment="1">
      <alignment horizontal="left"/>
    </xf>
    <xf numFmtId="0" fontId="18" fillId="5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2" fillId="12" borderId="3" xfId="0" applyFont="1" applyFill="1" applyBorder="1" applyAlignment="1">
      <alignment horizontal="center"/>
    </xf>
    <xf numFmtId="4" fontId="22" fillId="0" borderId="3" xfId="0" applyNumberFormat="1" applyFont="1" applyBorder="1" applyAlignment="1"/>
    <xf numFmtId="0" fontId="20" fillId="0" borderId="3" xfId="0" applyFont="1" applyBorder="1"/>
    <xf numFmtId="0" fontId="20" fillId="0" borderId="0" xfId="0" applyFont="1"/>
    <xf numFmtId="166" fontId="11" fillId="5" borderId="2" xfId="0" applyNumberFormat="1" applyFont="1" applyFill="1" applyBorder="1" applyAlignment="1">
      <alignment horizontal="center"/>
    </xf>
    <xf numFmtId="0" fontId="23" fillId="5" borderId="2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166" fontId="1" fillId="13" borderId="0" xfId="0" applyNumberFormat="1" applyFont="1" applyFill="1"/>
    <xf numFmtId="166" fontId="1" fillId="0" borderId="0" xfId="0" applyNumberFormat="1" applyFont="1"/>
    <xf numFmtId="0" fontId="1" fillId="0" borderId="0" xfId="0" applyFont="1" applyAlignment="1">
      <alignment wrapText="1"/>
    </xf>
    <xf numFmtId="3" fontId="2" fillId="4" borderId="2" xfId="0" applyNumberFormat="1" applyFont="1" applyFill="1" applyBorder="1" applyAlignment="1">
      <alignment horizontal="center" wrapText="1"/>
    </xf>
    <xf numFmtId="166" fontId="18" fillId="4" borderId="2" xfId="0" applyNumberFormat="1" applyFont="1" applyFill="1" applyBorder="1" applyAlignment="1">
      <alignment horizontal="center" wrapText="1"/>
    </xf>
    <xf numFmtId="166" fontId="18" fillId="4" borderId="2" xfId="0" applyNumberFormat="1" applyFont="1" applyFill="1" applyBorder="1" applyAlignment="1">
      <alignment horizontal="center" wrapText="1"/>
    </xf>
    <xf numFmtId="0" fontId="18" fillId="4" borderId="2" xfId="0" applyFont="1" applyFill="1" applyBorder="1" applyAlignment="1">
      <alignment horizontal="center" wrapText="1"/>
    </xf>
    <xf numFmtId="0" fontId="18" fillId="2" borderId="2" xfId="0" applyFont="1" applyFill="1" applyBorder="1" applyAlignment="1">
      <alignment horizontal="center"/>
    </xf>
    <xf numFmtId="0" fontId="24" fillId="2" borderId="2" xfId="0" applyFont="1" applyFill="1" applyBorder="1" applyAlignment="1">
      <alignment wrapText="1"/>
    </xf>
    <xf numFmtId="0" fontId="18" fillId="2" borderId="2" xfId="0" applyFont="1" applyFill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18" fillId="2" borderId="1" xfId="0" applyFont="1" applyFill="1" applyBorder="1" applyAlignment="1">
      <alignment horizontal="center"/>
    </xf>
    <xf numFmtId="0" fontId="24" fillId="0" borderId="2" xfId="0" applyFont="1" applyBorder="1" applyAlignment="1"/>
    <xf numFmtId="0" fontId="24" fillId="0" borderId="2" xfId="0" applyFont="1" applyBorder="1" applyAlignment="1">
      <alignment horizontal="right"/>
    </xf>
    <xf numFmtId="0" fontId="24" fillId="0" borderId="2" xfId="0" applyFont="1" applyBorder="1" applyAlignment="1"/>
    <xf numFmtId="166" fontId="13" fillId="0" borderId="2" xfId="0" applyNumberFormat="1" applyFont="1" applyBorder="1" applyAlignment="1">
      <alignment horizontal="center"/>
    </xf>
    <xf numFmtId="166" fontId="11" fillId="0" borderId="2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25" fillId="0" borderId="0" xfId="0" applyFont="1"/>
    <xf numFmtId="0" fontId="26" fillId="0" borderId="2" xfId="0" applyFont="1" applyBorder="1" applyAlignment="1">
      <alignment horizontal="left"/>
    </xf>
    <xf numFmtId="166" fontId="11" fillId="5" borderId="2" xfId="0" applyNumberFormat="1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19" fillId="5" borderId="2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center" wrapText="1"/>
    </xf>
    <xf numFmtId="0" fontId="19" fillId="12" borderId="2" xfId="0" applyFont="1" applyFill="1" applyBorder="1" applyAlignment="1">
      <alignment horizontal="left"/>
    </xf>
    <xf numFmtId="0" fontId="2" fillId="12" borderId="2" xfId="0" applyFont="1" applyFill="1" applyBorder="1" applyAlignment="1">
      <alignment horizontal="center"/>
    </xf>
    <xf numFmtId="164" fontId="2" fillId="12" borderId="2" xfId="0" applyNumberFormat="1" applyFont="1" applyFill="1" applyBorder="1" applyAlignment="1">
      <alignment horizontal="center"/>
    </xf>
    <xf numFmtId="3" fontId="2" fillId="12" borderId="2" xfId="0" applyNumberFormat="1" applyFont="1" applyFill="1" applyBorder="1" applyAlignment="1">
      <alignment horizontal="center"/>
    </xf>
    <xf numFmtId="166" fontId="2" fillId="12" borderId="2" xfId="0" applyNumberFormat="1" applyFont="1" applyFill="1" applyBorder="1" applyAlignment="1">
      <alignment horizontal="center"/>
    </xf>
    <xf numFmtId="166" fontId="2" fillId="12" borderId="2" xfId="0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17" fillId="5" borderId="2" xfId="0" applyFont="1" applyFill="1" applyBorder="1" applyAlignment="1">
      <alignment horizontal="left"/>
    </xf>
    <xf numFmtId="166" fontId="11" fillId="5" borderId="3" xfId="0" applyNumberFormat="1" applyFont="1" applyFill="1" applyBorder="1" applyAlignment="1">
      <alignment horizontal="center"/>
    </xf>
    <xf numFmtId="166" fontId="11" fillId="5" borderId="3" xfId="0" applyNumberFormat="1" applyFont="1" applyFill="1" applyBorder="1" applyAlignment="1">
      <alignment horizontal="center"/>
    </xf>
    <xf numFmtId="0" fontId="24" fillId="0" borderId="0" xfId="0" applyFont="1" applyAlignment="1"/>
    <xf numFmtId="165" fontId="1" fillId="0" borderId="3" xfId="0" applyNumberFormat="1" applyFont="1" applyBorder="1" applyAlignment="1"/>
    <xf numFmtId="0" fontId="19" fillId="0" borderId="3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1" fillId="0" borderId="0" xfId="0" applyFont="1" applyAlignment="1">
      <alignment wrapText="1"/>
    </xf>
    <xf numFmtId="3" fontId="11" fillId="0" borderId="3" xfId="0" applyNumberFormat="1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2" fillId="12" borderId="2" xfId="0" applyFont="1" applyFill="1" applyBorder="1" applyAlignment="1">
      <alignment horizontal="left"/>
    </xf>
    <xf numFmtId="0" fontId="11" fillId="12" borderId="3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13" fillId="7" borderId="3" xfId="0" applyFont="1" applyFill="1" applyBorder="1" applyAlignment="1">
      <alignment horizontal="center"/>
    </xf>
    <xf numFmtId="0" fontId="17" fillId="0" borderId="3" xfId="0" applyFont="1" applyBorder="1"/>
    <xf numFmtId="166" fontId="11" fillId="0" borderId="3" xfId="0" applyNumberFormat="1" applyFont="1" applyBorder="1" applyAlignment="1">
      <alignment horizontal="center"/>
    </xf>
    <xf numFmtId="0" fontId="2" fillId="9" borderId="2" xfId="0" applyFont="1" applyFill="1" applyBorder="1" applyAlignment="1">
      <alignment horizontal="left"/>
    </xf>
    <xf numFmtId="166" fontId="2" fillId="13" borderId="4" xfId="0" applyNumberFormat="1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left" wrapText="1"/>
    </xf>
    <xf numFmtId="0" fontId="11" fillId="5" borderId="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11" borderId="2" xfId="0" applyFont="1" applyFill="1" applyBorder="1" applyAlignment="1">
      <alignment horizontal="left"/>
    </xf>
    <xf numFmtId="0" fontId="2" fillId="13" borderId="0" xfId="0" applyFont="1" applyFill="1" applyAlignment="1">
      <alignment horizontal="center"/>
    </xf>
    <xf numFmtId="0" fontId="24" fillId="2" borderId="6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24" fillId="0" borderId="2" xfId="0" applyFont="1" applyBorder="1"/>
    <xf numFmtId="0" fontId="5" fillId="0" borderId="2" xfId="0" applyFont="1" applyBorder="1" applyAlignment="1">
      <alignment horizontal="right"/>
    </xf>
    <xf numFmtId="0" fontId="24" fillId="0" borderId="0" xfId="0" applyFont="1" applyAlignment="1">
      <alignment wrapText="1"/>
    </xf>
    <xf numFmtId="0" fontId="2" fillId="13" borderId="0" xfId="0" applyFont="1" applyFill="1" applyAlignment="1">
      <alignment horizontal="center"/>
    </xf>
    <xf numFmtId="0" fontId="2" fillId="0" borderId="7" xfId="0" applyFont="1" applyBorder="1" applyAlignment="1">
      <alignment horizontal="center"/>
    </xf>
    <xf numFmtId="166" fontId="2" fillId="6" borderId="3" xfId="0" applyNumberFormat="1" applyFont="1" applyFill="1" applyBorder="1" applyAlignment="1">
      <alignment horizontal="center"/>
    </xf>
    <xf numFmtId="166" fontId="2" fillId="6" borderId="3" xfId="0" applyNumberFormat="1" applyFont="1" applyFill="1" applyBorder="1" applyAlignment="1">
      <alignment horizontal="center"/>
    </xf>
    <xf numFmtId="0" fontId="19" fillId="6" borderId="3" xfId="0" applyFont="1" applyFill="1" applyBorder="1" applyAlignment="1">
      <alignment horizontal="left"/>
    </xf>
    <xf numFmtId="0" fontId="2" fillId="6" borderId="3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0" fillId="11" borderId="2" xfId="0" applyFont="1" applyFill="1" applyBorder="1" applyAlignment="1"/>
    <xf numFmtId="0" fontId="3" fillId="4" borderId="2" xfId="0" applyFont="1" applyFill="1" applyBorder="1" applyAlignment="1"/>
    <xf numFmtId="164" fontId="20" fillId="9" borderId="2" xfId="0" applyNumberFormat="1" applyFont="1" applyFill="1" applyBorder="1" applyAlignment="1">
      <alignment horizontal="center" wrapText="1"/>
    </xf>
    <xf numFmtId="3" fontId="20" fillId="4" borderId="2" xfId="0" applyNumberFormat="1" applyFont="1" applyFill="1" applyBorder="1" applyAlignment="1">
      <alignment horizontal="center" wrapText="1"/>
    </xf>
    <xf numFmtId="166" fontId="20" fillId="4" borderId="2" xfId="0" applyNumberFormat="1" applyFont="1" applyFill="1" applyBorder="1" applyAlignment="1">
      <alignment horizontal="center" wrapText="1"/>
    </xf>
    <xf numFmtId="0" fontId="20" fillId="4" borderId="2" xfId="0" applyFont="1" applyFill="1" applyBorder="1" applyAlignment="1">
      <alignment horizontal="center" wrapText="1"/>
    </xf>
    <xf numFmtId="0" fontId="20" fillId="14" borderId="3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3" fillId="0" borderId="2" xfId="0" applyFont="1" applyBorder="1" applyAlignment="1"/>
    <xf numFmtId="166" fontId="3" fillId="0" borderId="2" xfId="0" applyNumberFormat="1" applyFont="1" applyBorder="1" applyAlignment="1"/>
    <xf numFmtId="166" fontId="3" fillId="5" borderId="2" xfId="0" applyNumberFormat="1" applyFont="1" applyFill="1" applyBorder="1" applyAlignment="1"/>
    <xf numFmtId="0" fontId="3" fillId="0" borderId="3" xfId="0" applyFont="1" applyBorder="1" applyAlignme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/>
    <xf numFmtId="167" fontId="3" fillId="0" borderId="2" xfId="0" applyNumberFormat="1" applyFont="1" applyBorder="1" applyAlignment="1"/>
    <xf numFmtId="0" fontId="28" fillId="0" borderId="2" xfId="0" applyFont="1" applyBorder="1" applyAlignment="1"/>
    <xf numFmtId="166" fontId="20" fillId="5" borderId="3" xfId="0" applyNumberFormat="1" applyFont="1" applyFill="1" applyBorder="1" applyAlignment="1">
      <alignment horizontal="center"/>
    </xf>
    <xf numFmtId="0" fontId="3" fillId="5" borderId="3" xfId="0" applyFont="1" applyFill="1" applyBorder="1" applyAlignment="1"/>
    <xf numFmtId="0" fontId="28" fillId="0" borderId="2" xfId="0" applyFont="1" applyBorder="1" applyAlignment="1"/>
    <xf numFmtId="166" fontId="20" fillId="13" borderId="0" xfId="0" applyNumberFormat="1" applyFont="1" applyFill="1" applyAlignment="1">
      <alignment horizontal="center"/>
    </xf>
    <xf numFmtId="0" fontId="3" fillId="5" borderId="3" xfId="0" applyFont="1" applyFill="1" applyBorder="1" applyAlignment="1"/>
    <xf numFmtId="3" fontId="2" fillId="12" borderId="2" xfId="0" applyNumberFormat="1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 wrapText="1"/>
    </xf>
    <xf numFmtId="0" fontId="2" fillId="10" borderId="1" xfId="0" applyFont="1" applyFill="1" applyBorder="1" applyAlignment="1">
      <alignment horizontal="center"/>
    </xf>
    <xf numFmtId="0" fontId="13" fillId="10" borderId="2" xfId="0" applyFont="1" applyFill="1" applyBorder="1" applyAlignment="1">
      <alignment horizontal="left"/>
    </xf>
    <xf numFmtId="0" fontId="2" fillId="10" borderId="2" xfId="0" applyFont="1" applyFill="1" applyBorder="1" applyAlignment="1">
      <alignment horizontal="center"/>
    </xf>
    <xf numFmtId="3" fontId="2" fillId="10" borderId="2" xfId="0" applyNumberFormat="1" applyFont="1" applyFill="1" applyBorder="1" applyAlignment="1">
      <alignment horizontal="center"/>
    </xf>
    <xf numFmtId="166" fontId="2" fillId="10" borderId="2" xfId="0" applyNumberFormat="1" applyFont="1" applyFill="1" applyBorder="1" applyAlignment="1">
      <alignment horizontal="center"/>
    </xf>
    <xf numFmtId="166" fontId="2" fillId="10" borderId="2" xfId="0" applyNumberFormat="1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164" fontId="13" fillId="10" borderId="2" xfId="0" applyNumberFormat="1" applyFont="1" applyFill="1" applyBorder="1" applyAlignment="1">
      <alignment horizontal="center"/>
    </xf>
    <xf numFmtId="166" fontId="13" fillId="10" borderId="2" xfId="0" applyNumberFormat="1" applyFont="1" applyFill="1" applyBorder="1" applyAlignment="1">
      <alignment horizontal="center"/>
    </xf>
    <xf numFmtId="166" fontId="13" fillId="10" borderId="2" xfId="0" applyNumberFormat="1" applyFont="1" applyFill="1" applyBorder="1" applyAlignment="1">
      <alignment horizontal="center"/>
    </xf>
    <xf numFmtId="0" fontId="1" fillId="0" borderId="2" xfId="0" applyFont="1" applyBorder="1" applyAlignment="1"/>
    <xf numFmtId="0" fontId="1" fillId="0" borderId="2" xfId="0" applyFont="1" applyBorder="1"/>
    <xf numFmtId="3" fontId="11" fillId="12" borderId="2" xfId="0" applyNumberFormat="1" applyFont="1" applyFill="1" applyBorder="1" applyAlignment="1">
      <alignment horizontal="center"/>
    </xf>
    <xf numFmtId="166" fontId="17" fillId="12" borderId="2" xfId="0" applyNumberFormat="1" applyFont="1" applyFill="1" applyBorder="1" applyAlignment="1">
      <alignment horizontal="center"/>
    </xf>
    <xf numFmtId="166" fontId="18" fillId="12" borderId="2" xfId="0" applyNumberFormat="1" applyFont="1" applyFill="1" applyBorder="1" applyAlignment="1">
      <alignment horizontal="center"/>
    </xf>
    <xf numFmtId="0" fontId="1" fillId="12" borderId="2" xfId="0" applyFont="1" applyFill="1" applyBorder="1"/>
    <xf numFmtId="3" fontId="11" fillId="5" borderId="2" xfId="0" applyNumberFormat="1" applyFont="1" applyFill="1" applyBorder="1" applyAlignment="1">
      <alignment horizontal="center"/>
    </xf>
    <xf numFmtId="166" fontId="17" fillId="5" borderId="2" xfId="0" applyNumberFormat="1" applyFont="1" applyFill="1" applyBorder="1" applyAlignment="1">
      <alignment horizontal="center"/>
    </xf>
    <xf numFmtId="166" fontId="18" fillId="5" borderId="2" xfId="0" applyNumberFormat="1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167" fontId="13" fillId="0" borderId="2" xfId="0" applyNumberFormat="1" applyFont="1" applyBorder="1" applyAlignment="1">
      <alignment horizontal="center"/>
    </xf>
    <xf numFmtId="0" fontId="13" fillId="12" borderId="2" xfId="0" applyFont="1" applyFill="1" applyBorder="1" applyAlignment="1">
      <alignment horizontal="left" wrapText="1"/>
    </xf>
    <xf numFmtId="0" fontId="13" fillId="12" borderId="2" xfId="0" applyFont="1" applyFill="1" applyBorder="1" applyAlignment="1">
      <alignment horizontal="center"/>
    </xf>
    <xf numFmtId="164" fontId="13" fillId="12" borderId="2" xfId="0" applyNumberFormat="1" applyFont="1" applyFill="1" applyBorder="1" applyAlignment="1">
      <alignment horizontal="center"/>
    </xf>
    <xf numFmtId="3" fontId="13" fillId="12" borderId="2" xfId="0" applyNumberFormat="1" applyFont="1" applyFill="1" applyBorder="1" applyAlignment="1">
      <alignment horizontal="center"/>
    </xf>
    <xf numFmtId="166" fontId="13" fillId="12" borderId="2" xfId="0" applyNumberFormat="1" applyFont="1" applyFill="1" applyBorder="1" applyAlignment="1">
      <alignment horizontal="center"/>
    </xf>
    <xf numFmtId="0" fontId="13" fillId="12" borderId="2" xfId="0" applyFont="1" applyFill="1" applyBorder="1" applyAlignment="1">
      <alignment horizontal="center"/>
    </xf>
    <xf numFmtId="0" fontId="18" fillId="12" borderId="2" xfId="0" applyFont="1" applyFill="1" applyBorder="1" applyAlignment="1">
      <alignment horizontal="left"/>
    </xf>
    <xf numFmtId="0" fontId="2" fillId="12" borderId="2" xfId="0" applyFont="1" applyFill="1" applyBorder="1" applyAlignment="1">
      <alignment horizontal="center"/>
    </xf>
    <xf numFmtId="0" fontId="11" fillId="12" borderId="3" xfId="0" applyFont="1" applyFill="1" applyBorder="1" applyAlignment="1">
      <alignment horizontal="center" wrapText="1"/>
    </xf>
    <xf numFmtId="0" fontId="1" fillId="10" borderId="2" xfId="0" applyFont="1" applyFill="1" applyBorder="1" applyAlignment="1"/>
    <xf numFmtId="0" fontId="1" fillId="10" borderId="2" xfId="0" applyFont="1" applyFill="1" applyBorder="1"/>
    <xf numFmtId="166" fontId="11" fillId="10" borderId="2" xfId="0" applyNumberFormat="1" applyFont="1" applyFill="1" applyBorder="1" applyAlignment="1">
      <alignment horizontal="center"/>
    </xf>
    <xf numFmtId="0" fontId="13" fillId="10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3" fillId="3" borderId="3" xfId="0" applyFont="1" applyFill="1" applyBorder="1" applyAlignment="1">
      <alignment horizontal="center" wrapText="1"/>
    </xf>
    <xf numFmtId="0" fontId="11" fillId="10" borderId="2" xfId="0" applyFont="1" applyFill="1" applyBorder="1" applyAlignment="1">
      <alignment horizontal="center"/>
    </xf>
    <xf numFmtId="3" fontId="11" fillId="10" borderId="2" xfId="0" applyNumberFormat="1" applyFont="1" applyFill="1" applyBorder="1" applyAlignment="1">
      <alignment horizontal="center"/>
    </xf>
    <xf numFmtId="166" fontId="17" fillId="10" borderId="2" xfId="0" applyNumberFormat="1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13" fillId="10" borderId="3" xfId="0" applyFont="1" applyFill="1" applyBorder="1" applyAlignment="1">
      <alignment horizontal="center" wrapText="1"/>
    </xf>
    <xf numFmtId="0" fontId="11" fillId="10" borderId="0" xfId="0" applyFont="1" applyFill="1" applyAlignment="1">
      <alignment horizontal="center"/>
    </xf>
    <xf numFmtId="0" fontId="13" fillId="10" borderId="2" xfId="0" applyFont="1" applyFill="1" applyBorder="1" applyAlignment="1">
      <alignment horizontal="center"/>
    </xf>
    <xf numFmtId="3" fontId="13" fillId="10" borderId="2" xfId="0" applyNumberFormat="1" applyFont="1" applyFill="1" applyBorder="1" applyAlignment="1">
      <alignment horizontal="center"/>
    </xf>
    <xf numFmtId="166" fontId="18" fillId="10" borderId="2" xfId="0" applyNumberFormat="1" applyFont="1" applyFill="1" applyBorder="1" applyAlignment="1">
      <alignment horizontal="center"/>
    </xf>
    <xf numFmtId="0" fontId="13" fillId="10" borderId="2" xfId="0" applyFont="1" applyFill="1" applyBorder="1" applyAlignment="1">
      <alignment horizontal="center"/>
    </xf>
    <xf numFmtId="0" fontId="13" fillId="10" borderId="0" xfId="0" applyFont="1" applyFill="1" applyAlignment="1">
      <alignment horizontal="center"/>
    </xf>
    <xf numFmtId="0" fontId="19" fillId="10" borderId="2" xfId="0" applyFont="1" applyFill="1" applyBorder="1" applyAlignment="1">
      <alignment horizontal="left"/>
    </xf>
    <xf numFmtId="164" fontId="2" fillId="10" borderId="2" xfId="0" applyNumberFormat="1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0" fillId="12" borderId="2" xfId="0" applyFont="1" applyFill="1" applyBorder="1" applyAlignment="1"/>
    <xf numFmtId="0" fontId="3" fillId="12" borderId="2" xfId="0" applyFont="1" applyFill="1" applyBorder="1" applyAlignment="1"/>
    <xf numFmtId="164" fontId="3" fillId="12" borderId="2" xfId="0" applyNumberFormat="1" applyFont="1" applyFill="1" applyBorder="1" applyAlignment="1"/>
    <xf numFmtId="3" fontId="3" fillId="12" borderId="2" xfId="0" applyNumberFormat="1" applyFont="1" applyFill="1" applyBorder="1" applyAlignment="1"/>
    <xf numFmtId="166" fontId="3" fillId="12" borderId="2" xfId="0" applyNumberFormat="1" applyFont="1" applyFill="1" applyBorder="1" applyAlignment="1"/>
    <xf numFmtId="0" fontId="17" fillId="12" borderId="3" xfId="0" applyFont="1" applyFill="1" applyBorder="1" applyAlignment="1">
      <alignment horizontal="center" wrapText="1"/>
    </xf>
    <xf numFmtId="0" fontId="11" fillId="3" borderId="3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left"/>
    </xf>
    <xf numFmtId="0" fontId="2" fillId="10" borderId="0" xfId="0" applyFont="1" applyFill="1" applyAlignment="1">
      <alignment horizontal="center"/>
    </xf>
    <xf numFmtId="0" fontId="2" fillId="15" borderId="4" xfId="0" applyFont="1" applyFill="1" applyBorder="1" applyAlignment="1">
      <alignment horizontal="left"/>
    </xf>
    <xf numFmtId="0" fontId="2" fillId="11" borderId="2" xfId="0" applyFont="1" applyFill="1" applyBorder="1" applyAlignment="1">
      <alignment horizontal="center"/>
    </xf>
    <xf numFmtId="164" fontId="2" fillId="11" borderId="2" xfId="0" applyNumberFormat="1" applyFont="1" applyFill="1" applyBorder="1" applyAlignment="1">
      <alignment horizontal="center"/>
    </xf>
    <xf numFmtId="3" fontId="2" fillId="11" borderId="2" xfId="0" applyNumberFormat="1" applyFont="1" applyFill="1" applyBorder="1" applyAlignment="1">
      <alignment horizontal="center"/>
    </xf>
    <xf numFmtId="166" fontId="2" fillId="11" borderId="2" xfId="0" applyNumberFormat="1" applyFont="1" applyFill="1" applyBorder="1" applyAlignment="1">
      <alignment horizontal="center"/>
    </xf>
    <xf numFmtId="0" fontId="13" fillId="11" borderId="3" xfId="0" applyFont="1" applyFill="1" applyBorder="1" applyAlignment="1">
      <alignment horizontal="center" wrapText="1"/>
    </xf>
    <xf numFmtId="166" fontId="19" fillId="6" borderId="3" xfId="0" applyNumberFormat="1" applyFont="1" applyFill="1" applyBorder="1" applyAlignment="1">
      <alignment horizontal="left"/>
    </xf>
    <xf numFmtId="0" fontId="2" fillId="15" borderId="3" xfId="0" applyFont="1" applyFill="1" applyBorder="1" applyAlignment="1">
      <alignment horizontal="center"/>
    </xf>
    <xf numFmtId="0" fontId="2" fillId="15" borderId="0" xfId="0" applyFont="1" applyFill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3" fillId="15" borderId="2" xfId="0" applyFont="1" applyFill="1" applyBorder="1" applyAlignment="1">
      <alignment horizontal="left"/>
    </xf>
    <xf numFmtId="0" fontId="2" fillId="15" borderId="2" xfId="0" applyFont="1" applyFill="1" applyBorder="1" applyAlignment="1">
      <alignment horizontal="center"/>
    </xf>
    <xf numFmtId="164" fontId="13" fillId="15" borderId="2" xfId="0" applyNumberFormat="1" applyFont="1" applyFill="1" applyBorder="1" applyAlignment="1">
      <alignment horizontal="center"/>
    </xf>
    <xf numFmtId="3" fontId="2" fillId="15" borderId="2" xfId="0" applyNumberFormat="1" applyFont="1" applyFill="1" applyBorder="1" applyAlignment="1">
      <alignment horizontal="center"/>
    </xf>
    <xf numFmtId="164" fontId="3" fillId="5" borderId="2" xfId="0" applyNumberFormat="1" applyFont="1" applyFill="1" applyBorder="1" applyAlignment="1"/>
    <xf numFmtId="166" fontId="13" fillId="15" borderId="2" xfId="0" applyNumberFormat="1" applyFont="1" applyFill="1" applyBorder="1" applyAlignment="1">
      <alignment horizontal="center"/>
    </xf>
    <xf numFmtId="166" fontId="3" fillId="0" borderId="2" xfId="0" applyNumberFormat="1" applyFont="1" applyBorder="1" applyAlignment="1"/>
    <xf numFmtId="166" fontId="13" fillId="15" borderId="2" xfId="0" applyNumberFormat="1" applyFont="1" applyFill="1" applyBorder="1" applyAlignment="1">
      <alignment horizontal="center"/>
    </xf>
    <xf numFmtId="166" fontId="28" fillId="0" borderId="2" xfId="0" applyNumberFormat="1" applyFont="1" applyBorder="1" applyAlignment="1"/>
    <xf numFmtId="0" fontId="1" fillId="12" borderId="2" xfId="0" applyFont="1" applyFill="1" applyBorder="1" applyAlignment="1"/>
    <xf numFmtId="0" fontId="2" fillId="15" borderId="3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 wrapText="1"/>
    </xf>
    <xf numFmtId="0" fontId="1" fillId="10" borderId="0" xfId="0" applyFont="1" applyFill="1"/>
    <xf numFmtId="0" fontId="29" fillId="16" borderId="0" xfId="0" applyFont="1" applyFill="1" applyAlignment="1"/>
    <xf numFmtId="0" fontId="2" fillId="6" borderId="4" xfId="0" applyFont="1" applyFill="1" applyBorder="1" applyAlignment="1">
      <alignment horizontal="center"/>
    </xf>
    <xf numFmtId="0" fontId="13" fillId="6" borderId="2" xfId="0" applyFont="1" applyFill="1" applyBorder="1" applyAlignment="1">
      <alignment horizontal="left"/>
    </xf>
    <xf numFmtId="0" fontId="13" fillId="6" borderId="2" xfId="0" applyFont="1" applyFill="1" applyBorder="1" applyAlignment="1">
      <alignment horizontal="center"/>
    </xf>
    <xf numFmtId="166" fontId="29" fillId="16" borderId="0" xfId="0" applyNumberFormat="1" applyFont="1" applyFill="1"/>
    <xf numFmtId="3" fontId="2" fillId="6" borderId="2" xfId="0" applyNumberFormat="1" applyFont="1" applyFill="1" applyBorder="1" applyAlignment="1">
      <alignment horizontal="center"/>
    </xf>
    <xf numFmtId="166" fontId="13" fillId="6" borderId="2" xfId="0" applyNumberFormat="1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166" fontId="13" fillId="12" borderId="2" xfId="0" applyNumberFormat="1" applyFont="1" applyFill="1" applyBorder="1" applyAlignment="1">
      <alignment horizontal="center"/>
    </xf>
    <xf numFmtId="0" fontId="18" fillId="15" borderId="2" xfId="0" applyFont="1" applyFill="1" applyBorder="1" applyAlignment="1">
      <alignment horizontal="left"/>
    </xf>
    <xf numFmtId="164" fontId="2" fillId="15" borderId="2" xfId="0" applyNumberFormat="1" applyFont="1" applyFill="1" applyBorder="1" applyAlignment="1">
      <alignment horizontal="center"/>
    </xf>
    <xf numFmtId="166" fontId="2" fillId="15" borderId="2" xfId="0" applyNumberFormat="1" applyFont="1" applyFill="1" applyBorder="1" applyAlignment="1">
      <alignment horizontal="center"/>
    </xf>
    <xf numFmtId="0" fontId="2" fillId="15" borderId="2" xfId="0" applyFont="1" applyFill="1" applyBorder="1" applyAlignment="1">
      <alignment horizontal="center"/>
    </xf>
    <xf numFmtId="0" fontId="11" fillId="15" borderId="3" xfId="0" applyFont="1" applyFill="1" applyBorder="1" applyAlignment="1">
      <alignment horizontal="center" wrapText="1"/>
    </xf>
    <xf numFmtId="0" fontId="2" fillId="15" borderId="2" xfId="0" applyFont="1" applyFill="1" applyBorder="1" applyAlignment="1">
      <alignment horizontal="left"/>
    </xf>
    <xf numFmtId="0" fontId="2" fillId="15" borderId="1" xfId="0" applyFont="1" applyFill="1" applyBorder="1" applyAlignment="1">
      <alignment horizontal="center"/>
    </xf>
    <xf numFmtId="0" fontId="1" fillId="15" borderId="2" xfId="0" applyFont="1" applyFill="1" applyBorder="1" applyAlignment="1"/>
    <xf numFmtId="0" fontId="1" fillId="15" borderId="2" xfId="0" applyFont="1" applyFill="1" applyBorder="1"/>
    <xf numFmtId="166" fontId="11" fillId="15" borderId="2" xfId="0" applyNumberFormat="1" applyFont="1" applyFill="1" applyBorder="1" applyAlignment="1">
      <alignment horizontal="center"/>
    </xf>
    <xf numFmtId="0" fontId="13" fillId="15" borderId="3" xfId="0" applyFont="1" applyFill="1" applyBorder="1" applyAlignment="1">
      <alignment horizontal="center"/>
    </xf>
    <xf numFmtId="0" fontId="13" fillId="15" borderId="3" xfId="0" applyFont="1" applyFill="1" applyBorder="1" applyAlignment="1">
      <alignment horizontal="center" wrapText="1"/>
    </xf>
    <xf numFmtId="0" fontId="11" fillId="15" borderId="2" xfId="0" applyFont="1" applyFill="1" applyBorder="1" applyAlignment="1">
      <alignment horizontal="center"/>
    </xf>
    <xf numFmtId="3" fontId="11" fillId="15" borderId="2" xfId="0" applyNumberFormat="1" applyFont="1" applyFill="1" applyBorder="1" applyAlignment="1">
      <alignment horizontal="center"/>
    </xf>
    <xf numFmtId="166" fontId="17" fillId="15" borderId="2" xfId="0" applyNumberFormat="1" applyFont="1" applyFill="1" applyBorder="1" applyAlignment="1">
      <alignment horizontal="center"/>
    </xf>
    <xf numFmtId="0" fontId="11" fillId="15" borderId="0" xfId="0" applyFont="1" applyFill="1" applyAlignment="1">
      <alignment horizontal="center"/>
    </xf>
    <xf numFmtId="0" fontId="13" fillId="15" borderId="2" xfId="0" applyFont="1" applyFill="1" applyBorder="1" applyAlignment="1">
      <alignment horizontal="center"/>
    </xf>
    <xf numFmtId="3" fontId="13" fillId="15" borderId="2" xfId="0" applyNumberFormat="1" applyFont="1" applyFill="1" applyBorder="1" applyAlignment="1">
      <alignment horizontal="center"/>
    </xf>
    <xf numFmtId="166" fontId="18" fillId="15" borderId="2" xfId="0" applyNumberFormat="1" applyFont="1" applyFill="1" applyBorder="1" applyAlignment="1">
      <alignment horizontal="center"/>
    </xf>
    <xf numFmtId="0" fontId="13" fillId="15" borderId="2" xfId="0" applyFont="1" applyFill="1" applyBorder="1" applyAlignment="1">
      <alignment horizontal="center"/>
    </xf>
    <xf numFmtId="0" fontId="13" fillId="15" borderId="0" xfId="0" applyFont="1" applyFill="1" applyAlignment="1">
      <alignment horizontal="center"/>
    </xf>
    <xf numFmtId="0" fontId="19" fillId="15" borderId="2" xfId="0" applyFont="1" applyFill="1" applyBorder="1" applyAlignment="1">
      <alignment horizontal="left"/>
    </xf>
    <xf numFmtId="166" fontId="2" fillId="15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2" fillId="15" borderId="0" xfId="0" applyFont="1" applyFill="1" applyAlignment="1">
      <alignment horizontal="center"/>
    </xf>
    <xf numFmtId="0" fontId="2" fillId="3" borderId="4" xfId="0" applyFont="1" applyFill="1" applyBorder="1" applyAlignment="1">
      <alignment horizontal="left"/>
    </xf>
    <xf numFmtId="0" fontId="2" fillId="15" borderId="3" xfId="0" applyFont="1" applyFill="1" applyBorder="1" applyAlignment="1">
      <alignment horizontal="center" wrapText="1"/>
    </xf>
    <xf numFmtId="0" fontId="2" fillId="15" borderId="7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15" borderId="0" xfId="0" applyFont="1" applyFill="1"/>
    <xf numFmtId="0" fontId="3" fillId="4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0" fontId="2" fillId="4" borderId="3" xfId="0" applyFont="1" applyFill="1" applyBorder="1" applyAlignment="1">
      <alignment horizontal="center" wrapText="1"/>
    </xf>
    <xf numFmtId="164" fontId="2" fillId="9" borderId="3" xfId="0" applyNumberFormat="1" applyFont="1" applyFill="1" applyBorder="1" applyAlignment="1">
      <alignment horizontal="center" wrapText="1"/>
    </xf>
    <xf numFmtId="3" fontId="2" fillId="4" borderId="3" xfId="0" applyNumberFormat="1" applyFont="1" applyFill="1" applyBorder="1" applyAlignment="1">
      <alignment horizontal="center" wrapText="1"/>
    </xf>
    <xf numFmtId="166" fontId="18" fillId="4" borderId="3" xfId="0" applyNumberFormat="1" applyFont="1" applyFill="1" applyBorder="1" applyAlignment="1">
      <alignment horizontal="center" wrapText="1"/>
    </xf>
    <xf numFmtId="166" fontId="18" fillId="4" borderId="3" xfId="0" applyNumberFormat="1" applyFont="1" applyFill="1" applyBorder="1" applyAlignment="1">
      <alignment horizontal="center" wrapText="1"/>
    </xf>
    <xf numFmtId="0" fontId="18" fillId="4" borderId="3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2" fillId="15" borderId="2" xfId="0" applyFont="1" applyFill="1" applyBorder="1" applyAlignment="1">
      <alignment horizontal="center" wrapText="1"/>
    </xf>
    <xf numFmtId="0" fontId="1" fillId="15" borderId="0" xfId="0" applyFont="1" applyFill="1" applyAlignment="1"/>
    <xf numFmtId="4" fontId="2" fillId="13" borderId="0" xfId="0" applyNumberFormat="1" applyFont="1" applyFill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 wrapText="1"/>
    </xf>
    <xf numFmtId="164" fontId="2" fillId="4" borderId="2" xfId="0" applyNumberFormat="1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166" fontId="18" fillId="4" borderId="2" xfId="0" applyNumberFormat="1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wrapText="1"/>
    </xf>
    <xf numFmtId="4" fontId="2" fillId="0" borderId="2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2" fillId="17" borderId="2" xfId="0" applyFont="1" applyFill="1" applyBorder="1" applyAlignment="1">
      <alignment horizontal="left"/>
    </xf>
    <xf numFmtId="0" fontId="2" fillId="18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4" fontId="2" fillId="15" borderId="2" xfId="0" applyNumberFormat="1" applyFont="1" applyFill="1" applyBorder="1" applyAlignment="1">
      <alignment horizontal="center"/>
    </xf>
    <xf numFmtId="0" fontId="11" fillId="15" borderId="0" xfId="0" applyFont="1" applyFill="1" applyAlignment="1">
      <alignment horizontal="center"/>
    </xf>
    <xf numFmtId="0" fontId="2" fillId="19" borderId="2" xfId="0" applyFont="1" applyFill="1" applyBorder="1" applyAlignment="1">
      <alignment horizontal="left"/>
    </xf>
    <xf numFmtId="0" fontId="2" fillId="17" borderId="2" xfId="0" applyFont="1" applyFill="1" applyBorder="1" applyAlignment="1">
      <alignment horizontal="center"/>
    </xf>
    <xf numFmtId="0" fontId="2" fillId="20" borderId="2" xfId="0" applyFont="1" applyFill="1" applyBorder="1" applyAlignment="1">
      <alignment horizontal="center"/>
    </xf>
    <xf numFmtId="3" fontId="2" fillId="15" borderId="2" xfId="0" applyNumberFormat="1" applyFont="1" applyFill="1" applyBorder="1" applyAlignment="1">
      <alignment horizontal="center" wrapText="1"/>
    </xf>
    <xf numFmtId="0" fontId="1" fillId="14" borderId="0" xfId="0" applyFont="1" applyFill="1"/>
    <xf numFmtId="3" fontId="2" fillId="0" borderId="2" xfId="0" applyNumberFormat="1" applyFont="1" applyBorder="1" applyAlignment="1">
      <alignment horizontal="center" wrapText="1"/>
    </xf>
    <xf numFmtId="0" fontId="1" fillId="14" borderId="0" xfId="0" applyFont="1" applyFill="1" applyAlignment="1"/>
    <xf numFmtId="166" fontId="3" fillId="0" borderId="2" xfId="0" applyNumberFormat="1" applyFont="1" applyBorder="1" applyAlignment="1">
      <alignment horizontal="center"/>
    </xf>
    <xf numFmtId="166" fontId="13" fillId="15" borderId="3" xfId="0" applyNumberFormat="1" applyFont="1" applyFill="1" applyBorder="1" applyAlignment="1">
      <alignment horizontal="center"/>
    </xf>
    <xf numFmtId="166" fontId="28" fillId="0" borderId="2" xfId="0" applyNumberFormat="1" applyFont="1" applyBorder="1" applyAlignment="1">
      <alignment horizontal="center"/>
    </xf>
    <xf numFmtId="3" fontId="11" fillId="5" borderId="2" xfId="0" applyNumberFormat="1" applyFont="1" applyFill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3" fontId="2" fillId="0" borderId="3" xfId="0" applyNumberFormat="1" applyFont="1" applyBorder="1" applyAlignment="1">
      <alignment horizontal="center" wrapText="1"/>
    </xf>
    <xf numFmtId="166" fontId="2" fillId="16" borderId="8" xfId="0" applyNumberFormat="1" applyFont="1" applyFill="1" applyBorder="1" applyAlignment="1">
      <alignment horizontal="center"/>
    </xf>
    <xf numFmtId="166" fontId="2" fillId="21" borderId="9" xfId="0" applyNumberFormat="1" applyFont="1" applyFill="1" applyBorder="1" applyAlignment="1">
      <alignment horizontal="center"/>
    </xf>
    <xf numFmtId="166" fontId="2" fillId="5" borderId="6" xfId="0" applyNumberFormat="1" applyFont="1" applyFill="1" applyBorder="1" applyAlignment="1">
      <alignment horizontal="center"/>
    </xf>
    <xf numFmtId="166" fontId="2" fillId="13" borderId="3" xfId="0" applyNumberFormat="1" applyFont="1" applyFill="1" applyBorder="1" applyAlignment="1">
      <alignment horizontal="center" wrapText="1"/>
    </xf>
    <xf numFmtId="3" fontId="2" fillId="0" borderId="0" xfId="0" applyNumberFormat="1" applyFont="1" applyAlignment="1">
      <alignment horizontal="center" wrapText="1"/>
    </xf>
    <xf numFmtId="166" fontId="2" fillId="5" borderId="0" xfId="0" applyNumberFormat="1" applyFont="1" applyFill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10" borderId="10" xfId="0" applyFont="1" applyFill="1" applyBorder="1" applyAlignment="1">
      <alignment horizontal="center"/>
    </xf>
    <xf numFmtId="0" fontId="1" fillId="5" borderId="11" xfId="0" applyFont="1" applyFill="1" applyBorder="1" applyAlignment="1"/>
    <xf numFmtId="0" fontId="13" fillId="5" borderId="11" xfId="0" applyFont="1" applyFill="1" applyBorder="1" applyAlignment="1">
      <alignment horizontal="center"/>
    </xf>
    <xf numFmtId="0" fontId="1" fillId="5" borderId="11" xfId="0" applyFont="1" applyFill="1" applyBorder="1" applyAlignment="1">
      <alignment wrapText="1"/>
    </xf>
    <xf numFmtId="4" fontId="19" fillId="0" borderId="2" xfId="0" applyNumberFormat="1" applyFont="1" applyBorder="1" applyAlignment="1">
      <alignment horizontal="center"/>
    </xf>
    <xf numFmtId="166" fontId="13" fillId="5" borderId="11" xfId="0" applyNumberFormat="1" applyFont="1" applyFill="1" applyBorder="1" applyAlignment="1">
      <alignment horizontal="center"/>
    </xf>
    <xf numFmtId="166" fontId="13" fillId="5" borderId="11" xfId="0" applyNumberFormat="1" applyFont="1" applyFill="1" applyBorder="1" applyAlignment="1">
      <alignment horizontal="center"/>
    </xf>
    <xf numFmtId="0" fontId="13" fillId="5" borderId="12" xfId="0" applyFont="1" applyFill="1" applyBorder="1" applyAlignment="1">
      <alignment horizontal="center" wrapText="1"/>
    </xf>
    <xf numFmtId="0" fontId="2" fillId="10" borderId="13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left" wrapText="1"/>
    </xf>
    <xf numFmtId="164" fontId="13" fillId="5" borderId="3" xfId="0" applyNumberFormat="1" applyFont="1" applyFill="1" applyBorder="1" applyAlignment="1">
      <alignment horizontal="center"/>
    </xf>
    <xf numFmtId="3" fontId="13" fillId="5" borderId="3" xfId="0" applyNumberFormat="1" applyFont="1" applyFill="1" applyBorder="1" applyAlignment="1">
      <alignment horizontal="center" wrapText="1"/>
    </xf>
    <xf numFmtId="166" fontId="18" fillId="5" borderId="3" xfId="0" applyNumberFormat="1" applyFont="1" applyFill="1" applyBorder="1" applyAlignment="1">
      <alignment horizontal="center"/>
    </xf>
    <xf numFmtId="166" fontId="13" fillId="5" borderId="3" xfId="0" applyNumberFormat="1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13" fillId="5" borderId="14" xfId="0" applyFont="1" applyFill="1" applyBorder="1" applyAlignment="1">
      <alignment horizontal="center" wrapText="1"/>
    </xf>
    <xf numFmtId="0" fontId="26" fillId="5" borderId="3" xfId="0" applyFont="1" applyFill="1" applyBorder="1" applyAlignment="1">
      <alignment horizontal="left"/>
    </xf>
    <xf numFmtId="164" fontId="11" fillId="5" borderId="3" xfId="0" applyNumberFormat="1" applyFont="1" applyFill="1" applyBorder="1" applyAlignment="1">
      <alignment horizontal="center"/>
    </xf>
    <xf numFmtId="3" fontId="11" fillId="5" borderId="3" xfId="0" applyNumberFormat="1" applyFont="1" applyFill="1" applyBorder="1" applyAlignment="1">
      <alignment horizontal="center" wrapText="1"/>
    </xf>
    <xf numFmtId="0" fontId="11" fillId="5" borderId="14" xfId="0" applyFont="1" applyFill="1" applyBorder="1" applyAlignment="1">
      <alignment horizontal="center" wrapText="1"/>
    </xf>
    <xf numFmtId="0" fontId="2" fillId="10" borderId="13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left"/>
    </xf>
    <xf numFmtId="166" fontId="17" fillId="5" borderId="3" xfId="0" applyNumberFormat="1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" xfId="0" applyFont="1" applyFill="1" applyBorder="1" applyAlignment="1"/>
    <xf numFmtId="0" fontId="2" fillId="5" borderId="14" xfId="0" applyFont="1" applyFill="1" applyBorder="1" applyAlignment="1">
      <alignment horizontal="center" wrapText="1"/>
    </xf>
    <xf numFmtId="0" fontId="11" fillId="5" borderId="3" xfId="0" applyFont="1" applyFill="1" applyBorder="1" applyAlignment="1">
      <alignment horizontal="left"/>
    </xf>
    <xf numFmtId="3" fontId="2" fillId="5" borderId="3" xfId="0" applyNumberFormat="1" applyFont="1" applyFill="1" applyBorder="1" applyAlignment="1">
      <alignment horizontal="center" wrapText="1"/>
    </xf>
    <xf numFmtId="0" fontId="11" fillId="5" borderId="14" xfId="0" applyFont="1" applyFill="1" applyBorder="1" applyAlignment="1">
      <alignment horizontal="center" wrapText="1"/>
    </xf>
    <xf numFmtId="0" fontId="1" fillId="10" borderId="15" xfId="0" applyFont="1" applyFill="1" applyBorder="1"/>
    <xf numFmtId="0" fontId="1" fillId="0" borderId="16" xfId="0" applyFont="1" applyBorder="1"/>
    <xf numFmtId="0" fontId="1" fillId="0" borderId="16" xfId="0" applyFont="1" applyBorder="1" applyAlignment="1">
      <alignment horizontal="center"/>
    </xf>
    <xf numFmtId="0" fontId="1" fillId="0" borderId="16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center" vertical="center" wrapText="1"/>
    </xf>
    <xf numFmtId="164" fontId="2" fillId="9" borderId="5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166" fontId="18" fillId="4" borderId="5" xfId="0" applyNumberFormat="1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14" borderId="7" xfId="0" applyFont="1" applyFill="1" applyBorder="1" applyAlignment="1">
      <alignment horizontal="center" vertical="center" wrapText="1"/>
    </xf>
    <xf numFmtId="9" fontId="1" fillId="14" borderId="0" xfId="0" applyNumberFormat="1" applyFont="1" applyFill="1" applyAlignment="1"/>
    <xf numFmtId="164" fontId="2" fillId="18" borderId="3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wrapText="1"/>
    </xf>
    <xf numFmtId="0" fontId="1" fillId="0" borderId="3" xfId="0" applyFont="1" applyBorder="1"/>
    <xf numFmtId="4" fontId="1" fillId="0" borderId="3" xfId="0" applyNumberFormat="1" applyFont="1" applyBorder="1"/>
    <xf numFmtId="4" fontId="1" fillId="0" borderId="3" xfId="0" applyNumberFormat="1" applyFont="1" applyBorder="1" applyAlignment="1">
      <alignment horizontal="center"/>
    </xf>
    <xf numFmtId="164" fontId="2" fillId="17" borderId="3" xfId="0" applyNumberFormat="1" applyFont="1" applyFill="1" applyBorder="1" applyAlignment="1">
      <alignment horizontal="center"/>
    </xf>
    <xf numFmtId="0" fontId="2" fillId="4" borderId="4" xfId="0" applyFont="1" applyFill="1" applyBorder="1" applyAlignment="1">
      <alignment horizontal="left"/>
    </xf>
    <xf numFmtId="4" fontId="2" fillId="0" borderId="7" xfId="0" applyNumberFormat="1" applyFont="1" applyBorder="1" applyAlignment="1">
      <alignment horizontal="center"/>
    </xf>
    <xf numFmtId="0" fontId="2" fillId="15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/>
    </xf>
    <xf numFmtId="0" fontId="2" fillId="15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4" fontId="2" fillId="15" borderId="2" xfId="0" applyNumberFormat="1" applyFont="1" applyFill="1" applyBorder="1" applyAlignment="1">
      <alignment horizontal="center" vertical="center"/>
    </xf>
    <xf numFmtId="4" fontId="2" fillId="22" borderId="4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4" fontId="2" fillId="21" borderId="9" xfId="0" applyNumberFormat="1" applyFont="1" applyFill="1" applyBorder="1" applyAlignment="1">
      <alignment horizontal="center"/>
    </xf>
    <xf numFmtId="164" fontId="13" fillId="15" borderId="2" xfId="0" applyNumberFormat="1" applyFont="1" applyFill="1" applyBorder="1" applyAlignment="1">
      <alignment horizontal="center" vertical="center"/>
    </xf>
    <xf numFmtId="4" fontId="2" fillId="13" borderId="1" xfId="0" applyNumberFormat="1" applyFont="1" applyFill="1" applyBorder="1" applyAlignment="1">
      <alignment horizont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18" xfId="0" applyFont="1" applyFill="1" applyBorder="1" applyAlignment="1">
      <alignment horizontal="center"/>
    </xf>
    <xf numFmtId="0" fontId="1" fillId="5" borderId="19" xfId="0" applyFont="1" applyFill="1" applyBorder="1" applyAlignment="1"/>
    <xf numFmtId="0" fontId="1" fillId="5" borderId="19" xfId="0" applyFont="1" applyFill="1" applyBorder="1" applyAlignment="1">
      <alignment horizontal="center"/>
    </xf>
    <xf numFmtId="0" fontId="1" fillId="5" borderId="19" xfId="0" applyFont="1" applyFill="1" applyBorder="1"/>
    <xf numFmtId="0" fontId="1" fillId="5" borderId="19" xfId="0" applyFont="1" applyFill="1" applyBorder="1" applyAlignment="1">
      <alignment wrapText="1"/>
    </xf>
    <xf numFmtId="166" fontId="13" fillId="5" borderId="19" xfId="0" applyNumberFormat="1" applyFont="1" applyFill="1" applyBorder="1" applyAlignment="1">
      <alignment horizontal="center"/>
    </xf>
    <xf numFmtId="166" fontId="11" fillId="5" borderId="19" xfId="0" applyNumberFormat="1" applyFont="1" applyFill="1" applyBorder="1" applyAlignment="1">
      <alignment horizontal="center"/>
    </xf>
    <xf numFmtId="0" fontId="13" fillId="5" borderId="20" xfId="0" applyFont="1" applyFill="1" applyBorder="1" applyAlignment="1">
      <alignment horizontal="center" wrapText="1"/>
    </xf>
    <xf numFmtId="0" fontId="2" fillId="10" borderId="21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left"/>
    </xf>
    <xf numFmtId="0" fontId="2" fillId="10" borderId="2" xfId="0" applyFont="1" applyFill="1" applyBorder="1" applyAlignment="1">
      <alignment horizontal="center" vertical="center"/>
    </xf>
    <xf numFmtId="164" fontId="2" fillId="5" borderId="3" xfId="0" applyNumberFormat="1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wrapText="1"/>
    </xf>
    <xf numFmtId="0" fontId="2" fillId="5" borderId="22" xfId="0" applyFont="1" applyFill="1" applyBorder="1" applyAlignment="1">
      <alignment horizontal="left" wrapText="1"/>
    </xf>
    <xf numFmtId="0" fontId="19" fillId="5" borderId="3" xfId="0" applyFont="1" applyFill="1" applyBorder="1" applyAlignment="1">
      <alignment horizontal="left"/>
    </xf>
    <xf numFmtId="164" fontId="2" fillId="5" borderId="3" xfId="0" applyNumberFormat="1" applyFont="1" applyFill="1" applyBorder="1" applyAlignment="1">
      <alignment horizontal="center"/>
    </xf>
    <xf numFmtId="0" fontId="11" fillId="5" borderId="22" xfId="0" applyFont="1" applyFill="1" applyBorder="1" applyAlignment="1">
      <alignment horizontal="center" wrapText="1"/>
    </xf>
    <xf numFmtId="0" fontId="20" fillId="5" borderId="3" xfId="0" applyFont="1" applyFill="1" applyBorder="1" applyAlignment="1"/>
    <xf numFmtId="0" fontId="2" fillId="9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164" fontId="3" fillId="5" borderId="3" xfId="0" applyNumberFormat="1" applyFont="1" applyFill="1" applyBorder="1" applyAlignment="1"/>
    <xf numFmtId="3" fontId="3" fillId="5" borderId="3" xfId="0" applyNumberFormat="1" applyFont="1" applyFill="1" applyBorder="1" applyAlignment="1">
      <alignment wrapText="1"/>
    </xf>
    <xf numFmtId="166" fontId="3" fillId="5" borderId="3" xfId="0" applyNumberFormat="1" applyFont="1" applyFill="1" applyBorder="1" applyAlignment="1"/>
    <xf numFmtId="166" fontId="3" fillId="5" borderId="3" xfId="0" applyNumberFormat="1" applyFont="1" applyFill="1" applyBorder="1" applyAlignment="1">
      <alignment horizontal="center"/>
    </xf>
    <xf numFmtId="0" fontId="17" fillId="5" borderId="22" xfId="0" applyFont="1" applyFill="1" applyBorder="1" applyAlignment="1">
      <alignment horizontal="center" wrapText="1"/>
    </xf>
    <xf numFmtId="0" fontId="2" fillId="10" borderId="21" xfId="0" applyFont="1" applyFill="1" applyBorder="1" applyAlignment="1">
      <alignment horizontal="center"/>
    </xf>
    <xf numFmtId="164" fontId="2" fillId="5" borderId="3" xfId="0" applyNumberFormat="1" applyFont="1" applyFill="1" applyBorder="1" applyAlignment="1">
      <alignment horizontal="center" wrapText="1"/>
    </xf>
    <xf numFmtId="166" fontId="18" fillId="5" borderId="3" xfId="0" applyNumberFormat="1" applyFont="1" applyFill="1" applyBorder="1" applyAlignment="1">
      <alignment horizontal="center" wrapText="1"/>
    </xf>
    <xf numFmtId="166" fontId="18" fillId="5" borderId="3" xfId="0" applyNumberFormat="1" applyFont="1" applyFill="1" applyBorder="1" applyAlignment="1">
      <alignment horizontal="center" wrapText="1"/>
    </xf>
    <xf numFmtId="0" fontId="18" fillId="5" borderId="3" xfId="0" applyFont="1" applyFill="1" applyBorder="1" applyAlignment="1">
      <alignment horizontal="center" wrapText="1"/>
    </xf>
    <xf numFmtId="0" fontId="2" fillId="5" borderId="22" xfId="0" applyFont="1" applyFill="1" applyBorder="1" applyAlignment="1">
      <alignment horizontal="center" wrapText="1"/>
    </xf>
    <xf numFmtId="0" fontId="2" fillId="10" borderId="23" xfId="0" applyFont="1" applyFill="1" applyBorder="1" applyAlignment="1">
      <alignment horizontal="center"/>
    </xf>
    <xf numFmtId="0" fontId="2" fillId="5" borderId="24" xfId="0" applyFont="1" applyFill="1" applyBorder="1" applyAlignment="1">
      <alignment horizontal="left"/>
    </xf>
    <xf numFmtId="0" fontId="2" fillId="5" borderId="24" xfId="0" applyFont="1" applyFill="1" applyBorder="1" applyAlignment="1">
      <alignment horizontal="center" wrapText="1"/>
    </xf>
    <xf numFmtId="164" fontId="2" fillId="5" borderId="24" xfId="0" applyNumberFormat="1" applyFont="1" applyFill="1" applyBorder="1" applyAlignment="1">
      <alignment horizontal="center" wrapText="1"/>
    </xf>
    <xf numFmtId="3" fontId="2" fillId="5" borderId="24" xfId="0" applyNumberFormat="1" applyFont="1" applyFill="1" applyBorder="1" applyAlignment="1">
      <alignment horizontal="center" wrapText="1"/>
    </xf>
    <xf numFmtId="0" fontId="2" fillId="12" borderId="2" xfId="0" applyFont="1" applyFill="1" applyBorder="1" applyAlignment="1">
      <alignment horizontal="left" vertical="center"/>
    </xf>
    <xf numFmtId="166" fontId="18" fillId="5" borderId="24" xfId="0" applyNumberFormat="1" applyFont="1" applyFill="1" applyBorder="1" applyAlignment="1">
      <alignment horizontal="center" wrapText="1"/>
    </xf>
    <xf numFmtId="166" fontId="18" fillId="5" borderId="24" xfId="0" applyNumberFormat="1" applyFont="1" applyFill="1" applyBorder="1" applyAlignment="1">
      <alignment horizontal="center" wrapText="1"/>
    </xf>
    <xf numFmtId="0" fontId="18" fillId="5" borderId="24" xfId="0" applyFont="1" applyFill="1" applyBorder="1" applyAlignment="1">
      <alignment horizontal="center" wrapText="1"/>
    </xf>
    <xf numFmtId="0" fontId="2" fillId="5" borderId="24" xfId="0" applyFont="1" applyFill="1" applyBorder="1" applyAlignment="1">
      <alignment horizontal="center" wrapText="1"/>
    </xf>
    <xf numFmtId="0" fontId="2" fillId="5" borderId="25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164" fontId="2" fillId="5" borderId="2" xfId="0" applyNumberFormat="1" applyFont="1" applyFill="1" applyBorder="1" applyAlignment="1">
      <alignment horizontal="center" wrapText="1"/>
    </xf>
    <xf numFmtId="3" fontId="2" fillId="5" borderId="2" xfId="0" applyNumberFormat="1" applyFont="1" applyFill="1" applyBorder="1" applyAlignment="1">
      <alignment horizontal="center" wrapText="1"/>
    </xf>
    <xf numFmtId="166" fontId="18" fillId="5" borderId="2" xfId="0" applyNumberFormat="1" applyFont="1" applyFill="1" applyBorder="1" applyAlignment="1">
      <alignment horizontal="center" wrapText="1"/>
    </xf>
    <xf numFmtId="166" fontId="18" fillId="5" borderId="2" xfId="0" applyNumberFormat="1" applyFont="1" applyFill="1" applyBorder="1" applyAlignment="1">
      <alignment horizontal="center" wrapText="1"/>
    </xf>
    <xf numFmtId="0" fontId="18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1" fillId="5" borderId="0" xfId="0" applyFont="1" applyFill="1"/>
    <xf numFmtId="0" fontId="26" fillId="0" borderId="3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 wrapText="1"/>
    </xf>
    <xf numFmtId="164" fontId="2" fillId="9" borderId="3" xfId="0" applyNumberFormat="1" applyFont="1" applyFill="1" applyBorder="1" applyAlignment="1">
      <alignment horizontal="center" vertical="center" wrapText="1"/>
    </xf>
    <xf numFmtId="3" fontId="2" fillId="4" borderId="3" xfId="0" applyNumberFormat="1" applyFont="1" applyFill="1" applyBorder="1" applyAlignment="1">
      <alignment horizontal="center" vertical="center" wrapText="1"/>
    </xf>
    <xf numFmtId="166" fontId="18" fillId="4" borderId="3" xfId="0" applyNumberFormat="1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3" fontId="2" fillId="0" borderId="3" xfId="0" applyNumberFormat="1" applyFont="1" applyBorder="1" applyAlignment="1">
      <alignment horizontal="center" wrapText="1"/>
    </xf>
    <xf numFmtId="4" fontId="2" fillId="5" borderId="3" xfId="0" applyNumberFormat="1" applyFont="1" applyFill="1" applyBorder="1" applyAlignment="1">
      <alignment horizontal="center"/>
    </xf>
    <xf numFmtId="4" fontId="2" fillId="5" borderId="3" xfId="0" applyNumberFormat="1" applyFont="1" applyFill="1" applyBorder="1" applyAlignment="1">
      <alignment horizontal="center"/>
    </xf>
    <xf numFmtId="2" fontId="19" fillId="0" borderId="3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2" fillId="10" borderId="3" xfId="0" applyNumberFormat="1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wrapText="1"/>
    </xf>
    <xf numFmtId="4" fontId="19" fillId="0" borderId="3" xfId="0" applyNumberFormat="1" applyFont="1" applyBorder="1" applyAlignment="1">
      <alignment horizontal="left"/>
    </xf>
    <xf numFmtId="4" fontId="2" fillId="22" borderId="2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8" fillId="5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0" fontId="2" fillId="5" borderId="5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left"/>
    </xf>
    <xf numFmtId="0" fontId="2" fillId="5" borderId="5" xfId="0" applyFont="1" applyFill="1" applyBorder="1" applyAlignment="1">
      <alignment horizontal="center" wrapText="1"/>
    </xf>
    <xf numFmtId="164" fontId="2" fillId="5" borderId="5" xfId="0" applyNumberFormat="1" applyFont="1" applyFill="1" applyBorder="1" applyAlignment="1">
      <alignment horizontal="center" wrapText="1"/>
    </xf>
    <xf numFmtId="3" fontId="2" fillId="5" borderId="5" xfId="0" applyNumberFormat="1" applyFont="1" applyFill="1" applyBorder="1" applyAlignment="1">
      <alignment horizontal="center" wrapText="1"/>
    </xf>
    <xf numFmtId="166" fontId="18" fillId="5" borderId="5" xfId="0" applyNumberFormat="1" applyFont="1" applyFill="1" applyBorder="1" applyAlignment="1">
      <alignment horizontal="center" wrapText="1"/>
    </xf>
    <xf numFmtId="166" fontId="18" fillId="5" borderId="5" xfId="0" applyNumberFormat="1" applyFont="1" applyFill="1" applyBorder="1" applyAlignment="1">
      <alignment horizontal="center" wrapText="1"/>
    </xf>
    <xf numFmtId="0" fontId="18" fillId="5" borderId="5" xfId="0" applyFont="1" applyFill="1" applyBorder="1" applyAlignment="1">
      <alignment horizontal="center" wrapText="1"/>
    </xf>
    <xf numFmtId="0" fontId="2" fillId="5" borderId="5" xfId="0" applyFont="1" applyFill="1" applyBorder="1" applyAlignment="1">
      <alignment horizontal="center" wrapText="1"/>
    </xf>
    <xf numFmtId="0" fontId="2" fillId="5" borderId="26" xfId="0" applyFont="1" applyFill="1" applyBorder="1" applyAlignment="1">
      <alignment horizontal="center" wrapText="1"/>
    </xf>
    <xf numFmtId="164" fontId="2" fillId="15" borderId="3" xfId="0" applyNumberFormat="1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 wrapText="1"/>
    </xf>
    <xf numFmtId="0" fontId="2" fillId="14" borderId="3" xfId="0" applyFont="1" applyFill="1" applyBorder="1" applyAlignment="1">
      <alignment horizontal="center" wrapText="1"/>
    </xf>
    <xf numFmtId="166" fontId="2" fillId="0" borderId="4" xfId="0" applyNumberFormat="1" applyFont="1" applyBorder="1" applyAlignment="1">
      <alignment horizontal="center"/>
    </xf>
    <xf numFmtId="3" fontId="2" fillId="0" borderId="4" xfId="0" applyNumberFormat="1" applyFont="1" applyBorder="1" applyAlignment="1">
      <alignment horizontal="center" wrapText="1"/>
    </xf>
    <xf numFmtId="0" fontId="2" fillId="21" borderId="27" xfId="0" applyFont="1" applyFill="1" applyBorder="1" applyAlignment="1">
      <alignment horizontal="center"/>
    </xf>
    <xf numFmtId="0" fontId="2" fillId="23" borderId="4" xfId="0" applyFont="1" applyFill="1" applyBorder="1" applyAlignment="1">
      <alignment horizontal="left"/>
    </xf>
    <xf numFmtId="166" fontId="2" fillId="0" borderId="8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6" borderId="4" xfId="0" applyFont="1" applyFill="1" applyBorder="1" applyAlignment="1">
      <alignment horizontal="left"/>
    </xf>
    <xf numFmtId="164" fontId="2" fillId="6" borderId="3" xfId="0" applyNumberFormat="1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 wrapText="1"/>
    </xf>
    <xf numFmtId="0" fontId="2" fillId="15" borderId="5" xfId="0" applyFont="1" applyFill="1" applyBorder="1" applyAlignment="1">
      <alignment horizontal="center"/>
    </xf>
    <xf numFmtId="166" fontId="2" fillId="13" borderId="8" xfId="0" applyNumberFormat="1" applyFont="1" applyFill="1" applyBorder="1" applyAlignment="1">
      <alignment horizontal="center"/>
    </xf>
    <xf numFmtId="0" fontId="2" fillId="21" borderId="9" xfId="0" applyFont="1" applyFill="1" applyBorder="1" applyAlignment="1">
      <alignment horizontal="center"/>
    </xf>
    <xf numFmtId="0" fontId="2" fillId="5" borderId="0" xfId="0" applyFont="1" applyFill="1" applyAlignment="1">
      <alignment horizontal="left"/>
    </xf>
    <xf numFmtId="164" fontId="2" fillId="5" borderId="0" xfId="0" applyNumberFormat="1" applyFont="1" applyFill="1" applyAlignment="1">
      <alignment horizontal="center" wrapText="1"/>
    </xf>
    <xf numFmtId="3" fontId="2" fillId="5" borderId="0" xfId="0" applyNumberFormat="1" applyFont="1" applyFill="1" applyAlignment="1">
      <alignment horizontal="center" wrapText="1"/>
    </xf>
    <xf numFmtId="166" fontId="18" fillId="5" borderId="0" xfId="0" applyNumberFormat="1" applyFont="1" applyFill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166" fontId="19" fillId="6" borderId="3" xfId="0" applyNumberFormat="1" applyFont="1" applyFill="1" applyBorder="1" applyAlignment="1">
      <alignment horizontal="right"/>
    </xf>
    <xf numFmtId="0" fontId="2" fillId="24" borderId="3" xfId="0" applyFont="1" applyFill="1" applyBorder="1" applyAlignment="1">
      <alignment horizontal="center"/>
    </xf>
    <xf numFmtId="166" fontId="18" fillId="5" borderId="0" xfId="0" applyNumberFormat="1" applyFont="1" applyFill="1" applyAlignment="1">
      <alignment horizontal="center" wrapText="1"/>
    </xf>
    <xf numFmtId="166" fontId="18" fillId="4" borderId="1" xfId="0" applyNumberFormat="1" applyFont="1" applyFill="1" applyBorder="1" applyAlignment="1">
      <alignment horizontal="center" wrapText="1"/>
    </xf>
    <xf numFmtId="0" fontId="18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2" fillId="15" borderId="2" xfId="0" applyFont="1" applyFill="1" applyBorder="1" applyAlignment="1">
      <alignment horizontal="left" wrapText="1"/>
    </xf>
    <xf numFmtId="0" fontId="2" fillId="0" borderId="0" xfId="0" applyFont="1" applyAlignment="1">
      <alignment horizontal="center" wrapText="1"/>
    </xf>
    <xf numFmtId="0" fontId="20" fillId="4" borderId="2" xfId="0" applyFont="1" applyFill="1" applyBorder="1" applyAlignment="1">
      <alignment horizontal="center" wrapText="1"/>
    </xf>
    <xf numFmtId="0" fontId="20" fillId="14" borderId="3" xfId="0" applyFont="1" applyFill="1" applyBorder="1" applyAlignment="1">
      <alignment horizontal="center" wrapText="1"/>
    </xf>
    <xf numFmtId="3" fontId="3" fillId="0" borderId="2" xfId="0" applyNumberFormat="1" applyFont="1" applyBorder="1" applyAlignment="1">
      <alignment wrapText="1"/>
    </xf>
    <xf numFmtId="3" fontId="3" fillId="0" borderId="2" xfId="0" applyNumberFormat="1" applyFont="1" applyBorder="1" applyAlignment="1"/>
    <xf numFmtId="0" fontId="3" fillId="0" borderId="2" xfId="0" applyFont="1" applyBorder="1" applyAlignment="1">
      <alignment horizontal="center"/>
    </xf>
    <xf numFmtId="3" fontId="3" fillId="5" borderId="2" xfId="0" applyNumberFormat="1" applyFont="1" applyFill="1" applyBorder="1" applyAlignment="1">
      <alignment wrapText="1"/>
    </xf>
    <xf numFmtId="0" fontId="3" fillId="0" borderId="2" xfId="0" applyFont="1" applyBorder="1" applyAlignment="1">
      <alignment horizontal="center"/>
    </xf>
    <xf numFmtId="0" fontId="1" fillId="10" borderId="3" xfId="0" applyFont="1" applyFill="1" applyBorder="1" applyAlignment="1"/>
    <xf numFmtId="0" fontId="3" fillId="5" borderId="3" xfId="0" applyFont="1" applyFill="1" applyBorder="1" applyAlignment="1">
      <alignment wrapText="1"/>
    </xf>
    <xf numFmtId="0" fontId="3" fillId="0" borderId="3" xfId="0" applyFont="1" applyBorder="1" applyAlignment="1">
      <alignment horizontal="center"/>
    </xf>
    <xf numFmtId="0" fontId="3" fillId="4" borderId="3" xfId="0" applyFont="1" applyFill="1" applyBorder="1" applyAlignment="1"/>
    <xf numFmtId="0" fontId="3" fillId="0" borderId="3" xfId="0" applyFont="1" applyBorder="1" applyAlignment="1">
      <alignment horizontal="center"/>
    </xf>
    <xf numFmtId="0" fontId="3" fillId="0" borderId="3" xfId="0" applyFont="1" applyBorder="1" applyAlignment="1"/>
    <xf numFmtId="0" fontId="1" fillId="15" borderId="3" xfId="0" applyFont="1" applyFill="1" applyBorder="1" applyAlignment="1"/>
    <xf numFmtId="3" fontId="3" fillId="5" borderId="3" xfId="0" applyNumberFormat="1" applyFont="1" applyFill="1" applyBorder="1" applyAlignment="1">
      <alignment wrapText="1"/>
    </xf>
    <xf numFmtId="166" fontId="3" fillId="5" borderId="3" xfId="0" applyNumberFormat="1" applyFont="1" applyFill="1" applyBorder="1" applyAlignment="1"/>
    <xf numFmtId="0" fontId="2" fillId="23" borderId="3" xfId="0" applyFont="1" applyFill="1" applyBorder="1" applyAlignment="1">
      <alignment horizontal="left" vertical="center"/>
    </xf>
    <xf numFmtId="0" fontId="28" fillId="0" borderId="3" xfId="0" applyFont="1" applyBorder="1" applyAlignment="1"/>
    <xf numFmtId="166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8" fillId="0" borderId="3" xfId="0" applyFont="1" applyBorder="1" applyAlignment="1"/>
    <xf numFmtId="166" fontId="20" fillId="13" borderId="3" xfId="0" applyNumberFormat="1" applyFont="1" applyFill="1" applyBorder="1" applyAlignment="1">
      <alignment horizontal="center"/>
    </xf>
    <xf numFmtId="0" fontId="3" fillId="21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wrapText="1"/>
    </xf>
    <xf numFmtId="0" fontId="1" fillId="15" borderId="0" xfId="0" applyFont="1" applyFill="1" applyAlignment="1">
      <alignment wrapText="1"/>
    </xf>
    <xf numFmtId="2" fontId="2" fillId="0" borderId="2" xfId="0" applyNumberFormat="1" applyFont="1" applyBorder="1" applyAlignment="1">
      <alignment horizontal="center"/>
    </xf>
    <xf numFmtId="0" fontId="2" fillId="21" borderId="9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166" fontId="1" fillId="22" borderId="8" xfId="0" applyNumberFormat="1" applyFont="1" applyFill="1" applyBorder="1" applyAlignment="1">
      <alignment horizontal="center"/>
    </xf>
    <xf numFmtId="0" fontId="1" fillId="21" borderId="9" xfId="0" applyFont="1" applyFill="1" applyBorder="1" applyAlignment="1">
      <alignment horizontal="center"/>
    </xf>
    <xf numFmtId="0" fontId="1" fillId="0" borderId="6" xfId="0" applyFont="1" applyBorder="1"/>
    <xf numFmtId="0" fontId="2" fillId="15" borderId="3" xfId="0" applyFont="1" applyFill="1" applyBorder="1" applyAlignment="1">
      <alignment horizontal="left"/>
    </xf>
    <xf numFmtId="3" fontId="2" fillId="15" borderId="3" xfId="0" applyNumberFormat="1" applyFont="1" applyFill="1" applyBorder="1" applyAlignment="1">
      <alignment horizontal="center" wrapText="1"/>
    </xf>
    <xf numFmtId="3" fontId="2" fillId="15" borderId="3" xfId="0" applyNumberFormat="1" applyFont="1" applyFill="1" applyBorder="1" applyAlignment="1">
      <alignment horizontal="center"/>
    </xf>
    <xf numFmtId="166" fontId="2" fillId="15" borderId="3" xfId="0" applyNumberFormat="1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15" borderId="2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15" borderId="5" xfId="0" applyFont="1" applyFill="1" applyBorder="1" applyAlignment="1">
      <alignment horizontal="center"/>
    </xf>
    <xf numFmtId="0" fontId="30" fillId="15" borderId="2" xfId="0" applyFont="1" applyFill="1" applyBorder="1" applyAlignment="1">
      <alignment horizontal="left" vertical="center"/>
    </xf>
    <xf numFmtId="0" fontId="2" fillId="24" borderId="9" xfId="0" applyFont="1" applyFill="1" applyBorder="1" applyAlignment="1">
      <alignment horizontal="center"/>
    </xf>
    <xf numFmtId="0" fontId="1" fillId="24" borderId="0" xfId="0" applyFont="1" applyFill="1" applyAlignment="1">
      <alignment wrapText="1"/>
    </xf>
    <xf numFmtId="166" fontId="1" fillId="21" borderId="0" xfId="0" applyNumberFormat="1" applyFont="1" applyFill="1" applyAlignment="1">
      <alignment horizontal="center" vertical="center"/>
    </xf>
    <xf numFmtId="0" fontId="1" fillId="16" borderId="0" xfId="0" applyFont="1" applyFill="1" applyAlignment="1">
      <alignment wrapText="1"/>
    </xf>
    <xf numFmtId="166" fontId="1" fillId="16" borderId="0" xfId="0" applyNumberFormat="1" applyFont="1" applyFill="1" applyAlignment="1">
      <alignment horizontal="center"/>
    </xf>
    <xf numFmtId="0" fontId="3" fillId="15" borderId="3" xfId="0" applyFont="1" applyFill="1" applyBorder="1" applyAlignment="1"/>
    <xf numFmtId="0" fontId="2" fillId="12" borderId="4" xfId="0" applyFont="1" applyFill="1" applyBorder="1" applyAlignment="1">
      <alignment horizontal="left"/>
    </xf>
    <xf numFmtId="0" fontId="13" fillId="0" borderId="0" xfId="0" applyFont="1" applyAlignment="1">
      <alignment horizontal="center"/>
    </xf>
    <xf numFmtId="0" fontId="30" fillId="15" borderId="4" xfId="0" applyFont="1" applyFill="1" applyBorder="1" applyAlignment="1">
      <alignment horizontal="left"/>
    </xf>
    <xf numFmtId="0" fontId="2" fillId="5" borderId="7" xfId="0" applyFont="1" applyFill="1" applyBorder="1" applyAlignment="1">
      <alignment horizontal="center"/>
    </xf>
    <xf numFmtId="0" fontId="2" fillId="12" borderId="7" xfId="0" applyFont="1" applyFill="1" applyBorder="1" applyAlignment="1">
      <alignment horizontal="center"/>
    </xf>
    <xf numFmtId="0" fontId="30" fillId="15" borderId="3" xfId="0" applyFont="1" applyFill="1" applyBorder="1" applyAlignment="1">
      <alignment horizontal="left" vertical="center"/>
    </xf>
    <xf numFmtId="0" fontId="2" fillId="25" borderId="3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/>
    </xf>
    <xf numFmtId="4" fontId="2" fillId="0" borderId="3" xfId="0" applyNumberFormat="1" applyFont="1" applyBorder="1" applyAlignment="1">
      <alignment horizontal="center" vertical="center"/>
    </xf>
    <xf numFmtId="4" fontId="2" fillId="5" borderId="3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left" vertical="center"/>
    </xf>
    <xf numFmtId="2" fontId="2" fillId="0" borderId="2" xfId="0" applyNumberFormat="1" applyFont="1" applyBorder="1" applyAlignment="1">
      <alignment horizontal="center"/>
    </xf>
    <xf numFmtId="4" fontId="2" fillId="22" borderId="2" xfId="0" applyNumberFormat="1" applyFont="1" applyFill="1" applyBorder="1" applyAlignment="1">
      <alignment horizontal="center"/>
    </xf>
    <xf numFmtId="166" fontId="2" fillId="21" borderId="0" xfId="0" applyNumberFormat="1" applyFont="1" applyFill="1" applyAlignment="1">
      <alignment horizontal="center"/>
    </xf>
    <xf numFmtId="0" fontId="2" fillId="13" borderId="1" xfId="0" applyFont="1" applyFill="1" applyBorder="1" applyAlignment="1">
      <alignment horizontal="center" wrapText="1"/>
    </xf>
    <xf numFmtId="2" fontId="19" fillId="0" borderId="3" xfId="0" applyNumberFormat="1" applyFont="1" applyBorder="1" applyAlignment="1">
      <alignment horizontal="center"/>
    </xf>
    <xf numFmtId="0" fontId="26" fillId="5" borderId="2" xfId="0" applyFont="1" applyFill="1" applyBorder="1" applyAlignment="1">
      <alignment horizontal="left"/>
    </xf>
    <xf numFmtId="164" fontId="2" fillId="5" borderId="2" xfId="0" applyNumberFormat="1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30" fillId="15" borderId="2" xfId="0" applyFont="1" applyFill="1" applyBorder="1" applyAlignment="1">
      <alignment horizontal="left"/>
    </xf>
    <xf numFmtId="0" fontId="30" fillId="15" borderId="3" xfId="0" applyFont="1" applyFill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15" borderId="4" xfId="0" applyFont="1" applyFill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3" fillId="15" borderId="2" xfId="0" applyFont="1" applyFill="1" applyBorder="1" applyAlignment="1"/>
    <xf numFmtId="168" fontId="2" fillId="15" borderId="3" xfId="0" applyNumberFormat="1" applyFont="1" applyFill="1" applyBorder="1" applyAlignment="1">
      <alignment horizontal="left"/>
    </xf>
    <xf numFmtId="0" fontId="2" fillId="6" borderId="7" xfId="0" applyFont="1" applyFill="1" applyBorder="1" applyAlignment="1">
      <alignment horizontal="center"/>
    </xf>
    <xf numFmtId="0" fontId="13" fillId="15" borderId="2" xfId="0" applyFont="1" applyFill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4" fontId="11" fillId="15" borderId="2" xfId="0" applyNumberFormat="1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 wrapText="1"/>
    </xf>
    <xf numFmtId="166" fontId="13" fillId="15" borderId="3" xfId="0" applyNumberFormat="1" applyFont="1" applyFill="1" applyBorder="1" applyAlignment="1">
      <alignment horizontal="center"/>
    </xf>
    <xf numFmtId="0" fontId="13" fillId="15" borderId="4" xfId="0" applyFont="1" applyFill="1" applyBorder="1" applyAlignment="1">
      <alignment horizontal="left"/>
    </xf>
    <xf numFmtId="0" fontId="25" fillId="0" borderId="3" xfId="0" applyFont="1" applyBorder="1" applyAlignment="1"/>
    <xf numFmtId="0" fontId="25" fillId="0" borderId="3" xfId="0" applyFont="1" applyBorder="1" applyAlignment="1">
      <alignment wrapText="1"/>
    </xf>
    <xf numFmtId="0" fontId="25" fillId="0" borderId="3" xfId="0" applyFont="1" applyBorder="1"/>
    <xf numFmtId="4" fontId="25" fillId="0" borderId="3" xfId="0" applyNumberFormat="1" applyFont="1" applyBorder="1"/>
    <xf numFmtId="4" fontId="25" fillId="0" borderId="3" xfId="0" applyNumberFormat="1" applyFont="1" applyBorder="1" applyAlignment="1"/>
    <xf numFmtId="4" fontId="11" fillId="0" borderId="3" xfId="0" applyNumberFormat="1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15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4" fontId="13" fillId="15" borderId="2" xfId="0" applyNumberFormat="1" applyFont="1" applyFill="1" applyBorder="1" applyAlignment="1">
      <alignment horizontal="center" vertical="center"/>
    </xf>
    <xf numFmtId="0" fontId="31" fillId="0" borderId="0" xfId="0" applyFont="1"/>
    <xf numFmtId="164" fontId="2" fillId="12" borderId="3" xfId="0" applyNumberFormat="1" applyFont="1" applyFill="1" applyBorder="1" applyAlignment="1">
      <alignment horizontal="center"/>
    </xf>
    <xf numFmtId="4" fontId="2" fillId="12" borderId="3" xfId="0" applyNumberFormat="1" applyFont="1" applyFill="1" applyBorder="1" applyAlignment="1">
      <alignment horizontal="center"/>
    </xf>
    <xf numFmtId="4" fontId="2" fillId="12" borderId="3" xfId="0" applyNumberFormat="1" applyFont="1" applyFill="1" applyBorder="1" applyAlignment="1">
      <alignment horizontal="center"/>
    </xf>
    <xf numFmtId="0" fontId="26" fillId="12" borderId="0" xfId="0" applyFont="1" applyFill="1" applyAlignment="1">
      <alignment horizontal="center"/>
    </xf>
    <xf numFmtId="0" fontId="2" fillId="10" borderId="2" xfId="0" applyFont="1" applyFill="1" applyBorder="1" applyAlignment="1">
      <alignment horizontal="left" vertical="center"/>
    </xf>
    <xf numFmtId="4" fontId="2" fillId="0" borderId="7" xfId="0" applyNumberFormat="1" applyFont="1" applyBorder="1" applyAlignment="1">
      <alignment horizontal="center"/>
    </xf>
    <xf numFmtId="0" fontId="13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wrapText="1"/>
    </xf>
    <xf numFmtId="0" fontId="2" fillId="12" borderId="3" xfId="0" applyFont="1" applyFill="1" applyBorder="1" applyAlignment="1">
      <alignment horizontal="left" vertical="center"/>
    </xf>
    <xf numFmtId="0" fontId="31" fillId="0" borderId="3" xfId="0" applyFont="1" applyBorder="1" applyAlignment="1"/>
    <xf numFmtId="0" fontId="31" fillId="0" borderId="3" xfId="0" applyFont="1" applyBorder="1" applyAlignment="1">
      <alignment wrapText="1"/>
    </xf>
    <xf numFmtId="4" fontId="31" fillId="0" borderId="3" xfId="0" applyNumberFormat="1" applyFont="1" applyBorder="1"/>
    <xf numFmtId="4" fontId="31" fillId="0" borderId="3" xfId="0" applyNumberFormat="1" applyFont="1" applyBorder="1" applyAlignment="1"/>
    <xf numFmtId="166" fontId="2" fillId="5" borderId="0" xfId="0" applyNumberFormat="1" applyFont="1" applyFill="1" applyAlignment="1">
      <alignment horizontal="center"/>
    </xf>
    <xf numFmtId="166" fontId="2" fillId="21" borderId="0" xfId="0" applyNumberFormat="1" applyFont="1" applyFill="1" applyAlignment="1">
      <alignment horizontal="center"/>
    </xf>
    <xf numFmtId="0" fontId="2" fillId="10" borderId="4" xfId="0" applyFont="1" applyFill="1" applyBorder="1" applyAlignment="1">
      <alignment horizontal="left"/>
    </xf>
    <xf numFmtId="4" fontId="2" fillId="15" borderId="3" xfId="0" applyNumberFormat="1" applyFont="1" applyFill="1" applyBorder="1" applyAlignment="1">
      <alignment horizontal="center"/>
    </xf>
    <xf numFmtId="4" fontId="2" fillId="15" borderId="3" xfId="0" applyNumberFormat="1" applyFont="1" applyFill="1" applyBorder="1" applyAlignment="1">
      <alignment horizontal="center"/>
    </xf>
    <xf numFmtId="0" fontId="26" fillId="15" borderId="0" xfId="0" applyFont="1" applyFill="1" applyAlignment="1">
      <alignment horizontal="center"/>
    </xf>
    <xf numFmtId="4" fontId="1" fillId="0" borderId="3" xfId="0" applyNumberFormat="1" applyFont="1" applyBorder="1" applyAlignment="1">
      <alignment horizontal="center"/>
    </xf>
    <xf numFmtId="4" fontId="13" fillId="0" borderId="3" xfId="0" applyNumberFormat="1" applyFont="1" applyBorder="1" applyAlignment="1">
      <alignment horizontal="center"/>
    </xf>
    <xf numFmtId="0" fontId="2" fillId="26" borderId="4" xfId="0" applyFont="1" applyFill="1" applyBorder="1" applyAlignment="1">
      <alignment horizontal="left"/>
    </xf>
    <xf numFmtId="0" fontId="26" fillId="27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/>
    </xf>
    <xf numFmtId="164" fontId="2" fillId="3" borderId="3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4" fontId="2" fillId="3" borderId="3" xfId="0" applyNumberFormat="1" applyFont="1" applyFill="1" applyBorder="1" applyAlignment="1">
      <alignment horizontal="center"/>
    </xf>
    <xf numFmtId="4" fontId="2" fillId="3" borderId="3" xfId="0" applyNumberFormat="1" applyFont="1" applyFill="1" applyBorder="1" applyAlignment="1">
      <alignment horizontal="center"/>
    </xf>
    <xf numFmtId="166" fontId="2" fillId="13" borderId="3" xfId="0" applyNumberFormat="1" applyFont="1" applyFill="1" applyBorder="1" applyAlignment="1">
      <alignment horizontal="center"/>
    </xf>
    <xf numFmtId="0" fontId="2" fillId="10" borderId="3" xfId="0" applyFont="1" applyFill="1" applyBorder="1" applyAlignment="1">
      <alignment horizontal="left" vertical="center"/>
    </xf>
    <xf numFmtId="0" fontId="26" fillId="0" borderId="0" xfId="0" applyFont="1" applyAlignment="1">
      <alignment horizontal="left"/>
    </xf>
    <xf numFmtId="0" fontId="13" fillId="5" borderId="2" xfId="0" applyFont="1" applyFill="1" applyBorder="1" applyAlignment="1">
      <alignment horizontal="left" vertical="center"/>
    </xf>
    <xf numFmtId="4" fontId="11" fillId="15" borderId="2" xfId="0" applyNumberFormat="1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 wrapText="1"/>
    </xf>
    <xf numFmtId="4" fontId="2" fillId="15" borderId="2" xfId="0" applyNumberFormat="1" applyFont="1" applyFill="1" applyBorder="1" applyAlignment="1">
      <alignment horizontal="center"/>
    </xf>
    <xf numFmtId="166" fontId="2" fillId="15" borderId="3" xfId="0" applyNumberFormat="1" applyFont="1" applyFill="1" applyBorder="1" applyAlignment="1">
      <alignment horizontal="center"/>
    </xf>
    <xf numFmtId="166" fontId="2" fillId="15" borderId="0" xfId="0" applyNumberFormat="1" applyFont="1" applyFill="1" applyAlignment="1">
      <alignment horizontal="center"/>
    </xf>
    <xf numFmtId="0" fontId="2" fillId="5" borderId="2" xfId="0" applyFont="1" applyFill="1" applyBorder="1" applyAlignment="1">
      <alignment horizontal="center" vertical="center" wrapText="1"/>
    </xf>
    <xf numFmtId="0" fontId="30" fillId="12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 vertical="center"/>
    </xf>
    <xf numFmtId="0" fontId="2" fillId="12" borderId="0" xfId="0" applyFont="1" applyFill="1" applyAlignment="1">
      <alignment horizontal="center"/>
    </xf>
    <xf numFmtId="0" fontId="19" fillId="3" borderId="2" xfId="0" applyFont="1" applyFill="1" applyBorder="1" applyAlignment="1">
      <alignment horizontal="left"/>
    </xf>
    <xf numFmtId="0" fontId="11" fillId="0" borderId="0" xfId="0" applyFont="1" applyAlignment="1">
      <alignment horizontal="left"/>
    </xf>
    <xf numFmtId="0" fontId="2" fillId="0" borderId="1" xfId="0" applyFont="1" applyBorder="1" applyAlignment="1">
      <alignment horizontal="center" wrapText="1"/>
    </xf>
    <xf numFmtId="0" fontId="32" fillId="0" borderId="0" xfId="0" applyFont="1" applyAlignment="1"/>
    <xf numFmtId="0" fontId="2" fillId="15" borderId="3" xfId="0" applyFont="1" applyFill="1" applyBorder="1" applyAlignment="1">
      <alignment horizontal="left"/>
    </xf>
    <xf numFmtId="0" fontId="1" fillId="3" borderId="3" xfId="0" applyFont="1" applyFill="1" applyBorder="1" applyAlignment="1"/>
    <xf numFmtId="0" fontId="26" fillId="0" borderId="3" xfId="0" applyFont="1" applyBorder="1" applyAlignment="1">
      <alignment horizontal="left"/>
    </xf>
    <xf numFmtId="0" fontId="2" fillId="5" borderId="4" xfId="0" applyFont="1" applyFill="1" applyBorder="1" applyAlignment="1">
      <alignment horizontal="left"/>
    </xf>
    <xf numFmtId="0" fontId="2" fillId="10" borderId="3" xfId="0" applyFont="1" applyFill="1" applyBorder="1" applyAlignment="1">
      <alignment horizontal="left"/>
    </xf>
    <xf numFmtId="0" fontId="30" fillId="10" borderId="3" xfId="0" applyFont="1" applyFill="1" applyBorder="1" applyAlignment="1">
      <alignment horizontal="left"/>
    </xf>
    <xf numFmtId="0" fontId="2" fillId="12" borderId="3" xfId="0" applyFont="1" applyFill="1" applyBorder="1" applyAlignment="1">
      <alignment horizontal="left"/>
    </xf>
    <xf numFmtId="0" fontId="2" fillId="10" borderId="2" xfId="0" applyFont="1" applyFill="1" applyBorder="1" applyAlignment="1">
      <alignment horizontal="left" wrapText="1"/>
    </xf>
    <xf numFmtId="0" fontId="13" fillId="5" borderId="0" xfId="0" applyFont="1" applyFill="1" applyAlignment="1">
      <alignment horizontal="center"/>
    </xf>
    <xf numFmtId="0" fontId="11" fillId="15" borderId="3" xfId="0" applyFont="1" applyFill="1" applyBorder="1" applyAlignment="1">
      <alignment horizontal="left"/>
    </xf>
    <xf numFmtId="0" fontId="2" fillId="28" borderId="4" xfId="0" applyFont="1" applyFill="1" applyBorder="1" applyAlignment="1">
      <alignment horizontal="left"/>
    </xf>
    <xf numFmtId="0" fontId="13" fillId="3" borderId="2" xfId="0" applyFont="1" applyFill="1" applyBorder="1" applyAlignment="1">
      <alignment horizontal="left"/>
    </xf>
    <xf numFmtId="0" fontId="3" fillId="10" borderId="2" xfId="0" applyFont="1" applyFill="1" applyBorder="1" applyAlignment="1"/>
    <xf numFmtId="0" fontId="30" fillId="0" borderId="3" xfId="0" applyFont="1" applyBorder="1" applyAlignment="1">
      <alignment horizontal="left"/>
    </xf>
    <xf numFmtId="0" fontId="30" fillId="0" borderId="8" xfId="0" applyFont="1" applyBorder="1" applyAlignment="1">
      <alignment horizontal="center"/>
    </xf>
    <xf numFmtId="0" fontId="26" fillId="5" borderId="0" xfId="0" applyFont="1" applyFill="1" applyAlignment="1">
      <alignment horizontal="left"/>
    </xf>
    <xf numFmtId="0" fontId="2" fillId="3" borderId="3" xfId="0" applyFont="1" applyFill="1" applyBorder="1" applyAlignment="1">
      <alignment horizontal="left"/>
    </xf>
    <xf numFmtId="0" fontId="13" fillId="15" borderId="3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 vertical="center"/>
    </xf>
    <xf numFmtId="0" fontId="3" fillId="5" borderId="2" xfId="0" applyFont="1" applyFill="1" applyBorder="1" applyAlignment="1"/>
    <xf numFmtId="0" fontId="33" fillId="15" borderId="3" xfId="0" applyFont="1" applyFill="1" applyBorder="1" applyAlignment="1"/>
    <xf numFmtId="164" fontId="2" fillId="3" borderId="2" xfId="0" applyNumberFormat="1" applyFont="1" applyFill="1" applyBorder="1" applyAlignment="1">
      <alignment horizontal="center"/>
    </xf>
    <xf numFmtId="3" fontId="2" fillId="3" borderId="2" xfId="0" applyNumberFormat="1" applyFont="1" applyFill="1" applyBorder="1" applyAlignment="1">
      <alignment horizontal="center" wrapText="1"/>
    </xf>
    <xf numFmtId="3" fontId="2" fillId="3" borderId="2" xfId="0" applyNumberFormat="1" applyFont="1" applyFill="1" applyBorder="1" applyAlignment="1">
      <alignment horizontal="center"/>
    </xf>
    <xf numFmtId="166" fontId="2" fillId="3" borderId="2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 wrapText="1"/>
    </xf>
    <xf numFmtId="3" fontId="2" fillId="10" borderId="2" xfId="0" applyNumberFormat="1" applyFont="1" applyFill="1" applyBorder="1" applyAlignment="1">
      <alignment horizontal="center" wrapText="1"/>
    </xf>
    <xf numFmtId="0" fontId="1" fillId="10" borderId="0" xfId="0" applyFont="1" applyFill="1" applyAlignment="1"/>
    <xf numFmtId="0" fontId="2" fillId="21" borderId="30" xfId="0" applyFont="1" applyFill="1" applyBorder="1" applyAlignment="1">
      <alignment horizontal="center"/>
    </xf>
    <xf numFmtId="0" fontId="2" fillId="21" borderId="30" xfId="0" applyFont="1" applyFill="1" applyBorder="1" applyAlignment="1">
      <alignment horizontal="center"/>
    </xf>
    <xf numFmtId="0" fontId="13" fillId="26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wrapText="1"/>
    </xf>
    <xf numFmtId="0" fontId="2" fillId="29" borderId="2" xfId="0" applyFont="1" applyFill="1" applyBorder="1" applyAlignment="1">
      <alignment horizontal="center" vertical="center"/>
    </xf>
    <xf numFmtId="0" fontId="1" fillId="5" borderId="0" xfId="0" applyFont="1" applyFill="1" applyAlignment="1"/>
    <xf numFmtId="0" fontId="30" fillId="12" borderId="2" xfId="0" applyFont="1" applyFill="1" applyBorder="1" applyAlignment="1">
      <alignment horizontal="left" vertical="center"/>
    </xf>
    <xf numFmtId="0" fontId="2" fillId="30" borderId="2" xfId="0" applyFont="1" applyFill="1" applyBorder="1" applyAlignment="1">
      <alignment horizontal="left"/>
    </xf>
    <xf numFmtId="166" fontId="2" fillId="29" borderId="2" xfId="0" applyNumberFormat="1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left" vertical="center"/>
    </xf>
    <xf numFmtId="0" fontId="2" fillId="29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left" wrapText="1"/>
    </xf>
    <xf numFmtId="0" fontId="11" fillId="5" borderId="3" xfId="0" applyFont="1" applyFill="1" applyBorder="1" applyAlignment="1">
      <alignment horizontal="center" wrapText="1"/>
    </xf>
    <xf numFmtId="0" fontId="17" fillId="5" borderId="3" xfId="0" applyFont="1" applyFill="1" applyBorder="1" applyAlignment="1">
      <alignment horizontal="center" wrapText="1"/>
    </xf>
    <xf numFmtId="166" fontId="13" fillId="29" borderId="3" xfId="0" applyNumberFormat="1" applyFont="1" applyFill="1" applyBorder="1" applyAlignment="1">
      <alignment horizontal="center"/>
    </xf>
    <xf numFmtId="0" fontId="2" fillId="29" borderId="3" xfId="0" applyFont="1" applyFill="1" applyBorder="1" applyAlignment="1">
      <alignment horizontal="center" wrapText="1"/>
    </xf>
    <xf numFmtId="0" fontId="13" fillId="30" borderId="2" xfId="0" applyFont="1" applyFill="1" applyBorder="1" applyAlignment="1">
      <alignment horizontal="left"/>
    </xf>
    <xf numFmtId="0" fontId="1" fillId="29" borderId="5" xfId="0" applyFont="1" applyFill="1" applyBorder="1" applyAlignment="1">
      <alignment horizontal="center"/>
    </xf>
    <xf numFmtId="0" fontId="2" fillId="5" borderId="0" xfId="0" applyFont="1" applyFill="1" applyAlignment="1">
      <alignment horizontal="left"/>
    </xf>
    <xf numFmtId="0" fontId="2" fillId="9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2" fillId="9" borderId="1" xfId="0" applyNumberFormat="1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center" wrapText="1"/>
    </xf>
    <xf numFmtId="166" fontId="18" fillId="4" borderId="1" xfId="0" applyNumberFormat="1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13" fillId="5" borderId="31" xfId="0" applyFont="1" applyFill="1" applyBorder="1" applyAlignment="1">
      <alignment horizontal="center" wrapText="1"/>
    </xf>
    <xf numFmtId="0" fontId="13" fillId="5" borderId="8" xfId="0" applyFont="1" applyFill="1" applyBorder="1" applyAlignment="1">
      <alignment horizontal="center" wrapText="1"/>
    </xf>
    <xf numFmtId="0" fontId="11" fillId="5" borderId="8" xfId="0" applyFont="1" applyFill="1" applyBorder="1" applyAlignment="1">
      <alignment horizontal="center" wrapText="1"/>
    </xf>
    <xf numFmtId="0" fontId="2" fillId="5" borderId="8" xfId="0" applyFont="1" applyFill="1" applyBorder="1" applyAlignment="1">
      <alignment horizontal="center" wrapText="1"/>
    </xf>
    <xf numFmtId="0" fontId="11" fillId="5" borderId="8" xfId="0" applyFont="1" applyFill="1" applyBorder="1" applyAlignment="1">
      <alignment horizontal="center" wrapText="1"/>
    </xf>
    <xf numFmtId="0" fontId="1" fillId="0" borderId="32" xfId="0" applyFont="1" applyBorder="1" applyAlignment="1">
      <alignment wrapText="1"/>
    </xf>
    <xf numFmtId="0" fontId="19" fillId="26" borderId="2" xfId="0" applyFont="1" applyFill="1" applyBorder="1" applyAlignment="1">
      <alignment horizontal="left"/>
    </xf>
    <xf numFmtId="0" fontId="11" fillId="15" borderId="3" xfId="0" applyFont="1" applyFill="1" applyBorder="1" applyAlignment="1">
      <alignment horizontal="center"/>
    </xf>
    <xf numFmtId="166" fontId="2" fillId="21" borderId="30" xfId="0" applyNumberFormat="1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4" fontId="2" fillId="29" borderId="3" xfId="0" applyNumberFormat="1" applyFont="1" applyFill="1" applyBorder="1" applyAlignment="1">
      <alignment horizontal="center"/>
    </xf>
    <xf numFmtId="0" fontId="2" fillId="30" borderId="4" xfId="0" applyFont="1" applyFill="1" applyBorder="1" applyAlignment="1">
      <alignment horizontal="left"/>
    </xf>
    <xf numFmtId="0" fontId="13" fillId="28" borderId="4" xfId="0" applyFont="1" applyFill="1" applyBorder="1" applyAlignment="1">
      <alignment horizontal="left"/>
    </xf>
    <xf numFmtId="0" fontId="13" fillId="1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/>
    </xf>
    <xf numFmtId="0" fontId="20" fillId="5" borderId="3" xfId="0" applyFont="1" applyFill="1" applyBorder="1" applyAlignment="1"/>
    <xf numFmtId="0" fontId="2" fillId="14" borderId="4" xfId="0" applyFont="1" applyFill="1" applyBorder="1" applyAlignment="1">
      <alignment horizontal="left"/>
    </xf>
    <xf numFmtId="4" fontId="2" fillId="3" borderId="2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164" fontId="3" fillId="5" borderId="3" xfId="0" applyNumberFormat="1" applyFont="1" applyFill="1" applyBorder="1" applyAlignment="1"/>
    <xf numFmtId="164" fontId="2" fillId="14" borderId="3" xfId="0" applyNumberFormat="1" applyFont="1" applyFill="1" applyBorder="1" applyAlignment="1">
      <alignment horizontal="center"/>
    </xf>
    <xf numFmtId="0" fontId="1" fillId="3" borderId="0" xfId="0" applyFont="1" applyFill="1"/>
    <xf numFmtId="0" fontId="17" fillId="5" borderId="3" xfId="0" applyFont="1" applyFill="1" applyBorder="1" applyAlignment="1">
      <alignment horizontal="center" wrapText="1"/>
    </xf>
    <xf numFmtId="4" fontId="2" fillId="14" borderId="3" xfId="0" applyNumberFormat="1" applyFont="1" applyFill="1" applyBorder="1" applyAlignment="1">
      <alignment horizontal="center"/>
    </xf>
    <xf numFmtId="4" fontId="2" fillId="14" borderId="3" xfId="0" applyNumberFormat="1" applyFont="1" applyFill="1" applyBorder="1" applyAlignment="1">
      <alignment horizontal="center"/>
    </xf>
    <xf numFmtId="165" fontId="2" fillId="5" borderId="3" xfId="0" applyNumberFormat="1" applyFont="1" applyFill="1" applyBorder="1" applyAlignment="1">
      <alignment horizontal="center"/>
    </xf>
    <xf numFmtId="164" fontId="2" fillId="5" borderId="3" xfId="0" applyNumberFormat="1" applyFont="1" applyFill="1" applyBorder="1" applyAlignment="1">
      <alignment horizontal="center" wrapText="1"/>
    </xf>
    <xf numFmtId="0" fontId="13" fillId="15" borderId="2" xfId="0" applyFont="1" applyFill="1" applyBorder="1" applyAlignment="1">
      <alignment horizontal="center" wrapText="1"/>
    </xf>
    <xf numFmtId="0" fontId="2" fillId="28" borderId="3" xfId="0" applyFont="1" applyFill="1" applyBorder="1" applyAlignment="1">
      <alignment horizontal="left"/>
    </xf>
    <xf numFmtId="4" fontId="2" fillId="29" borderId="7" xfId="0" applyNumberFormat="1" applyFont="1" applyFill="1" applyBorder="1" applyAlignment="1">
      <alignment horizontal="center"/>
    </xf>
    <xf numFmtId="166" fontId="2" fillId="16" borderId="4" xfId="0" applyNumberFormat="1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 wrapText="1"/>
    </xf>
    <xf numFmtId="0" fontId="2" fillId="13" borderId="3" xfId="0" applyFont="1" applyFill="1" applyBorder="1" applyAlignment="1">
      <alignment horizontal="center" wrapText="1"/>
    </xf>
    <xf numFmtId="166" fontId="2" fillId="29" borderId="3" xfId="0" applyNumberFormat="1" applyFont="1" applyFill="1" applyBorder="1" applyAlignment="1">
      <alignment horizontal="center"/>
    </xf>
    <xf numFmtId="0" fontId="2" fillId="12" borderId="5" xfId="0" applyFont="1" applyFill="1" applyBorder="1" applyAlignment="1">
      <alignment horizontal="left"/>
    </xf>
    <xf numFmtId="0" fontId="1" fillId="10" borderId="0" xfId="0" applyFont="1" applyFill="1" applyAlignment="1">
      <alignment horizontal="center"/>
    </xf>
    <xf numFmtId="0" fontId="11" fillId="15" borderId="3" xfId="0" applyFont="1" applyFill="1" applyBorder="1" applyAlignment="1">
      <alignment horizontal="center"/>
    </xf>
    <xf numFmtId="0" fontId="30" fillId="12" borderId="3" xfId="0" applyFont="1" applyFill="1" applyBorder="1" applyAlignment="1">
      <alignment horizontal="left" vertical="center"/>
    </xf>
    <xf numFmtId="0" fontId="2" fillId="29" borderId="3" xfId="0" applyFont="1" applyFill="1" applyBorder="1" applyAlignment="1">
      <alignment horizontal="center"/>
    </xf>
    <xf numFmtId="0" fontId="26" fillId="5" borderId="3" xfId="0" applyFont="1" applyFill="1" applyBorder="1" applyAlignment="1">
      <alignment horizontal="center"/>
    </xf>
    <xf numFmtId="0" fontId="2" fillId="30" borderId="3" xfId="0" applyFont="1" applyFill="1" applyBorder="1" applyAlignment="1">
      <alignment horizontal="left" vertical="center"/>
    </xf>
    <xf numFmtId="0" fontId="3" fillId="12" borderId="3" xfId="0" applyFont="1" applyFill="1" applyBorder="1" applyAlignment="1"/>
    <xf numFmtId="0" fontId="33" fillId="12" borderId="3" xfId="0" applyFont="1" applyFill="1" applyBorder="1" applyAlignment="1"/>
    <xf numFmtId="4" fontId="2" fillId="30" borderId="3" xfId="0" applyNumberFormat="1" applyFont="1" applyFill="1" applyBorder="1" applyAlignment="1">
      <alignment horizontal="center"/>
    </xf>
    <xf numFmtId="0" fontId="2" fillId="15" borderId="2" xfId="0" applyFont="1" applyFill="1" applyBorder="1" applyAlignment="1">
      <alignment horizontal="center" wrapText="1"/>
    </xf>
    <xf numFmtId="4" fontId="2" fillId="12" borderId="7" xfId="0" applyNumberFormat="1" applyFont="1" applyFill="1" applyBorder="1" applyAlignment="1">
      <alignment horizontal="center"/>
    </xf>
    <xf numFmtId="4" fontId="2" fillId="13" borderId="2" xfId="0" applyNumberFormat="1" applyFont="1" applyFill="1" applyBorder="1" applyAlignment="1">
      <alignment horizontal="center"/>
    </xf>
    <xf numFmtId="166" fontId="2" fillId="29" borderId="2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4" fontId="2" fillId="5" borderId="2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20" fillId="15" borderId="3" xfId="0" applyFont="1" applyFill="1" applyBorder="1" applyAlignment="1"/>
    <xf numFmtId="166" fontId="3" fillId="29" borderId="3" xfId="0" applyNumberFormat="1" applyFont="1" applyFill="1" applyBorder="1" applyAlignment="1">
      <alignment horizontal="center"/>
    </xf>
    <xf numFmtId="0" fontId="2" fillId="30" borderId="3" xfId="0" applyFont="1" applyFill="1" applyBorder="1" applyAlignment="1">
      <alignment horizontal="left"/>
    </xf>
    <xf numFmtId="0" fontId="2" fillId="30" borderId="3" xfId="0" applyFont="1" applyFill="1" applyBorder="1" applyAlignment="1">
      <alignment horizontal="center" wrapText="1"/>
    </xf>
    <xf numFmtId="0" fontId="13" fillId="0" borderId="3" xfId="0" applyFont="1" applyBorder="1" applyAlignment="1">
      <alignment horizontal="left"/>
    </xf>
    <xf numFmtId="0" fontId="34" fillId="0" borderId="3" xfId="0" applyFont="1" applyBorder="1" applyAlignment="1">
      <alignment horizontal="center" wrapText="1"/>
    </xf>
    <xf numFmtId="164" fontId="34" fillId="0" borderId="3" xfId="0" applyNumberFormat="1" applyFont="1" applyBorder="1" applyAlignment="1">
      <alignment horizontal="center" wrapText="1"/>
    </xf>
    <xf numFmtId="0" fontId="1" fillId="5" borderId="5" xfId="0" applyFont="1" applyFill="1" applyBorder="1" applyAlignment="1"/>
    <xf numFmtId="0" fontId="13" fillId="5" borderId="5" xfId="0" applyFont="1" applyFill="1" applyBorder="1" applyAlignment="1">
      <alignment horizontal="center"/>
    </xf>
    <xf numFmtId="0" fontId="1" fillId="5" borderId="0" xfId="0" applyFont="1" applyFill="1" applyAlignment="1">
      <alignment wrapText="1"/>
    </xf>
    <xf numFmtId="166" fontId="13" fillId="5" borderId="0" xfId="0" applyNumberFormat="1" applyFont="1" applyFill="1" applyAlignment="1">
      <alignment horizontal="center"/>
    </xf>
    <xf numFmtId="4" fontId="2" fillId="22" borderId="3" xfId="0" applyNumberFormat="1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 vertical="center" wrapText="1"/>
    </xf>
    <xf numFmtId="166" fontId="13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 wrapText="1"/>
    </xf>
    <xf numFmtId="0" fontId="13" fillId="5" borderId="33" xfId="0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wrapText="1"/>
    </xf>
    <xf numFmtId="3" fontId="2" fillId="0" borderId="0" xfId="0" applyNumberFormat="1" applyFont="1" applyAlignment="1">
      <alignment horizontal="center" wrapText="1"/>
    </xf>
    <xf numFmtId="166" fontId="18" fillId="0" borderId="0" xfId="0" applyNumberFormat="1" applyFont="1" applyAlignment="1">
      <alignment horizontal="center" wrapText="1"/>
    </xf>
    <xf numFmtId="166" fontId="18" fillId="0" borderId="0" xfId="0" applyNumberFormat="1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166" fontId="18" fillId="0" borderId="2" xfId="0" applyNumberFormat="1" applyFont="1" applyBorder="1" applyAlignment="1">
      <alignment horizontal="center" wrapText="1"/>
    </xf>
    <xf numFmtId="0" fontId="18" fillId="0" borderId="2" xfId="0" applyFont="1" applyBorder="1" applyAlignment="1">
      <alignment horizontal="center" wrapText="1"/>
    </xf>
    <xf numFmtId="0" fontId="13" fillId="5" borderId="2" xfId="0" applyFont="1" applyFill="1" applyBorder="1" applyAlignment="1">
      <alignment horizontal="center" wrapText="1"/>
    </xf>
    <xf numFmtId="166" fontId="2" fillId="13" borderId="2" xfId="0" applyNumberFormat="1" applyFont="1" applyFill="1" applyBorder="1" applyAlignment="1">
      <alignment horizontal="center"/>
    </xf>
    <xf numFmtId="0" fontId="20" fillId="3" borderId="3" xfId="0" applyFont="1" applyFill="1" applyBorder="1" applyAlignment="1"/>
    <xf numFmtId="0" fontId="3" fillId="3" borderId="3" xfId="0" applyFont="1" applyFill="1" applyBorder="1" applyAlignment="1">
      <alignment horizontal="center"/>
    </xf>
    <xf numFmtId="164" fontId="3" fillId="3" borderId="3" xfId="0" applyNumberFormat="1" applyFont="1" applyFill="1" applyBorder="1" applyAlignment="1"/>
    <xf numFmtId="3" fontId="3" fillId="3" borderId="3" xfId="0" applyNumberFormat="1" applyFont="1" applyFill="1" applyBorder="1" applyAlignment="1">
      <alignment wrapText="1"/>
    </xf>
    <xf numFmtId="166" fontId="3" fillId="3" borderId="3" xfId="0" applyNumberFormat="1" applyFont="1" applyFill="1" applyBorder="1" applyAlignment="1"/>
    <xf numFmtId="166" fontId="3" fillId="3" borderId="3" xfId="0" applyNumberFormat="1" applyFont="1" applyFill="1" applyBorder="1" applyAlignment="1"/>
    <xf numFmtId="166" fontId="3" fillId="3" borderId="3" xfId="0" applyNumberFormat="1" applyFont="1" applyFill="1" applyBorder="1" applyAlignment="1">
      <alignment horizontal="center"/>
    </xf>
    <xf numFmtId="0" fontId="17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2" fontId="19" fillId="5" borderId="3" xfId="0" applyNumberFormat="1" applyFont="1" applyFill="1" applyBorder="1" applyAlignment="1">
      <alignment horizontal="center"/>
    </xf>
    <xf numFmtId="164" fontId="2" fillId="3" borderId="3" xfId="0" applyNumberFormat="1" applyFont="1" applyFill="1" applyBorder="1" applyAlignment="1">
      <alignment horizontal="center" wrapText="1"/>
    </xf>
    <xf numFmtId="3" fontId="2" fillId="3" borderId="3" xfId="0" applyNumberFormat="1" applyFont="1" applyFill="1" applyBorder="1" applyAlignment="1">
      <alignment horizontal="center" wrapText="1"/>
    </xf>
    <xf numFmtId="166" fontId="18" fillId="3" borderId="3" xfId="0" applyNumberFormat="1" applyFont="1" applyFill="1" applyBorder="1" applyAlignment="1">
      <alignment horizontal="center" wrapText="1"/>
    </xf>
    <xf numFmtId="166" fontId="18" fillId="3" borderId="3" xfId="0" applyNumberFormat="1" applyFont="1" applyFill="1" applyBorder="1" applyAlignment="1">
      <alignment horizontal="center" wrapText="1"/>
    </xf>
    <xf numFmtId="0" fontId="18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29" borderId="5" xfId="0" applyFont="1" applyFill="1" applyBorder="1" applyAlignment="1">
      <alignment horizontal="center"/>
    </xf>
    <xf numFmtId="0" fontId="2" fillId="21" borderId="34" xfId="0" applyFont="1" applyFill="1" applyBorder="1" applyAlignment="1">
      <alignment horizontal="center"/>
    </xf>
    <xf numFmtId="166" fontId="2" fillId="21" borderId="3" xfId="0" applyNumberFormat="1" applyFont="1" applyFill="1" applyBorder="1" applyAlignment="1">
      <alignment horizontal="center"/>
    </xf>
    <xf numFmtId="0" fontId="3" fillId="30" borderId="2" xfId="0" applyFont="1" applyFill="1" applyBorder="1" applyAlignment="1"/>
    <xf numFmtId="0" fontId="2" fillId="10" borderId="0" xfId="0" applyFont="1" applyFill="1" applyAlignment="1">
      <alignment horizontal="left"/>
    </xf>
    <xf numFmtId="0" fontId="3" fillId="29" borderId="2" xfId="0" applyFont="1" applyFill="1" applyBorder="1" applyAlignment="1">
      <alignment horizontal="center"/>
    </xf>
    <xf numFmtId="0" fontId="34" fillId="0" borderId="3" xfId="0" applyFont="1" applyBorder="1" applyAlignment="1">
      <alignment horizontal="left"/>
    </xf>
    <xf numFmtId="0" fontId="2" fillId="15" borderId="0" xfId="0" applyFont="1" applyFill="1" applyAlignment="1">
      <alignment horizontal="left"/>
    </xf>
    <xf numFmtId="0" fontId="3" fillId="5" borderId="2" xfId="0" applyFont="1" applyFill="1" applyBorder="1" applyAlignment="1">
      <alignment wrapText="1"/>
    </xf>
    <xf numFmtId="0" fontId="3" fillId="29" borderId="3" xfId="0" applyFont="1" applyFill="1" applyBorder="1" applyAlignment="1">
      <alignment horizontal="center"/>
    </xf>
    <xf numFmtId="0" fontId="19" fillId="0" borderId="0" xfId="0" applyFont="1" applyAlignment="1">
      <alignment horizontal="left"/>
    </xf>
    <xf numFmtId="0" fontId="2" fillId="9" borderId="2" xfId="0" applyFont="1" applyFill="1" applyBorder="1" applyAlignment="1">
      <alignment horizontal="left" vertical="center" wrapText="1"/>
    </xf>
    <xf numFmtId="0" fontId="2" fillId="21" borderId="3" xfId="0" applyFont="1" applyFill="1" applyBorder="1" applyAlignment="1">
      <alignment horizontal="center"/>
    </xf>
    <xf numFmtId="4" fontId="13" fillId="15" borderId="2" xfId="0" applyNumberFormat="1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30" fillId="5" borderId="3" xfId="0" applyFont="1" applyFill="1" applyBorder="1" applyAlignment="1">
      <alignment horizontal="left"/>
    </xf>
    <xf numFmtId="0" fontId="2" fillId="29" borderId="7" xfId="0" applyFont="1" applyFill="1" applyBorder="1" applyAlignment="1">
      <alignment horizontal="center"/>
    </xf>
    <xf numFmtId="164" fontId="2" fillId="5" borderId="0" xfId="0" applyNumberFormat="1" applyFont="1" applyFill="1" applyAlignment="1">
      <alignment horizontal="center" wrapText="1"/>
    </xf>
    <xf numFmtId="0" fontId="2" fillId="11" borderId="1" xfId="0" applyFont="1" applyFill="1" applyBorder="1" applyAlignment="1">
      <alignment horizontal="left" vertical="center" wrapText="1"/>
    </xf>
    <xf numFmtId="0" fontId="19" fillId="5" borderId="3" xfId="0" applyFont="1" applyFill="1" applyBorder="1" applyAlignment="1">
      <alignment horizontal="left" vertical="center"/>
    </xf>
    <xf numFmtId="0" fontId="20" fillId="5" borderId="3" xfId="0" applyFont="1" applyFill="1" applyBorder="1" applyAlignment="1">
      <alignment vertical="center"/>
    </xf>
    <xf numFmtId="166" fontId="3" fillId="5" borderId="3" xfId="0" applyNumberFormat="1" applyFont="1" applyFill="1" applyBorder="1" applyAlignment="1">
      <alignment horizontal="center"/>
    </xf>
    <xf numFmtId="0" fontId="22" fillId="12" borderId="0" xfId="0" applyFont="1" applyFill="1" applyAlignment="1">
      <alignment horizontal="left"/>
    </xf>
    <xf numFmtId="4" fontId="2" fillId="13" borderId="3" xfId="0" applyNumberFormat="1" applyFont="1" applyFill="1" applyBorder="1" applyAlignment="1">
      <alignment horizontal="center"/>
    </xf>
    <xf numFmtId="0" fontId="20" fillId="2" borderId="3" xfId="0" applyFont="1" applyFill="1" applyBorder="1" applyAlignment="1">
      <alignment horizontal="center"/>
    </xf>
    <xf numFmtId="0" fontId="20" fillId="11" borderId="3" xfId="0" applyFont="1" applyFill="1" applyBorder="1" applyAlignment="1"/>
    <xf numFmtId="0" fontId="3" fillId="4" borderId="3" xfId="0" applyFont="1" applyFill="1" applyBorder="1" applyAlignment="1">
      <alignment horizontal="center"/>
    </xf>
    <xf numFmtId="0" fontId="2" fillId="29" borderId="2" xfId="0" applyFont="1" applyFill="1" applyBorder="1" applyAlignment="1">
      <alignment horizontal="center" wrapText="1"/>
    </xf>
    <xf numFmtId="164" fontId="20" fillId="9" borderId="3" xfId="0" applyNumberFormat="1" applyFont="1" applyFill="1" applyBorder="1" applyAlignment="1">
      <alignment horizontal="center" wrapText="1"/>
    </xf>
    <xf numFmtId="0" fontId="1" fillId="5" borderId="0" xfId="0" applyFont="1" applyFill="1" applyAlignment="1">
      <alignment horizontal="center"/>
    </xf>
    <xf numFmtId="3" fontId="20" fillId="4" borderId="3" xfId="0" applyNumberFormat="1" applyFont="1" applyFill="1" applyBorder="1" applyAlignment="1">
      <alignment horizontal="center" wrapText="1"/>
    </xf>
    <xf numFmtId="166" fontId="20" fillId="4" borderId="3" xfId="0" applyNumberFormat="1" applyFont="1" applyFill="1" applyBorder="1" applyAlignment="1">
      <alignment horizontal="center" wrapText="1"/>
    </xf>
    <xf numFmtId="0" fontId="20" fillId="4" borderId="3" xfId="0" applyFont="1" applyFill="1" applyBorder="1" applyAlignment="1">
      <alignment horizontal="center" wrapText="1"/>
    </xf>
    <xf numFmtId="0" fontId="20" fillId="4" borderId="3" xfId="0" applyFont="1" applyFill="1" applyBorder="1" applyAlignment="1">
      <alignment horizontal="center" wrapText="1"/>
    </xf>
    <xf numFmtId="0" fontId="1" fillId="30" borderId="0" xfId="0" applyFont="1" applyFill="1" applyAlignment="1"/>
    <xf numFmtId="0" fontId="1" fillId="30" borderId="0" xfId="0" applyFont="1" applyFill="1"/>
    <xf numFmtId="0" fontId="1" fillId="0" borderId="3" xfId="0" applyFont="1" applyBorder="1" applyAlignment="1">
      <alignment wrapText="1"/>
    </xf>
    <xf numFmtId="0" fontId="1" fillId="15" borderId="3" xfId="0" applyFont="1" applyFill="1" applyBorder="1" applyAlignment="1">
      <alignment wrapText="1"/>
    </xf>
    <xf numFmtId="0" fontId="35" fillId="12" borderId="3" xfId="0" applyFont="1" applyFill="1" applyBorder="1" applyAlignment="1">
      <alignment horizontal="left"/>
    </xf>
    <xf numFmtId="0" fontId="2" fillId="9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/>
    </xf>
    <xf numFmtId="0" fontId="2" fillId="11" borderId="3" xfId="0" applyFont="1" applyFill="1" applyBorder="1" applyAlignment="1">
      <alignment horizontal="left" vertical="center" wrapText="1"/>
    </xf>
    <xf numFmtId="0" fontId="2" fillId="13" borderId="3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left" vertical="center"/>
    </xf>
    <xf numFmtId="0" fontId="30" fillId="5" borderId="2" xfId="0" applyFont="1" applyFill="1" applyBorder="1" applyAlignment="1">
      <alignment horizontal="left"/>
    </xf>
    <xf numFmtId="0" fontId="30" fillId="0" borderId="29" xfId="0" applyFont="1" applyBorder="1" applyAlignment="1">
      <alignment horizontal="center"/>
    </xf>
    <xf numFmtId="0" fontId="30" fillId="0" borderId="6" xfId="0" applyFont="1" applyBorder="1" applyAlignment="1">
      <alignment horizontal="center"/>
    </xf>
    <xf numFmtId="0" fontId="1" fillId="12" borderId="0" xfId="0" applyFont="1" applyFill="1" applyAlignment="1"/>
    <xf numFmtId="0" fontId="30" fillId="0" borderId="2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0" fontId="2" fillId="30" borderId="2" xfId="0" applyFont="1" applyFill="1" applyBorder="1" applyAlignment="1">
      <alignment horizontal="center"/>
    </xf>
    <xf numFmtId="0" fontId="1" fillId="24" borderId="3" xfId="0" applyFont="1" applyFill="1" applyBorder="1" applyAlignment="1">
      <alignment wrapText="1"/>
    </xf>
    <xf numFmtId="0" fontId="3" fillId="12" borderId="2" xfId="0" applyFont="1" applyFill="1" applyBorder="1" applyAlignment="1">
      <alignment horizontal="center"/>
    </xf>
    <xf numFmtId="166" fontId="1" fillId="21" borderId="3" xfId="0" applyNumberFormat="1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wrapText="1"/>
    </xf>
    <xf numFmtId="0" fontId="33" fillId="5" borderId="3" xfId="0" applyFont="1" applyFill="1" applyBorder="1" applyAlignment="1"/>
    <xf numFmtId="166" fontId="1" fillId="16" borderId="3" xfId="0" applyNumberFormat="1" applyFont="1" applyFill="1" applyBorder="1" applyAlignment="1">
      <alignment horizontal="center"/>
    </xf>
    <xf numFmtId="0" fontId="1" fillId="0" borderId="3" xfId="0" applyFont="1" applyBorder="1" applyAlignment="1">
      <alignment vertical="center" wrapText="1"/>
    </xf>
    <xf numFmtId="0" fontId="2" fillId="21" borderId="35" xfId="0" applyFont="1" applyFill="1" applyBorder="1" applyAlignment="1">
      <alignment horizontal="center"/>
    </xf>
    <xf numFmtId="0" fontId="1" fillId="12" borderId="0" xfId="0" applyFont="1" applyFill="1" applyAlignment="1">
      <alignment horizontal="center"/>
    </xf>
    <xf numFmtId="0" fontId="1" fillId="12" borderId="0" xfId="0" applyFont="1" applyFill="1"/>
    <xf numFmtId="0" fontId="2" fillId="21" borderId="27" xfId="0" applyFont="1" applyFill="1" applyBorder="1" applyAlignment="1">
      <alignment horizontal="center"/>
    </xf>
    <xf numFmtId="165" fontId="2" fillId="5" borderId="2" xfId="0" applyNumberFormat="1" applyFont="1" applyFill="1" applyBorder="1" applyAlignment="1">
      <alignment horizontal="center"/>
    </xf>
    <xf numFmtId="0" fontId="2" fillId="24" borderId="27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164" fontId="2" fillId="4" borderId="3" xfId="0" applyNumberFormat="1" applyFont="1" applyFill="1" applyBorder="1" applyAlignment="1">
      <alignment horizontal="center" vertical="center" wrapText="1"/>
    </xf>
    <xf numFmtId="0" fontId="20" fillId="0" borderId="3" xfId="0" applyFont="1" applyBorder="1" applyAlignment="1"/>
    <xf numFmtId="0" fontId="20" fillId="5" borderId="3" xfId="0" applyFont="1" applyFill="1" applyBorder="1" applyAlignment="1"/>
    <xf numFmtId="0" fontId="11" fillId="5" borderId="0" xfId="0" applyFont="1" applyFill="1" applyAlignment="1">
      <alignment horizontal="center"/>
    </xf>
    <xf numFmtId="0" fontId="11" fillId="5" borderId="0" xfId="0" applyFont="1" applyFill="1" applyAlignment="1">
      <alignment horizontal="left"/>
    </xf>
    <xf numFmtId="164" fontId="11" fillId="5" borderId="0" xfId="0" applyNumberFormat="1" applyFont="1" applyFill="1" applyAlignment="1">
      <alignment horizontal="center"/>
    </xf>
    <xf numFmtId="0" fontId="32" fillId="5" borderId="0" xfId="0" applyFont="1" applyFill="1" applyAlignment="1"/>
    <xf numFmtId="0" fontId="33" fillId="0" borderId="3" xfId="0" applyFont="1" applyBorder="1" applyAlignment="1"/>
    <xf numFmtId="0" fontId="22" fillId="5" borderId="3" xfId="0" applyFont="1" applyFill="1" applyBorder="1" applyAlignment="1">
      <alignment horizontal="left"/>
    </xf>
    <xf numFmtId="0" fontId="31" fillId="5" borderId="3" xfId="0" applyFont="1" applyFill="1" applyBorder="1" applyAlignment="1"/>
    <xf numFmtId="0" fontId="18" fillId="0" borderId="3" xfId="0" applyFont="1" applyBorder="1" applyAlignment="1">
      <alignment horizontal="center"/>
    </xf>
    <xf numFmtId="165" fontId="18" fillId="0" borderId="3" xfId="0" applyNumberFormat="1" applyFont="1" applyBorder="1" applyAlignment="1">
      <alignment horizontal="center"/>
    </xf>
    <xf numFmtId="0" fontId="18" fillId="0" borderId="3" xfId="0" applyFont="1" applyBorder="1" applyAlignment="1"/>
    <xf numFmtId="0" fontId="18" fillId="5" borderId="3" xfId="0" applyFont="1" applyFill="1" applyBorder="1" applyAlignment="1"/>
    <xf numFmtId="0" fontId="13" fillId="5" borderId="4" xfId="0" applyFont="1" applyFill="1" applyBorder="1" applyAlignment="1">
      <alignment horizontal="left" vertical="center"/>
    </xf>
    <xf numFmtId="0" fontId="13" fillId="15" borderId="4" xfId="0" applyFont="1" applyFill="1" applyBorder="1" applyAlignment="1">
      <alignment horizontal="left" vertical="center"/>
    </xf>
    <xf numFmtId="164" fontId="13" fillId="15" borderId="3" xfId="0" applyNumberFormat="1" applyFont="1" applyFill="1" applyBorder="1" applyAlignment="1">
      <alignment horizontal="center"/>
    </xf>
    <xf numFmtId="0" fontId="31" fillId="0" borderId="3" xfId="0" applyFont="1" applyBorder="1" applyAlignment="1">
      <alignment horizontal="center"/>
    </xf>
    <xf numFmtId="0" fontId="18" fillId="5" borderId="3" xfId="0" applyFont="1" applyFill="1" applyBorder="1" applyAlignment="1"/>
    <xf numFmtId="164" fontId="24" fillId="5" borderId="3" xfId="0" applyNumberFormat="1" applyFont="1" applyFill="1" applyBorder="1" applyAlignment="1">
      <alignment horizontal="center"/>
    </xf>
    <xf numFmtId="164" fontId="13" fillId="5" borderId="3" xfId="0" applyNumberFormat="1" applyFont="1" applyFill="1" applyBorder="1" applyAlignment="1">
      <alignment horizontal="center" wrapText="1"/>
    </xf>
    <xf numFmtId="0" fontId="13" fillId="15" borderId="3" xfId="0" applyFont="1" applyFill="1" applyBorder="1" applyAlignment="1">
      <alignment horizontal="left" vertical="center"/>
    </xf>
    <xf numFmtId="0" fontId="13" fillId="5" borderId="3" xfId="0" applyFont="1" applyFill="1" applyBorder="1" applyAlignment="1">
      <alignment horizontal="left" vertical="center"/>
    </xf>
    <xf numFmtId="0" fontId="13" fillId="5" borderId="2" xfId="0" applyFont="1" applyFill="1" applyBorder="1" applyAlignment="1">
      <alignment horizontal="center"/>
    </xf>
    <xf numFmtId="165" fontId="31" fillId="0" borderId="3" xfId="0" applyNumberFormat="1" applyFont="1" applyBorder="1" applyAlignment="1"/>
    <xf numFmtId="0" fontId="2" fillId="5" borderId="0" xfId="0" applyFont="1" applyFill="1" applyAlignment="1">
      <alignment horizontal="left" wrapText="1"/>
    </xf>
    <xf numFmtId="0" fontId="31" fillId="12" borderId="3" xfId="0" applyFont="1" applyFill="1" applyBorder="1" applyAlignment="1"/>
    <xf numFmtId="0" fontId="31" fillId="0" borderId="3" xfId="0" applyFont="1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31" fillId="0" borderId="0" xfId="0" applyFont="1" applyAlignment="1"/>
    <xf numFmtId="0" fontId="31" fillId="5" borderId="0" xfId="0" applyFont="1" applyFill="1"/>
    <xf numFmtId="0" fontId="31" fillId="0" borderId="3" xfId="0" applyFont="1" applyBorder="1" applyAlignment="1">
      <alignment horizontal="center"/>
    </xf>
    <xf numFmtId="0" fontId="13" fillId="15" borderId="2" xfId="0" applyFont="1" applyFill="1" applyBorder="1" applyAlignment="1">
      <alignment horizontal="left" wrapText="1"/>
    </xf>
    <xf numFmtId="0" fontId="13" fillId="5" borderId="2" xfId="0" applyFont="1" applyFill="1" applyBorder="1" applyAlignment="1">
      <alignment horizontal="left" wrapText="1"/>
    </xf>
    <xf numFmtId="0" fontId="24" fillId="5" borderId="2" xfId="0" applyFont="1" applyFill="1" applyBorder="1" applyAlignment="1"/>
    <xf numFmtId="0" fontId="24" fillId="0" borderId="3" xfId="0" applyFont="1" applyBorder="1" applyAlignment="1"/>
    <xf numFmtId="0" fontId="1" fillId="5" borderId="0" xfId="0" applyFont="1" applyFill="1" applyAlignment="1">
      <alignment vertical="center"/>
    </xf>
    <xf numFmtId="0" fontId="13" fillId="0" borderId="3" xfId="0" applyFont="1" applyBorder="1" applyAlignment="1">
      <alignment horizontal="left" wrapText="1"/>
    </xf>
    <xf numFmtId="0" fontId="1" fillId="0" borderId="0" xfId="0" applyFont="1" applyAlignment="1">
      <alignment vertical="center"/>
    </xf>
    <xf numFmtId="0" fontId="13" fillId="11" borderId="3" xfId="0" applyFont="1" applyFill="1" applyBorder="1" applyAlignment="1">
      <alignment horizontal="left"/>
    </xf>
    <xf numFmtId="164" fontId="13" fillId="5" borderId="2" xfId="0" applyNumberFormat="1" applyFont="1" applyFill="1" applyBorder="1" applyAlignment="1">
      <alignment horizontal="center"/>
    </xf>
    <xf numFmtId="0" fontId="1" fillId="2" borderId="0" xfId="0" applyFont="1" applyFill="1" applyAlignment="1"/>
    <xf numFmtId="0" fontId="16" fillId="5" borderId="3" xfId="0" applyFont="1" applyFill="1" applyBorder="1" applyAlignment="1">
      <alignment horizontal="center" wrapText="1"/>
    </xf>
    <xf numFmtId="0" fontId="1" fillId="2" borderId="3" xfId="0" applyFont="1" applyFill="1" applyBorder="1"/>
    <xf numFmtId="0" fontId="1" fillId="11" borderId="3" xfId="0" applyFont="1" applyFill="1" applyBorder="1" applyAlignment="1"/>
    <xf numFmtId="0" fontId="2" fillId="11" borderId="3" xfId="0" applyFont="1" applyFill="1" applyBorder="1" applyAlignment="1">
      <alignment horizontal="left" wrapText="1"/>
    </xf>
    <xf numFmtId="0" fontId="20" fillId="5" borderId="2" xfId="0" applyFont="1" applyFill="1" applyBorder="1" applyAlignment="1">
      <alignment wrapText="1"/>
    </xf>
    <xf numFmtId="164" fontId="20" fillId="0" borderId="2" xfId="0" applyNumberFormat="1" applyFont="1" applyBorder="1" applyAlignment="1">
      <alignment horizontal="center"/>
    </xf>
    <xf numFmtId="0" fontId="36" fillId="5" borderId="0" xfId="0" applyFont="1" applyFill="1" applyAlignment="1"/>
    <xf numFmtId="0" fontId="1" fillId="5" borderId="0" xfId="0" applyFont="1" applyFill="1" applyAlignment="1">
      <alignment horizontal="center"/>
    </xf>
    <xf numFmtId="0" fontId="2" fillId="11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wrapText="1"/>
    </xf>
    <xf numFmtId="0" fontId="37" fillId="5" borderId="0" xfId="0" applyFont="1" applyFill="1" applyAlignment="1"/>
    <xf numFmtId="0" fontId="2" fillId="5" borderId="3" xfId="0" applyFont="1" applyFill="1" applyBorder="1" applyAlignment="1"/>
    <xf numFmtId="0" fontId="13" fillId="5" borderId="3" xfId="0" applyFont="1" applyFill="1" applyBorder="1" applyAlignment="1"/>
    <xf numFmtId="0" fontId="2" fillId="0" borderId="3" xfId="0" applyFont="1" applyBorder="1" applyAlignment="1"/>
    <xf numFmtId="0" fontId="39" fillId="5" borderId="3" xfId="0" applyFont="1" applyFill="1" applyBorder="1" applyAlignment="1"/>
    <xf numFmtId="0" fontId="38" fillId="5" borderId="3" xfId="0" applyFont="1" applyFill="1" applyBorder="1" applyAlignment="1"/>
    <xf numFmtId="0" fontId="13" fillId="0" borderId="3" xfId="0" applyFont="1" applyFill="1" applyBorder="1" applyAlignment="1">
      <alignment horizontal="left" vertical="center"/>
    </xf>
    <xf numFmtId="0" fontId="40" fillId="5" borderId="3" xfId="0" applyFont="1" applyFill="1" applyBorder="1" applyAlignment="1">
      <alignment horizontal="left"/>
    </xf>
    <xf numFmtId="0" fontId="41" fillId="0" borderId="3" xfId="0" applyFont="1" applyBorder="1" applyAlignment="1"/>
    <xf numFmtId="0" fontId="38" fillId="0" borderId="0" xfId="0" applyFont="1" applyAlignment="1"/>
    <xf numFmtId="0" fontId="2" fillId="0" borderId="0" xfId="0" applyFont="1" applyFill="1" applyAlignment="1">
      <alignment horizontal="center"/>
    </xf>
    <xf numFmtId="0" fontId="26" fillId="0" borderId="0" xfId="0" applyFont="1" applyFill="1" applyAlignment="1">
      <alignment horizontal="left"/>
    </xf>
    <xf numFmtId="164" fontId="2" fillId="0" borderId="0" xfId="0" applyNumberFormat="1" applyFont="1" applyFill="1" applyAlignment="1">
      <alignment horizontal="center" wrapText="1"/>
    </xf>
    <xf numFmtId="0" fontId="19" fillId="0" borderId="7" xfId="0" applyFont="1" applyBorder="1" applyAlignment="1">
      <alignment horizontal="left"/>
    </xf>
    <xf numFmtId="164" fontId="2" fillId="0" borderId="7" xfId="0" applyNumberFormat="1" applyFont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19" fillId="0" borderId="0" xfId="0" applyFont="1" applyBorder="1" applyAlignment="1">
      <alignment horizontal="left"/>
    </xf>
    <xf numFmtId="164" fontId="2" fillId="0" borderId="0" xfId="0" applyNumberFormat="1" applyFont="1" applyBorder="1" applyAlignment="1">
      <alignment horizontal="center"/>
    </xf>
    <xf numFmtId="0" fontId="2" fillId="2" borderId="36" xfId="0" applyFont="1" applyFill="1" applyBorder="1" applyAlignment="1">
      <alignment horizontal="center" vertical="center"/>
    </xf>
    <xf numFmtId="0" fontId="2" fillId="9" borderId="36" xfId="0" applyFont="1" applyFill="1" applyBorder="1" applyAlignment="1">
      <alignment horizontal="left" vertical="center" wrapText="1"/>
    </xf>
    <xf numFmtId="164" fontId="2" fillId="9" borderId="36" xfId="0" applyNumberFormat="1" applyFont="1" applyFill="1" applyBorder="1" applyAlignment="1">
      <alignment horizontal="center" vertical="center" wrapText="1"/>
    </xf>
    <xf numFmtId="0" fontId="2" fillId="0" borderId="36" xfId="0" applyFont="1" applyBorder="1" applyAlignment="1">
      <alignment horizontal="center"/>
    </xf>
    <xf numFmtId="0" fontId="13" fillId="5" borderId="36" xfId="0" applyFont="1" applyFill="1" applyBorder="1" applyAlignment="1">
      <alignment horizontal="left"/>
    </xf>
    <xf numFmtId="0" fontId="13" fillId="0" borderId="36" xfId="0" applyFont="1" applyBorder="1" applyAlignment="1">
      <alignment horizontal="center"/>
    </xf>
    <xf numFmtId="0" fontId="31" fillId="0" borderId="3" xfId="0" applyFont="1" applyFill="1" applyBorder="1" applyAlignment="1"/>
    <xf numFmtId="0" fontId="1" fillId="0" borderId="0" xfId="0" applyFont="1" applyFill="1" applyAlignment="1"/>
    <xf numFmtId="0" fontId="42" fillId="0" borderId="0" xfId="0" applyFont="1" applyAlignment="1">
      <alignment horizontal="right"/>
    </xf>
    <xf numFmtId="0" fontId="42" fillId="5" borderId="0" xfId="0" applyFont="1" applyFill="1" applyAlignment="1">
      <alignment horizontal="right"/>
    </xf>
    <xf numFmtId="49" fontId="42" fillId="0" borderId="0" xfId="0" applyNumberFormat="1" applyFont="1" applyAlignment="1">
      <alignment horizontal="right"/>
    </xf>
    <xf numFmtId="0" fontId="42" fillId="0" borderId="0" xfId="0" applyFont="1" applyAlignment="1">
      <alignment horizontal="right" vertical="center"/>
    </xf>
    <xf numFmtId="0" fontId="2" fillId="11" borderId="3" xfId="0" applyFont="1" applyFill="1" applyBorder="1" applyAlignment="1"/>
    <xf numFmtId="0" fontId="24" fillId="0" borderId="0" xfId="0" applyFont="1" applyAlignment="1">
      <alignment horizontal="center"/>
    </xf>
    <xf numFmtId="0" fontId="0" fillId="0" borderId="0" xfId="0" applyFont="1" applyAlignment="1"/>
    <xf numFmtId="0" fontId="2" fillId="0" borderId="7" xfId="0" applyFont="1" applyBorder="1" applyAlignment="1">
      <alignment horizontal="center"/>
    </xf>
    <xf numFmtId="0" fontId="27" fillId="0" borderId="1" xfId="0" applyFont="1" applyBorder="1"/>
    <xf numFmtId="0" fontId="2" fillId="15" borderId="7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6" fillId="0" borderId="8" xfId="0" applyFont="1" applyBorder="1" applyAlignment="1">
      <alignment horizontal="center"/>
    </xf>
    <xf numFmtId="0" fontId="27" fillId="0" borderId="29" xfId="0" applyFont="1" applyBorder="1"/>
    <xf numFmtId="0" fontId="27" fillId="0" borderId="6" xfId="0" applyFont="1" applyBorder="1"/>
    <xf numFmtId="0" fontId="30" fillId="0" borderId="8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6AA84F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27"/>
  <sheetViews>
    <sheetView workbookViewId="0"/>
  </sheetViews>
  <sheetFormatPr defaultColWidth="12.5703125" defaultRowHeight="15.75" customHeight="1"/>
  <sheetData>
    <row r="1" spans="1:27">
      <c r="A1" s="3"/>
      <c r="B1" s="5" t="s">
        <v>2</v>
      </c>
      <c r="C1" s="7"/>
      <c r="D1" s="7"/>
      <c r="E1" s="9"/>
      <c r="F1" s="12"/>
      <c r="G1" s="9"/>
      <c r="H1" s="7"/>
      <c r="I1" s="15"/>
      <c r="J1" s="16" t="s">
        <v>4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>
      <c r="A2" s="19" t="s">
        <v>5</v>
      </c>
      <c r="B2" s="21" t="s">
        <v>7</v>
      </c>
      <c r="C2" s="23" t="s">
        <v>8</v>
      </c>
      <c r="D2" s="23" t="s">
        <v>9</v>
      </c>
      <c r="E2" s="25" t="s">
        <v>10</v>
      </c>
      <c r="F2" s="27" t="s">
        <v>11</v>
      </c>
      <c r="G2" s="25" t="s">
        <v>12</v>
      </c>
      <c r="H2" s="23" t="s">
        <v>13</v>
      </c>
      <c r="I2" s="15"/>
      <c r="J2" s="16" t="s">
        <v>14</v>
      </c>
      <c r="K2" s="16" t="s">
        <v>15</v>
      </c>
      <c r="L2" s="16" t="s">
        <v>16</v>
      </c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spans="1:27">
      <c r="A3" s="28">
        <v>1</v>
      </c>
      <c r="B3" s="5" t="s">
        <v>17</v>
      </c>
      <c r="C3" s="31">
        <v>7</v>
      </c>
      <c r="D3" s="7"/>
      <c r="E3" s="32" t="s">
        <v>18</v>
      </c>
      <c r="F3" s="12"/>
      <c r="G3" s="9"/>
      <c r="H3" s="7"/>
      <c r="I3" s="15"/>
      <c r="J3" s="16" t="s">
        <v>19</v>
      </c>
      <c r="K3" s="34">
        <v>310</v>
      </c>
      <c r="L3" s="36">
        <f>F24</f>
        <v>246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spans="1:27">
      <c r="A4" s="38">
        <v>2</v>
      </c>
      <c r="B4" s="41" t="s">
        <v>21</v>
      </c>
      <c r="C4" s="7"/>
      <c r="D4" s="7"/>
      <c r="E4" s="43" t="s">
        <v>18</v>
      </c>
      <c r="F4" s="50"/>
      <c r="G4" s="9"/>
      <c r="H4" s="7"/>
      <c r="I4" s="15"/>
      <c r="J4" s="16" t="s">
        <v>22</v>
      </c>
      <c r="K4" s="34">
        <v>310</v>
      </c>
      <c r="L4" s="36">
        <f>F51</f>
        <v>153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spans="1:27">
      <c r="A5" s="38">
        <v>3</v>
      </c>
      <c r="B5" s="5" t="s">
        <v>20</v>
      </c>
      <c r="C5" s="31">
        <v>7</v>
      </c>
      <c r="D5" s="7"/>
      <c r="E5" s="32" t="s">
        <v>18</v>
      </c>
      <c r="F5" s="12"/>
      <c r="G5" s="53"/>
      <c r="H5" s="7"/>
      <c r="I5" s="15"/>
      <c r="J5" s="16" t="s">
        <v>25</v>
      </c>
      <c r="K5" s="34">
        <v>31</v>
      </c>
      <c r="L5" s="34">
        <v>31</v>
      </c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spans="1:27">
      <c r="A6" s="28">
        <v>4</v>
      </c>
      <c r="B6" s="5" t="s">
        <v>23</v>
      </c>
      <c r="C6" s="31">
        <v>10</v>
      </c>
      <c r="D6" s="7"/>
      <c r="E6" s="32" t="s">
        <v>32</v>
      </c>
      <c r="F6" s="55">
        <v>31</v>
      </c>
      <c r="G6" s="53"/>
      <c r="H6" s="57"/>
      <c r="I6" s="15"/>
      <c r="J6" s="16" t="s">
        <v>28</v>
      </c>
      <c r="K6" s="34">
        <v>31</v>
      </c>
      <c r="L6" s="34">
        <v>31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pans="1:27">
      <c r="A7" s="28">
        <v>5</v>
      </c>
      <c r="B7" s="5" t="s">
        <v>26</v>
      </c>
      <c r="C7" s="31">
        <v>10</v>
      </c>
      <c r="D7" s="7"/>
      <c r="E7" s="61" t="s">
        <v>32</v>
      </c>
      <c r="F7" s="62">
        <v>31</v>
      </c>
      <c r="G7" s="9"/>
      <c r="H7" s="7"/>
      <c r="I7" s="15"/>
      <c r="J7" s="16" t="s">
        <v>31</v>
      </c>
      <c r="K7" s="34">
        <v>31</v>
      </c>
      <c r="L7" s="34">
        <v>31</v>
      </c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27">
      <c r="A8" s="38">
        <v>6</v>
      </c>
      <c r="B8" s="5" t="s">
        <v>29</v>
      </c>
      <c r="C8" s="31">
        <v>10</v>
      </c>
      <c r="D8" s="7"/>
      <c r="E8" s="32" t="s">
        <v>37</v>
      </c>
      <c r="F8" s="55">
        <v>13</v>
      </c>
      <c r="G8" s="53"/>
      <c r="H8" s="7"/>
      <c r="I8" s="63" t="s">
        <v>38</v>
      </c>
      <c r="J8" s="16" t="s">
        <v>34</v>
      </c>
      <c r="K8" s="34">
        <v>31</v>
      </c>
      <c r="L8" s="64">
        <f>F90</f>
        <v>0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27">
      <c r="A9" s="28">
        <v>7</v>
      </c>
      <c r="B9" s="66" t="s">
        <v>33</v>
      </c>
      <c r="C9" s="7"/>
      <c r="D9" s="7"/>
      <c r="E9" s="67" t="s">
        <v>32</v>
      </c>
      <c r="F9" s="68">
        <v>31</v>
      </c>
      <c r="G9" s="53"/>
      <c r="H9" s="7"/>
      <c r="I9" s="15"/>
      <c r="J9" s="15"/>
      <c r="K9" s="34">
        <f t="shared" ref="K9:L9" si="0">SUM(K2:K8)</f>
        <v>744</v>
      </c>
      <c r="L9" s="34">
        <f t="shared" si="0"/>
        <v>492</v>
      </c>
      <c r="M9" s="74">
        <f>L9/K9</f>
        <v>0.66129032258064513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27">
      <c r="A10" s="28">
        <v>8</v>
      </c>
      <c r="B10" s="66" t="s">
        <v>35</v>
      </c>
      <c r="C10" s="7"/>
      <c r="D10" s="7"/>
      <c r="E10" s="67" t="s">
        <v>32</v>
      </c>
      <c r="F10" s="68">
        <v>31</v>
      </c>
      <c r="G10" s="9"/>
      <c r="H10" s="57"/>
      <c r="I10" s="76" t="s">
        <v>46</v>
      </c>
      <c r="J10" s="15"/>
      <c r="K10" s="34">
        <v>1</v>
      </c>
      <c r="L10" s="79">
        <f>K10*L9/K9</f>
        <v>0.66129032258064513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1:27">
      <c r="A11" s="28">
        <v>9</v>
      </c>
      <c r="B11" s="66" t="s">
        <v>41</v>
      </c>
      <c r="C11" s="7"/>
      <c r="D11" s="7"/>
      <c r="E11" s="9"/>
      <c r="F11" s="12"/>
      <c r="G11" s="9"/>
      <c r="H11" s="7"/>
      <c r="I11" s="15"/>
      <c r="J11" s="15"/>
      <c r="K11" s="15"/>
      <c r="L11" s="83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1:27">
      <c r="A12" s="28">
        <v>10</v>
      </c>
      <c r="B12" s="5" t="s">
        <v>36</v>
      </c>
      <c r="C12" s="31">
        <v>7</v>
      </c>
      <c r="D12" s="7"/>
      <c r="E12" s="32" t="s">
        <v>51</v>
      </c>
      <c r="F12" s="55">
        <v>31</v>
      </c>
      <c r="G12" s="9"/>
      <c r="H12" s="7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1:27">
      <c r="A13" s="28">
        <v>11</v>
      </c>
      <c r="B13" s="66" t="s">
        <v>45</v>
      </c>
      <c r="C13" s="7"/>
      <c r="D13" s="7"/>
      <c r="E13" s="9"/>
      <c r="F13" s="12"/>
      <c r="G13" s="9"/>
      <c r="H13" s="7"/>
      <c r="I13" s="88" t="s">
        <v>46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1:27">
      <c r="A14" s="38">
        <v>12</v>
      </c>
      <c r="B14" s="5" t="s">
        <v>57</v>
      </c>
      <c r="C14" s="31">
        <v>7</v>
      </c>
      <c r="D14" s="7"/>
      <c r="E14" s="67" t="s">
        <v>58</v>
      </c>
      <c r="F14" s="68">
        <v>31</v>
      </c>
      <c r="G14" s="9"/>
      <c r="H14" s="7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27">
      <c r="A15" s="38">
        <v>13</v>
      </c>
      <c r="B15" s="5" t="s">
        <v>47</v>
      </c>
      <c r="C15" s="31">
        <v>7</v>
      </c>
      <c r="D15" s="7"/>
      <c r="E15" s="32" t="s">
        <v>58</v>
      </c>
      <c r="F15" s="68">
        <v>31</v>
      </c>
      <c r="G15" s="9"/>
      <c r="H15" s="7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27">
      <c r="A16" s="93">
        <v>14</v>
      </c>
      <c r="B16" s="5" t="s">
        <v>39</v>
      </c>
      <c r="C16" s="31">
        <v>7</v>
      </c>
      <c r="D16" s="7"/>
      <c r="E16" s="32" t="s">
        <v>63</v>
      </c>
      <c r="F16" s="68">
        <v>16</v>
      </c>
      <c r="G16" s="9"/>
      <c r="H16" s="57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1:27">
      <c r="A17" s="93">
        <v>15</v>
      </c>
      <c r="B17" s="66" t="s">
        <v>42</v>
      </c>
      <c r="C17" s="7"/>
      <c r="D17" s="7"/>
      <c r="E17" s="9"/>
      <c r="F17" s="12"/>
      <c r="G17" s="9"/>
      <c r="H17" s="7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27">
      <c r="A18" s="93">
        <v>16</v>
      </c>
      <c r="B18" s="99" t="s">
        <v>50</v>
      </c>
      <c r="C18" s="101">
        <v>7</v>
      </c>
      <c r="D18" s="7"/>
      <c r="E18" s="43" t="s">
        <v>52</v>
      </c>
      <c r="F18" s="12"/>
      <c r="G18" s="9"/>
      <c r="H18" s="7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1:27">
      <c r="A19" s="28">
        <v>17</v>
      </c>
      <c r="B19" s="99" t="s">
        <v>69</v>
      </c>
      <c r="C19" s="101">
        <v>7</v>
      </c>
      <c r="D19" s="7"/>
      <c r="E19" s="43" t="s">
        <v>18</v>
      </c>
      <c r="F19" s="12"/>
      <c r="G19" s="9"/>
      <c r="H19" s="7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1:27">
      <c r="A20" s="93">
        <v>18</v>
      </c>
      <c r="B20" s="7"/>
      <c r="C20" s="7"/>
      <c r="D20" s="7"/>
      <c r="E20" s="9"/>
      <c r="F20" s="12"/>
      <c r="G20" s="9"/>
      <c r="H20" s="7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1:27">
      <c r="A21" s="93">
        <v>19</v>
      </c>
      <c r="B21" s="7"/>
      <c r="C21" s="7"/>
      <c r="D21" s="7"/>
      <c r="E21" s="9"/>
      <c r="F21" s="12"/>
      <c r="G21" s="9"/>
      <c r="H21" s="7"/>
      <c r="I21" s="15"/>
      <c r="J21" s="15"/>
      <c r="K21" s="15"/>
      <c r="L21" s="15"/>
      <c r="M21" s="107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>
      <c r="A22" s="28">
        <v>20</v>
      </c>
      <c r="B22" s="7"/>
      <c r="C22" s="7"/>
      <c r="D22" s="7"/>
      <c r="E22" s="9"/>
      <c r="F22" s="12"/>
      <c r="G22" s="9"/>
      <c r="H22" s="7"/>
      <c r="I22" s="15"/>
      <c r="J22" s="15"/>
      <c r="K22" s="15"/>
      <c r="L22" s="83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27">
      <c r="A23" s="93">
        <v>21</v>
      </c>
      <c r="B23" s="7"/>
      <c r="C23" s="7"/>
      <c r="D23" s="7"/>
      <c r="E23" s="9"/>
      <c r="F23" s="12"/>
      <c r="G23" s="9"/>
      <c r="H23" s="7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27">
      <c r="A24" s="3"/>
      <c r="B24" s="7"/>
      <c r="C24" s="31">
        <f>SUM(C3:C19)</f>
        <v>86</v>
      </c>
      <c r="D24" s="111">
        <f>SUM(D3:D14)</f>
        <v>0</v>
      </c>
      <c r="E24" s="9"/>
      <c r="F24" s="55">
        <f>SUM(F3:F19)</f>
        <v>246</v>
      </c>
      <c r="G24" s="32">
        <f>SUM(G3:G16)</f>
        <v>0</v>
      </c>
      <c r="H24" s="111">
        <f>SUM(H3:H12)</f>
        <v>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>
      <c r="A25" s="112"/>
      <c r="B25" s="7"/>
      <c r="C25" s="7"/>
      <c r="D25" s="113"/>
      <c r="E25" s="115"/>
      <c r="F25" s="117"/>
      <c r="G25" s="119"/>
      <c r="H25" s="112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>
      <c r="A26" s="3"/>
      <c r="B26" s="5" t="s">
        <v>2</v>
      </c>
      <c r="C26" s="7"/>
      <c r="D26" s="7"/>
      <c r="E26" s="9"/>
      <c r="F26" s="12"/>
      <c r="G26" s="9"/>
      <c r="H26" s="7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27">
      <c r="A27" s="122" t="s">
        <v>5</v>
      </c>
      <c r="B27" s="124" t="s">
        <v>74</v>
      </c>
      <c r="C27" s="126" t="s">
        <v>8</v>
      </c>
      <c r="D27" s="126" t="s">
        <v>9</v>
      </c>
      <c r="E27" s="128" t="s">
        <v>10</v>
      </c>
      <c r="F27" s="130" t="s">
        <v>11</v>
      </c>
      <c r="G27" s="128" t="s">
        <v>12</v>
      </c>
      <c r="H27" s="126" t="s">
        <v>13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1:27">
      <c r="A28" s="28">
        <v>1</v>
      </c>
      <c r="B28" s="5" t="s">
        <v>75</v>
      </c>
      <c r="C28" s="31">
        <v>7</v>
      </c>
      <c r="D28" s="7"/>
      <c r="E28" s="32" t="s">
        <v>76</v>
      </c>
      <c r="F28" s="12"/>
      <c r="G28" s="9"/>
      <c r="H28" s="7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>
      <c r="A29" s="28">
        <v>2</v>
      </c>
      <c r="B29" s="41" t="s">
        <v>21</v>
      </c>
      <c r="C29" s="101">
        <v>7</v>
      </c>
      <c r="D29" s="7"/>
      <c r="E29" s="43" t="s">
        <v>18</v>
      </c>
      <c r="F29" s="12"/>
      <c r="G29" s="9"/>
      <c r="H29" s="7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>
      <c r="A30" s="28">
        <v>3</v>
      </c>
      <c r="B30" s="5" t="s">
        <v>20</v>
      </c>
      <c r="C30" s="31">
        <v>7</v>
      </c>
      <c r="D30" s="7"/>
      <c r="E30" s="32" t="s">
        <v>18</v>
      </c>
      <c r="F30" s="12"/>
      <c r="G30" s="9"/>
      <c r="H30" s="7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>
      <c r="A31" s="28">
        <v>4</v>
      </c>
      <c r="B31" s="5" t="s">
        <v>29</v>
      </c>
      <c r="C31" s="31">
        <v>10</v>
      </c>
      <c r="D31" s="7"/>
      <c r="E31" s="32" t="s">
        <v>37</v>
      </c>
      <c r="F31" s="55">
        <v>13</v>
      </c>
      <c r="G31" s="9"/>
      <c r="H31" s="7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>
      <c r="A32" s="28">
        <v>5</v>
      </c>
      <c r="B32" s="5" t="s">
        <v>26</v>
      </c>
      <c r="C32" s="31">
        <v>10</v>
      </c>
      <c r="D32" s="7"/>
      <c r="E32" s="32" t="s">
        <v>58</v>
      </c>
      <c r="F32" s="55">
        <v>31</v>
      </c>
      <c r="G32" s="9"/>
      <c r="H32" s="7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>
      <c r="A33" s="28">
        <v>6</v>
      </c>
      <c r="B33" s="66" t="s">
        <v>33</v>
      </c>
      <c r="C33" s="7"/>
      <c r="D33" s="7"/>
      <c r="E33" s="67" t="s">
        <v>32</v>
      </c>
      <c r="F33" s="12"/>
      <c r="G33" s="53"/>
      <c r="H33" s="7"/>
      <c r="I33" s="76" t="s">
        <v>46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>
      <c r="A34" s="38">
        <v>7</v>
      </c>
      <c r="B34" s="5" t="s">
        <v>47</v>
      </c>
      <c r="C34" s="31">
        <v>7</v>
      </c>
      <c r="D34" s="7"/>
      <c r="E34" s="32" t="s">
        <v>58</v>
      </c>
      <c r="F34" s="68">
        <v>31</v>
      </c>
      <c r="G34" s="9"/>
      <c r="H34" s="7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>
      <c r="A35" s="28">
        <v>8</v>
      </c>
      <c r="B35" s="5" t="s">
        <v>36</v>
      </c>
      <c r="C35" s="31">
        <v>7</v>
      </c>
      <c r="D35" s="7"/>
      <c r="E35" s="32" t="s">
        <v>51</v>
      </c>
      <c r="F35" s="55">
        <v>31</v>
      </c>
      <c r="G35" s="9"/>
      <c r="H35" s="7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>
      <c r="A36" s="28">
        <v>9</v>
      </c>
      <c r="B36" s="5" t="s">
        <v>57</v>
      </c>
      <c r="C36" s="31">
        <v>7</v>
      </c>
      <c r="D36" s="7"/>
      <c r="E36" s="67" t="s">
        <v>58</v>
      </c>
      <c r="F36" s="68">
        <v>31</v>
      </c>
      <c r="G36" s="9"/>
      <c r="H36" s="7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>
      <c r="A37" s="28">
        <v>10</v>
      </c>
      <c r="B37" s="5" t="s">
        <v>39</v>
      </c>
      <c r="C37" s="31">
        <v>7</v>
      </c>
      <c r="D37" s="7"/>
      <c r="E37" s="32" t="s">
        <v>63</v>
      </c>
      <c r="F37" s="68">
        <v>16</v>
      </c>
      <c r="G37" s="9"/>
      <c r="H37" s="7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>
      <c r="A38" s="38">
        <v>11</v>
      </c>
      <c r="B38" s="99" t="s">
        <v>50</v>
      </c>
      <c r="C38" s="101">
        <v>7</v>
      </c>
      <c r="D38" s="7"/>
      <c r="E38" s="43" t="s">
        <v>52</v>
      </c>
      <c r="F38" s="12"/>
      <c r="G38" s="9"/>
      <c r="H38" s="7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>
      <c r="A39" s="28">
        <v>12</v>
      </c>
      <c r="B39" s="99" t="s">
        <v>69</v>
      </c>
      <c r="C39" s="101">
        <v>7</v>
      </c>
      <c r="D39" s="7"/>
      <c r="E39" s="43" t="s">
        <v>18</v>
      </c>
      <c r="F39" s="12"/>
      <c r="G39" s="9"/>
      <c r="H39" s="113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>
      <c r="A40" s="5">
        <v>13</v>
      </c>
      <c r="B40" s="7"/>
      <c r="C40" s="7"/>
      <c r="D40" s="7"/>
      <c r="E40" s="9"/>
      <c r="F40" s="12"/>
      <c r="G40" s="9"/>
      <c r="H40" s="112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>
      <c r="A41" s="93">
        <v>14</v>
      </c>
      <c r="B41" s="7"/>
      <c r="C41" s="7"/>
      <c r="D41" s="7"/>
      <c r="E41" s="9"/>
      <c r="F41" s="12"/>
      <c r="G41" s="9"/>
      <c r="H41" s="57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>
      <c r="A42" s="93">
        <v>15</v>
      </c>
      <c r="B42" s="7"/>
      <c r="C42" s="7"/>
      <c r="D42" s="7"/>
      <c r="E42" s="9"/>
      <c r="F42" s="12"/>
      <c r="G42" s="9"/>
      <c r="H42" s="7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>
      <c r="A43" s="28">
        <v>16</v>
      </c>
      <c r="B43" s="148" t="s">
        <v>86</v>
      </c>
      <c r="C43" s="149"/>
      <c r="D43" s="7"/>
      <c r="E43" s="9"/>
      <c r="F43" s="12"/>
      <c r="G43" s="9"/>
      <c r="H43" s="7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>
      <c r="A44" s="28">
        <v>17</v>
      </c>
      <c r="B44" s="7"/>
      <c r="C44" s="7"/>
      <c r="D44" s="7"/>
      <c r="E44" s="9"/>
      <c r="F44" s="12"/>
      <c r="G44" s="9"/>
      <c r="H44" s="7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>
      <c r="A45" s="28">
        <v>18</v>
      </c>
      <c r="B45" s="7"/>
      <c r="C45" s="7"/>
      <c r="D45" s="7"/>
      <c r="E45" s="9"/>
      <c r="F45" s="12"/>
      <c r="G45" s="9"/>
      <c r="H45" s="7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>
      <c r="A46" s="3"/>
      <c r="B46" s="7"/>
      <c r="C46" s="7"/>
      <c r="D46" s="7"/>
      <c r="E46" s="7"/>
      <c r="F46" s="12"/>
      <c r="G46" s="9"/>
      <c r="H46" s="7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>
      <c r="A47" s="3"/>
      <c r="B47" s="7"/>
      <c r="C47" s="7"/>
      <c r="D47" s="7"/>
      <c r="E47" s="9"/>
      <c r="F47" s="12"/>
      <c r="G47" s="9"/>
      <c r="H47" s="7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>
      <c r="A48" s="3"/>
      <c r="B48" s="7"/>
      <c r="C48" s="7"/>
      <c r="D48" s="7"/>
      <c r="E48" s="9"/>
      <c r="F48" s="12"/>
      <c r="G48" s="9"/>
      <c r="H48" s="7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>
      <c r="A49" s="3"/>
      <c r="B49" s="7"/>
      <c r="C49" s="7"/>
      <c r="D49" s="7"/>
      <c r="E49" s="9"/>
      <c r="F49" s="12"/>
      <c r="G49" s="9"/>
      <c r="H49" s="7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>
      <c r="A50" s="3"/>
      <c r="B50" s="7"/>
      <c r="C50" s="7"/>
      <c r="D50" s="7"/>
      <c r="E50" s="9"/>
      <c r="F50" s="12"/>
      <c r="G50" s="9"/>
      <c r="H50" s="7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>
      <c r="A51" s="3"/>
      <c r="B51" s="7"/>
      <c r="C51" s="31">
        <f>SUM(C28:C48)</f>
        <v>83</v>
      </c>
      <c r="D51" s="111">
        <f>SUM(D28:D47)</f>
        <v>0</v>
      </c>
      <c r="E51" s="9"/>
      <c r="F51" s="55">
        <f>SUM(F28:F50)</f>
        <v>153</v>
      </c>
      <c r="G51" s="32">
        <f>SUM(G28:G43)</f>
        <v>0</v>
      </c>
      <c r="H51" s="7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>
      <c r="A52" s="113"/>
      <c r="B52" s="7"/>
      <c r="C52" s="7"/>
      <c r="D52" s="113"/>
      <c r="E52" s="115"/>
      <c r="F52" s="117"/>
      <c r="G52" s="115"/>
      <c r="H52" s="113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>
      <c r="A53" s="3"/>
      <c r="B53" s="7"/>
      <c r="C53" s="7"/>
      <c r="D53" s="7"/>
      <c r="E53" s="9"/>
      <c r="F53" s="12"/>
      <c r="G53" s="9"/>
      <c r="H53" s="7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>
      <c r="A54" s="163"/>
      <c r="B54" s="165" t="s">
        <v>96</v>
      </c>
      <c r="C54" s="167"/>
      <c r="D54" s="167"/>
      <c r="E54" s="168"/>
      <c r="F54" s="170"/>
      <c r="G54" s="168"/>
      <c r="H54" s="167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>
      <c r="A55" s="28">
        <v>1</v>
      </c>
      <c r="B55" s="5" t="s">
        <v>103</v>
      </c>
      <c r="C55" s="31" t="s">
        <v>104</v>
      </c>
      <c r="D55" s="7"/>
      <c r="E55" s="9"/>
      <c r="F55" s="12"/>
      <c r="G55" s="32" t="s">
        <v>105</v>
      </c>
      <c r="H55" s="7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spans="1:27">
      <c r="A56" s="113"/>
      <c r="B56" s="113"/>
      <c r="C56" s="113"/>
      <c r="D56" s="113"/>
      <c r="E56" s="115"/>
      <c r="F56" s="117"/>
      <c r="G56" s="115"/>
      <c r="H56" s="113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spans="1:27">
      <c r="A57" s="163"/>
      <c r="B57" s="165" t="s">
        <v>106</v>
      </c>
      <c r="C57" s="167"/>
      <c r="D57" s="167"/>
      <c r="E57" s="168"/>
      <c r="F57" s="170"/>
      <c r="G57" s="168"/>
      <c r="H57" s="167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1:27">
      <c r="A58" s="28">
        <v>1</v>
      </c>
      <c r="B58" s="5" t="s">
        <v>101</v>
      </c>
      <c r="C58" s="31" t="s">
        <v>104</v>
      </c>
      <c r="D58" s="7"/>
      <c r="E58" s="9"/>
      <c r="F58" s="12"/>
      <c r="G58" s="32" t="s">
        <v>108</v>
      </c>
      <c r="H58" s="7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spans="1:27">
      <c r="A59" s="113"/>
      <c r="B59" s="113"/>
      <c r="C59" s="113"/>
      <c r="D59" s="113"/>
      <c r="E59" s="115"/>
      <c r="F59" s="117"/>
      <c r="G59" s="115"/>
      <c r="H59" s="113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1:27">
      <c r="A60" s="163"/>
      <c r="B60" s="165" t="s">
        <v>111</v>
      </c>
      <c r="C60" s="167"/>
      <c r="D60" s="167"/>
      <c r="E60" s="168"/>
      <c r="F60" s="182" t="s">
        <v>113</v>
      </c>
      <c r="G60" s="168"/>
      <c r="H60" s="167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1:27">
      <c r="A61" s="28" t="s">
        <v>114</v>
      </c>
      <c r="B61" s="5" t="s">
        <v>116</v>
      </c>
      <c r="C61" s="31" t="s">
        <v>104</v>
      </c>
      <c r="D61" s="7"/>
      <c r="E61" s="9"/>
      <c r="F61" s="55">
        <v>31</v>
      </c>
      <c r="G61" s="32">
        <v>7000</v>
      </c>
      <c r="H61" s="7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spans="1:27">
      <c r="A62" s="5" t="s">
        <v>119</v>
      </c>
      <c r="B62" s="5" t="s">
        <v>116</v>
      </c>
      <c r="C62" s="31" t="s">
        <v>104</v>
      </c>
      <c r="D62" s="7"/>
      <c r="E62" s="9"/>
      <c r="F62" s="55">
        <v>31</v>
      </c>
      <c r="G62" s="32">
        <v>6000</v>
      </c>
      <c r="H62" s="7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1:27">
      <c r="A63" s="113"/>
      <c r="B63" s="113"/>
      <c r="C63" s="113"/>
      <c r="D63" s="113"/>
      <c r="E63" s="115"/>
      <c r="F63" s="117"/>
      <c r="G63" s="115"/>
      <c r="H63" s="113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spans="1:27">
      <c r="A64" s="163"/>
      <c r="B64" s="165" t="s">
        <v>123</v>
      </c>
      <c r="C64" s="167"/>
      <c r="D64" s="167"/>
      <c r="E64" s="168"/>
      <c r="F64" s="182" t="s">
        <v>113</v>
      </c>
      <c r="G64" s="168"/>
      <c r="H64" s="167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1:27">
      <c r="A65" s="28" t="s">
        <v>114</v>
      </c>
      <c r="B65" s="5" t="s">
        <v>125</v>
      </c>
      <c r="C65" s="31" t="s">
        <v>104</v>
      </c>
      <c r="D65" s="5" t="s">
        <v>126</v>
      </c>
      <c r="E65" s="32" t="s">
        <v>127</v>
      </c>
      <c r="F65" s="55">
        <v>31</v>
      </c>
      <c r="G65" s="9"/>
      <c r="H65" s="7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spans="1:27">
      <c r="A66" s="28" t="s">
        <v>119</v>
      </c>
      <c r="B66" s="7"/>
      <c r="C66" s="7"/>
      <c r="D66" s="7"/>
      <c r="E66" s="9"/>
      <c r="F66" s="12"/>
      <c r="G66" s="32">
        <v>7000</v>
      </c>
      <c r="H66" s="7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spans="1:27">
      <c r="A67" s="15"/>
      <c r="B67" s="15"/>
      <c r="C67" s="15"/>
      <c r="D67" s="113"/>
      <c r="E67" s="115"/>
      <c r="F67" s="117"/>
      <c r="G67" s="115"/>
      <c r="H67" s="113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7">
      <c r="A68" s="15"/>
      <c r="B68" s="15"/>
      <c r="C68" s="195"/>
      <c r="D68" s="7"/>
      <c r="E68" s="32" t="s">
        <v>15</v>
      </c>
      <c r="F68" s="12"/>
      <c r="G68" s="32" t="s">
        <v>16</v>
      </c>
      <c r="H68" s="5" t="s">
        <v>133</v>
      </c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spans="1:27">
      <c r="A69" s="15"/>
      <c r="B69" s="15"/>
      <c r="C69" s="195"/>
      <c r="D69" s="31" t="s">
        <v>134</v>
      </c>
      <c r="E69" s="9"/>
      <c r="F69" s="12"/>
      <c r="G69" s="9"/>
      <c r="H69" s="7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1:27">
      <c r="A70" s="15"/>
      <c r="B70" s="15"/>
      <c r="C70" s="195"/>
      <c r="D70" s="31" t="s">
        <v>135</v>
      </c>
      <c r="E70" s="9"/>
      <c r="F70" s="12"/>
      <c r="G70" s="9"/>
      <c r="H70" s="7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1:27">
      <c r="A71" s="15"/>
      <c r="B71" s="15"/>
      <c r="C71" s="195"/>
      <c r="D71" s="31" t="s">
        <v>33</v>
      </c>
      <c r="E71" s="9"/>
      <c r="F71" s="12"/>
      <c r="G71" s="9"/>
      <c r="H71" s="7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1:27">
      <c r="A72" s="15"/>
      <c r="B72" s="15"/>
      <c r="C72" s="195"/>
      <c r="D72" s="31" t="s">
        <v>0</v>
      </c>
      <c r="E72" s="9"/>
      <c r="F72" s="12"/>
      <c r="G72" s="9"/>
      <c r="H72" s="7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1:27">
      <c r="A73" s="15"/>
      <c r="B73" s="15"/>
      <c r="C73" s="195"/>
      <c r="D73" s="31" t="s">
        <v>137</v>
      </c>
      <c r="E73" s="9"/>
      <c r="F73" s="12"/>
      <c r="G73" s="9"/>
      <c r="H73" s="7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:27">
      <c r="A74" s="15"/>
      <c r="B74" s="15"/>
      <c r="C74" s="195"/>
      <c r="D74" s="7"/>
      <c r="E74" s="9"/>
      <c r="F74" s="12"/>
      <c r="G74" s="9"/>
      <c r="H74" s="7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1:27">
      <c r="A75" s="15"/>
      <c r="B75" s="15"/>
      <c r="C75" s="195"/>
      <c r="D75" s="7"/>
      <c r="E75" s="9"/>
      <c r="F75" s="12"/>
      <c r="G75" s="9"/>
      <c r="H75" s="7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1:27">
      <c r="A76" s="15"/>
      <c r="B76" s="15"/>
      <c r="C76" s="195"/>
      <c r="D76" s="7"/>
      <c r="E76" s="9"/>
      <c r="F76" s="12"/>
      <c r="G76" s="9"/>
      <c r="H76" s="7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1:27">
      <c r="A77" s="15"/>
      <c r="B77" s="15"/>
      <c r="C77" s="195"/>
      <c r="D77" s="7"/>
      <c r="E77" s="9"/>
      <c r="F77" s="12"/>
      <c r="G77" s="9"/>
      <c r="H77" s="7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1:27">
      <c r="A78" s="15"/>
      <c r="B78" s="15"/>
      <c r="C78" s="195"/>
      <c r="D78" s="7"/>
      <c r="E78" s="9"/>
      <c r="F78" s="12"/>
      <c r="G78" s="9"/>
      <c r="H78" s="7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spans="1:27">
      <c r="A79" s="15"/>
      <c r="B79" s="15"/>
      <c r="C79" s="195"/>
      <c r="D79" s="7"/>
      <c r="E79" s="9"/>
      <c r="F79" s="12"/>
      <c r="G79" s="9"/>
      <c r="H79" s="7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spans="1:27">
      <c r="A80" s="15"/>
      <c r="B80" s="15"/>
      <c r="C80" s="195"/>
      <c r="D80" s="7"/>
      <c r="E80" s="9"/>
      <c r="F80" s="12"/>
      <c r="G80" s="9"/>
      <c r="H80" s="7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spans="1:27">
      <c r="A81" s="15"/>
      <c r="B81" s="15"/>
      <c r="C81" s="195"/>
      <c r="D81" s="7"/>
      <c r="E81" s="9"/>
      <c r="F81" s="12"/>
      <c r="G81" s="9"/>
      <c r="H81" s="7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1:27">
      <c r="A82" s="15"/>
      <c r="B82" s="15"/>
      <c r="C82" s="195"/>
      <c r="D82" s="7"/>
      <c r="E82" s="9"/>
      <c r="F82" s="12"/>
      <c r="G82" s="9"/>
      <c r="H82" s="7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spans="1:27">
      <c r="A83" s="15"/>
      <c r="B83" s="15"/>
      <c r="C83" s="195"/>
      <c r="D83" s="7"/>
      <c r="E83" s="9"/>
      <c r="F83" s="12"/>
      <c r="G83" s="9"/>
      <c r="H83" s="7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spans="1:27">
      <c r="A84" s="15"/>
      <c r="B84" s="15"/>
      <c r="C84" s="195"/>
      <c r="D84" s="7"/>
      <c r="E84" s="9"/>
      <c r="F84" s="12"/>
      <c r="G84" s="9"/>
      <c r="H84" s="7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spans="1:27">
      <c r="A85" s="15"/>
      <c r="B85" s="15"/>
      <c r="C85" s="195"/>
      <c r="D85" s="7"/>
      <c r="E85" s="9"/>
      <c r="F85" s="12"/>
      <c r="G85" s="9"/>
      <c r="H85" s="7"/>
      <c r="I85" s="113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spans="1:27">
      <c r="A86" s="15"/>
      <c r="B86" s="15"/>
      <c r="C86" s="195"/>
      <c r="D86" s="7"/>
      <c r="E86" s="9"/>
      <c r="F86" s="12"/>
      <c r="G86" s="9"/>
      <c r="H86" s="7"/>
      <c r="I86" s="9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spans="1:27">
      <c r="A87" s="15"/>
      <c r="B87" s="15"/>
      <c r="C87" s="195"/>
      <c r="D87" s="7"/>
      <c r="E87" s="9"/>
      <c r="F87" s="12"/>
      <c r="G87" s="9"/>
      <c r="H87" s="7"/>
      <c r="I87" s="9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1:27">
      <c r="A88" s="15"/>
      <c r="B88" s="15"/>
      <c r="C88" s="195"/>
      <c r="D88" s="7"/>
      <c r="E88" s="9"/>
      <c r="F88" s="12"/>
      <c r="G88" s="9"/>
      <c r="H88" s="7"/>
      <c r="I88" s="9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spans="1:27">
      <c r="A89" s="15"/>
      <c r="B89" s="15"/>
      <c r="C89" s="195"/>
      <c r="D89" s="7"/>
      <c r="E89" s="9"/>
      <c r="F89" s="12"/>
      <c r="G89" s="9"/>
      <c r="H89" s="7"/>
      <c r="I89" s="9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1:27">
      <c r="A90" s="15"/>
      <c r="B90" s="15"/>
      <c r="C90" s="195"/>
      <c r="D90" s="7"/>
      <c r="E90" s="9"/>
      <c r="F90" s="12"/>
      <c r="G90" s="9"/>
      <c r="H90" s="7"/>
      <c r="I90" s="9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1:27">
      <c r="A91" s="15"/>
      <c r="B91" s="15"/>
      <c r="C91" s="195"/>
      <c r="D91" s="7"/>
      <c r="E91" s="9"/>
      <c r="F91" s="12"/>
      <c r="G91" s="9"/>
      <c r="H91" s="7"/>
      <c r="I91" s="9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1:27">
      <c r="A92" s="15"/>
      <c r="B92" s="15"/>
      <c r="C92" s="15"/>
      <c r="D92" s="15"/>
      <c r="E92" s="199"/>
      <c r="F92" s="64"/>
      <c r="G92" s="199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1:27">
      <c r="A93" s="15"/>
      <c r="B93" s="15"/>
      <c r="C93" s="15"/>
      <c r="D93" s="113"/>
      <c r="E93" s="115"/>
      <c r="F93" s="117"/>
      <c r="G93" s="115"/>
      <c r="H93" s="113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1:27">
      <c r="A94" s="15"/>
      <c r="B94" s="15"/>
      <c r="C94" s="195"/>
      <c r="D94" s="7"/>
      <c r="E94" s="9"/>
      <c r="F94" s="12"/>
      <c r="G94" s="9"/>
      <c r="H94" s="7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:27">
      <c r="A95" s="15"/>
      <c r="B95" s="15"/>
      <c r="C95" s="195"/>
      <c r="D95" s="7"/>
      <c r="E95" s="9"/>
      <c r="F95" s="12"/>
      <c r="G95" s="9"/>
      <c r="H95" s="7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1:27">
      <c r="A96" s="15"/>
      <c r="B96" s="15"/>
      <c r="C96" s="195"/>
      <c r="D96" s="7"/>
      <c r="E96" s="9"/>
      <c r="F96" s="12"/>
      <c r="G96" s="9"/>
      <c r="H96" s="7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1:27">
      <c r="A97" s="15"/>
      <c r="B97" s="15"/>
      <c r="C97" s="195"/>
      <c r="D97" s="7"/>
      <c r="E97" s="9"/>
      <c r="F97" s="12"/>
      <c r="G97" s="9"/>
      <c r="H97" s="7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:27">
      <c r="A98" s="15"/>
      <c r="B98" s="15"/>
      <c r="C98" s="195"/>
      <c r="D98" s="7"/>
      <c r="E98" s="9"/>
      <c r="F98" s="12"/>
      <c r="G98" s="9"/>
      <c r="H98" s="7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1:27">
      <c r="A99" s="15"/>
      <c r="B99" s="15"/>
      <c r="C99" s="195"/>
      <c r="D99" s="7"/>
      <c r="E99" s="9"/>
      <c r="F99" s="12"/>
      <c r="G99" s="9"/>
      <c r="H99" s="7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1:27">
      <c r="A100" s="15"/>
      <c r="B100" s="15"/>
      <c r="C100" s="195"/>
      <c r="D100" s="7"/>
      <c r="E100" s="9"/>
      <c r="F100" s="12"/>
      <c r="G100" s="9"/>
      <c r="H100" s="7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spans="1:27">
      <c r="A101" s="15"/>
      <c r="B101" s="15"/>
      <c r="C101" s="195"/>
      <c r="D101" s="7"/>
      <c r="E101" s="9"/>
      <c r="F101" s="12"/>
      <c r="G101" s="9"/>
      <c r="H101" s="7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1:27">
      <c r="A102" s="15"/>
      <c r="B102" s="15"/>
      <c r="C102" s="195"/>
      <c r="D102" s="7"/>
      <c r="E102" s="9"/>
      <c r="F102" s="12"/>
      <c r="G102" s="9"/>
      <c r="H102" s="7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1:27">
      <c r="A103" s="15"/>
      <c r="B103" s="15"/>
      <c r="C103" s="195"/>
      <c r="D103" s="7"/>
      <c r="E103" s="9"/>
      <c r="F103" s="12"/>
      <c r="G103" s="9"/>
      <c r="H103" s="7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27">
      <c r="A104" s="15"/>
      <c r="B104" s="15"/>
      <c r="C104" s="195"/>
      <c r="D104" s="7"/>
      <c r="E104" s="9"/>
      <c r="F104" s="12"/>
      <c r="G104" s="9"/>
      <c r="H104" s="7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1:27">
      <c r="A105" s="15"/>
      <c r="B105" s="15"/>
      <c r="C105" s="195"/>
      <c r="D105" s="7"/>
      <c r="E105" s="9"/>
      <c r="F105" s="12"/>
      <c r="G105" s="9"/>
      <c r="H105" s="7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1:27">
      <c r="A106" s="15"/>
      <c r="B106" s="15"/>
      <c r="C106" s="195"/>
      <c r="D106" s="7"/>
      <c r="E106" s="9"/>
      <c r="F106" s="12"/>
      <c r="G106" s="9"/>
      <c r="H106" s="7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1:27">
      <c r="A107" s="15"/>
      <c r="B107" s="15"/>
      <c r="C107" s="15"/>
      <c r="D107" s="15"/>
      <c r="E107" s="202">
        <f>SUM(E94:E105)</f>
        <v>0</v>
      </c>
      <c r="F107" s="64"/>
      <c r="G107" s="199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1:27">
      <c r="A108" s="15"/>
      <c r="B108" s="15"/>
      <c r="C108" s="15"/>
      <c r="D108" s="15"/>
      <c r="E108" s="199"/>
      <c r="F108" s="64"/>
      <c r="G108" s="199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1:27">
      <c r="A109" s="15"/>
      <c r="B109" s="15"/>
      <c r="C109" s="15"/>
      <c r="D109" s="15"/>
      <c r="E109" s="199"/>
      <c r="F109" s="64"/>
      <c r="G109" s="199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1:27">
      <c r="A110" s="15"/>
      <c r="B110" s="15"/>
      <c r="C110" s="15"/>
      <c r="D110" s="15"/>
      <c r="E110" s="199"/>
      <c r="F110" s="64"/>
      <c r="G110" s="199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1:27">
      <c r="A111" s="15"/>
      <c r="B111" s="15"/>
      <c r="C111" s="15"/>
      <c r="D111" s="15"/>
      <c r="E111" s="199"/>
      <c r="F111" s="64"/>
      <c r="G111" s="199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spans="1:27">
      <c r="A112" s="15"/>
      <c r="B112" s="15"/>
      <c r="C112" s="15"/>
      <c r="D112" s="15"/>
      <c r="E112" s="199"/>
      <c r="F112" s="64"/>
      <c r="G112" s="199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1:27">
      <c r="A113" s="15"/>
      <c r="B113" s="15"/>
      <c r="C113" s="15"/>
      <c r="D113" s="15"/>
      <c r="E113" s="199"/>
      <c r="F113" s="64"/>
      <c r="G113" s="199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1:27">
      <c r="A114" s="15"/>
      <c r="B114" s="15"/>
      <c r="C114" s="15"/>
      <c r="D114" s="15"/>
      <c r="E114" s="199"/>
      <c r="F114" s="64"/>
      <c r="G114" s="199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spans="1:27">
      <c r="A115" s="15"/>
      <c r="B115" s="15"/>
      <c r="C115" s="15"/>
      <c r="D115" s="15"/>
      <c r="E115" s="199"/>
      <c r="F115" s="64"/>
      <c r="G115" s="199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1:27">
      <c r="A116" s="15"/>
      <c r="B116" s="15"/>
      <c r="C116" s="15"/>
      <c r="D116" s="15"/>
      <c r="E116" s="199"/>
      <c r="F116" s="64"/>
      <c r="G116" s="199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spans="1:27">
      <c r="A117" s="15"/>
      <c r="B117" s="15"/>
      <c r="C117" s="15"/>
      <c r="D117" s="15"/>
      <c r="E117" s="199"/>
      <c r="F117" s="64"/>
      <c r="G117" s="199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1:27">
      <c r="A118" s="15"/>
      <c r="B118" s="15"/>
      <c r="C118" s="15"/>
      <c r="D118" s="15"/>
      <c r="E118" s="199"/>
      <c r="F118" s="64"/>
      <c r="G118" s="199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1:27">
      <c r="A119" s="15"/>
      <c r="B119" s="15"/>
      <c r="C119" s="15"/>
      <c r="D119" s="15"/>
      <c r="E119" s="199"/>
      <c r="F119" s="64"/>
      <c r="G119" s="199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:27">
      <c r="A120" s="15"/>
      <c r="B120" s="15"/>
      <c r="C120" s="15"/>
      <c r="D120" s="15"/>
      <c r="E120" s="199"/>
      <c r="F120" s="64"/>
      <c r="G120" s="199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1:27">
      <c r="A121" s="15"/>
      <c r="B121" s="15"/>
      <c r="C121" s="15"/>
      <c r="D121" s="15"/>
      <c r="E121" s="199"/>
      <c r="F121" s="64"/>
      <c r="G121" s="199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1:27">
      <c r="A122" s="15"/>
      <c r="B122" s="15"/>
      <c r="C122" s="15"/>
      <c r="D122" s="15"/>
      <c r="E122" s="199"/>
      <c r="F122" s="64"/>
      <c r="G122" s="199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1:27">
      <c r="A123" s="15"/>
      <c r="B123" s="15"/>
      <c r="C123" s="15"/>
      <c r="D123" s="15"/>
      <c r="E123" s="199"/>
      <c r="F123" s="64"/>
      <c r="G123" s="199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spans="1:27">
      <c r="A124" s="15"/>
      <c r="B124" s="15"/>
      <c r="C124" s="15"/>
      <c r="D124" s="15"/>
      <c r="E124" s="199"/>
      <c r="F124" s="64"/>
      <c r="G124" s="199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spans="1:27">
      <c r="A125" s="15"/>
      <c r="B125" s="15"/>
      <c r="C125" s="15"/>
      <c r="D125" s="15"/>
      <c r="E125" s="199"/>
      <c r="F125" s="64"/>
      <c r="G125" s="199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1:27">
      <c r="A126" s="15"/>
      <c r="B126" s="15"/>
      <c r="C126" s="15"/>
      <c r="D126" s="15"/>
      <c r="E126" s="199"/>
      <c r="F126" s="64"/>
      <c r="G126" s="199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1:27">
      <c r="A127" s="15"/>
      <c r="B127" s="15"/>
      <c r="C127" s="15"/>
      <c r="D127" s="15"/>
      <c r="E127" s="199"/>
      <c r="F127" s="64"/>
      <c r="G127" s="199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1:27">
      <c r="A128" s="15"/>
      <c r="B128" s="15"/>
      <c r="C128" s="15"/>
      <c r="D128" s="15"/>
      <c r="E128" s="199"/>
      <c r="F128" s="64"/>
      <c r="G128" s="199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1:27">
      <c r="A129" s="15"/>
      <c r="B129" s="15"/>
      <c r="C129" s="15"/>
      <c r="D129" s="15"/>
      <c r="E129" s="199"/>
      <c r="F129" s="64"/>
      <c r="G129" s="199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1:27">
      <c r="A130" s="15"/>
      <c r="B130" s="15"/>
      <c r="C130" s="15"/>
      <c r="D130" s="15"/>
      <c r="E130" s="199"/>
      <c r="F130" s="64"/>
      <c r="G130" s="199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1:27">
      <c r="A131" s="15"/>
      <c r="B131" s="15"/>
      <c r="C131" s="15"/>
      <c r="D131" s="15"/>
      <c r="E131" s="199"/>
      <c r="F131" s="64"/>
      <c r="G131" s="199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1:27">
      <c r="A132" s="15"/>
      <c r="B132" s="15"/>
      <c r="C132" s="15"/>
      <c r="D132" s="15"/>
      <c r="E132" s="199"/>
      <c r="F132" s="64"/>
      <c r="G132" s="199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1:27">
      <c r="A133" s="15"/>
      <c r="B133" s="15"/>
      <c r="C133" s="15"/>
      <c r="D133" s="15"/>
      <c r="E133" s="199"/>
      <c r="F133" s="64"/>
      <c r="G133" s="199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spans="1:27">
      <c r="A134" s="15"/>
      <c r="B134" s="15"/>
      <c r="C134" s="15"/>
      <c r="D134" s="15"/>
      <c r="E134" s="199"/>
      <c r="F134" s="64"/>
      <c r="G134" s="199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1:27">
      <c r="A135" s="15"/>
      <c r="B135" s="15"/>
      <c r="C135" s="15"/>
      <c r="D135" s="15"/>
      <c r="E135" s="199"/>
      <c r="F135" s="64"/>
      <c r="G135" s="199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1:27">
      <c r="A136" s="15"/>
      <c r="B136" s="15"/>
      <c r="C136" s="15"/>
      <c r="D136" s="15"/>
      <c r="E136" s="199"/>
      <c r="F136" s="64"/>
      <c r="G136" s="199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1:27">
      <c r="A137" s="15"/>
      <c r="B137" s="15"/>
      <c r="C137" s="15"/>
      <c r="D137" s="15"/>
      <c r="E137" s="199"/>
      <c r="F137" s="64"/>
      <c r="G137" s="199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spans="1:27">
      <c r="A138" s="15"/>
      <c r="B138" s="15"/>
      <c r="C138" s="15"/>
      <c r="D138" s="15"/>
      <c r="E138" s="199"/>
      <c r="F138" s="64"/>
      <c r="G138" s="199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spans="1:27">
      <c r="A139" s="15"/>
      <c r="B139" s="15"/>
      <c r="C139" s="15"/>
      <c r="D139" s="15"/>
      <c r="E139" s="199"/>
      <c r="F139" s="64"/>
      <c r="G139" s="199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spans="1:27">
      <c r="A140" s="15"/>
      <c r="B140" s="15"/>
      <c r="C140" s="15"/>
      <c r="D140" s="15"/>
      <c r="E140" s="199"/>
      <c r="F140" s="64"/>
      <c r="G140" s="199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1:27">
      <c r="A141" s="15"/>
      <c r="B141" s="15"/>
      <c r="C141" s="15"/>
      <c r="D141" s="15"/>
      <c r="E141" s="199"/>
      <c r="F141" s="64"/>
      <c r="G141" s="199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1:27">
      <c r="A142" s="15"/>
      <c r="B142" s="15"/>
      <c r="C142" s="15"/>
      <c r="D142" s="15"/>
      <c r="E142" s="199"/>
      <c r="F142" s="64"/>
      <c r="G142" s="199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1:27">
      <c r="A143" s="15"/>
      <c r="B143" s="15"/>
      <c r="C143" s="15"/>
      <c r="D143" s="15"/>
      <c r="E143" s="199"/>
      <c r="F143" s="64"/>
      <c r="G143" s="199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1:27">
      <c r="A144" s="15"/>
      <c r="B144" s="15"/>
      <c r="C144" s="15"/>
      <c r="D144" s="15"/>
      <c r="E144" s="199"/>
      <c r="F144" s="64"/>
      <c r="G144" s="199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1:27">
      <c r="A145" s="15"/>
      <c r="B145" s="15"/>
      <c r="C145" s="15"/>
      <c r="D145" s="15"/>
      <c r="E145" s="199"/>
      <c r="F145" s="64"/>
      <c r="G145" s="199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1:27">
      <c r="A146" s="15"/>
      <c r="B146" s="15"/>
      <c r="C146" s="15"/>
      <c r="D146" s="15"/>
      <c r="E146" s="199"/>
      <c r="F146" s="64"/>
      <c r="G146" s="199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spans="1:27">
      <c r="A147" s="15"/>
      <c r="B147" s="15"/>
      <c r="C147" s="15"/>
      <c r="D147" s="15"/>
      <c r="E147" s="199"/>
      <c r="F147" s="64"/>
      <c r="G147" s="199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1:27">
      <c r="A148" s="15"/>
      <c r="B148" s="15"/>
      <c r="C148" s="15"/>
      <c r="D148" s="15"/>
      <c r="E148" s="199"/>
      <c r="F148" s="64"/>
      <c r="G148" s="199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1:27">
      <c r="A149" s="15"/>
      <c r="B149" s="15"/>
      <c r="C149" s="15"/>
      <c r="D149" s="15"/>
      <c r="E149" s="199"/>
      <c r="F149" s="64"/>
      <c r="G149" s="199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1:27">
      <c r="A150" s="15"/>
      <c r="B150" s="15"/>
      <c r="C150" s="15"/>
      <c r="D150" s="15"/>
      <c r="E150" s="199"/>
      <c r="F150" s="64"/>
      <c r="G150" s="199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1:27">
      <c r="A151" s="15"/>
      <c r="B151" s="15"/>
      <c r="C151" s="15"/>
      <c r="D151" s="15"/>
      <c r="E151" s="199"/>
      <c r="F151" s="64"/>
      <c r="G151" s="199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1:27">
      <c r="A152" s="15"/>
      <c r="B152" s="15"/>
      <c r="C152" s="15"/>
      <c r="D152" s="15"/>
      <c r="E152" s="199"/>
      <c r="F152" s="64"/>
      <c r="G152" s="199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1:27">
      <c r="A153" s="15"/>
      <c r="B153" s="15"/>
      <c r="C153" s="15"/>
      <c r="D153" s="15"/>
      <c r="E153" s="199"/>
      <c r="F153" s="64"/>
      <c r="G153" s="199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1:27">
      <c r="A154" s="15"/>
      <c r="B154" s="15"/>
      <c r="C154" s="15"/>
      <c r="D154" s="15"/>
      <c r="E154" s="199"/>
      <c r="F154" s="64"/>
      <c r="G154" s="199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1:27">
      <c r="A155" s="15"/>
      <c r="B155" s="15"/>
      <c r="C155" s="15"/>
      <c r="D155" s="15"/>
      <c r="E155" s="199"/>
      <c r="F155" s="64"/>
      <c r="G155" s="199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1:27">
      <c r="A156" s="15"/>
      <c r="B156" s="15"/>
      <c r="C156" s="15"/>
      <c r="D156" s="15"/>
      <c r="E156" s="199"/>
      <c r="F156" s="64"/>
      <c r="G156" s="199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1:27">
      <c r="A157" s="15"/>
      <c r="B157" s="15"/>
      <c r="C157" s="15"/>
      <c r="D157" s="15"/>
      <c r="E157" s="199"/>
      <c r="F157" s="64"/>
      <c r="G157" s="199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1:27">
      <c r="A158" s="15"/>
      <c r="B158" s="15"/>
      <c r="C158" s="15"/>
      <c r="D158" s="15"/>
      <c r="E158" s="199"/>
      <c r="F158" s="64"/>
      <c r="G158" s="199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1:27">
      <c r="A159" s="15"/>
      <c r="B159" s="15"/>
      <c r="C159" s="15"/>
      <c r="D159" s="15"/>
      <c r="E159" s="199"/>
      <c r="F159" s="64"/>
      <c r="G159" s="199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spans="1:27">
      <c r="A160" s="15"/>
      <c r="B160" s="15"/>
      <c r="C160" s="15"/>
      <c r="D160" s="15"/>
      <c r="E160" s="199"/>
      <c r="F160" s="64"/>
      <c r="G160" s="199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spans="1:27">
      <c r="A161" s="15"/>
      <c r="B161" s="15"/>
      <c r="C161" s="15"/>
      <c r="D161" s="15"/>
      <c r="E161" s="199"/>
      <c r="F161" s="64"/>
      <c r="G161" s="199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spans="1:27">
      <c r="A162" s="15"/>
      <c r="B162" s="15"/>
      <c r="C162" s="15"/>
      <c r="D162" s="15"/>
      <c r="E162" s="199"/>
      <c r="F162" s="64"/>
      <c r="G162" s="199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spans="1:27">
      <c r="A163" s="15"/>
      <c r="B163" s="15"/>
      <c r="C163" s="15"/>
      <c r="D163" s="15"/>
      <c r="E163" s="199"/>
      <c r="F163" s="64"/>
      <c r="G163" s="199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spans="1:27">
      <c r="A164" s="15"/>
      <c r="B164" s="15"/>
      <c r="C164" s="15"/>
      <c r="D164" s="15"/>
      <c r="E164" s="199"/>
      <c r="F164" s="64"/>
      <c r="G164" s="199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spans="1:27">
      <c r="A165" s="15"/>
      <c r="B165" s="15"/>
      <c r="C165" s="15"/>
      <c r="D165" s="15"/>
      <c r="E165" s="199"/>
      <c r="F165" s="64"/>
      <c r="G165" s="199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spans="1:27">
      <c r="A166" s="15"/>
      <c r="B166" s="15"/>
      <c r="C166" s="15"/>
      <c r="D166" s="15"/>
      <c r="E166" s="199"/>
      <c r="F166" s="64"/>
      <c r="G166" s="199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spans="1:27">
      <c r="A167" s="15"/>
      <c r="B167" s="15"/>
      <c r="C167" s="15"/>
      <c r="D167" s="15"/>
      <c r="E167" s="199"/>
      <c r="F167" s="64"/>
      <c r="G167" s="199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spans="1:27">
      <c r="A168" s="15"/>
      <c r="B168" s="15"/>
      <c r="C168" s="15"/>
      <c r="D168" s="15"/>
      <c r="E168" s="199"/>
      <c r="F168" s="64"/>
      <c r="G168" s="199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1:27">
      <c r="A169" s="15"/>
      <c r="B169" s="15"/>
      <c r="C169" s="15"/>
      <c r="D169" s="15"/>
      <c r="E169" s="199"/>
      <c r="F169" s="64"/>
      <c r="G169" s="199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1:27">
      <c r="A170" s="15"/>
      <c r="B170" s="15"/>
      <c r="C170" s="15"/>
      <c r="D170" s="15"/>
      <c r="E170" s="199"/>
      <c r="F170" s="64"/>
      <c r="G170" s="199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spans="1:27">
      <c r="A171" s="15"/>
      <c r="B171" s="15"/>
      <c r="C171" s="15"/>
      <c r="D171" s="15"/>
      <c r="E171" s="199"/>
      <c r="F171" s="64"/>
      <c r="G171" s="199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1:27">
      <c r="A172" s="15"/>
      <c r="B172" s="15"/>
      <c r="C172" s="15"/>
      <c r="D172" s="15"/>
      <c r="E172" s="199"/>
      <c r="F172" s="64"/>
      <c r="G172" s="199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spans="1:27">
      <c r="A173" s="15"/>
      <c r="B173" s="15"/>
      <c r="C173" s="15"/>
      <c r="D173" s="15"/>
      <c r="E173" s="199"/>
      <c r="F173" s="64"/>
      <c r="G173" s="199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spans="1:27">
      <c r="A174" s="15"/>
      <c r="B174" s="15"/>
      <c r="C174" s="15"/>
      <c r="D174" s="15"/>
      <c r="E174" s="199"/>
      <c r="F174" s="64"/>
      <c r="G174" s="199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spans="1:27">
      <c r="A175" s="15"/>
      <c r="B175" s="15"/>
      <c r="C175" s="15"/>
      <c r="D175" s="15"/>
      <c r="E175" s="199"/>
      <c r="F175" s="64"/>
      <c r="G175" s="199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spans="1:27">
      <c r="A176" s="15"/>
      <c r="B176" s="15"/>
      <c r="C176" s="15"/>
      <c r="D176" s="15"/>
      <c r="E176" s="199"/>
      <c r="F176" s="64"/>
      <c r="G176" s="199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spans="1:27">
      <c r="A177" s="15"/>
      <c r="B177" s="15"/>
      <c r="C177" s="15"/>
      <c r="D177" s="15"/>
      <c r="E177" s="199"/>
      <c r="F177" s="64"/>
      <c r="G177" s="199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spans="1:27">
      <c r="A178" s="15"/>
      <c r="B178" s="15"/>
      <c r="C178" s="15"/>
      <c r="D178" s="15"/>
      <c r="E178" s="199"/>
      <c r="F178" s="64"/>
      <c r="G178" s="199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spans="1:27">
      <c r="A179" s="15"/>
      <c r="B179" s="15"/>
      <c r="C179" s="15"/>
      <c r="D179" s="15"/>
      <c r="E179" s="199"/>
      <c r="F179" s="64"/>
      <c r="G179" s="199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spans="1:27">
      <c r="A180" s="15"/>
      <c r="B180" s="15"/>
      <c r="C180" s="15"/>
      <c r="D180" s="15"/>
      <c r="E180" s="199"/>
      <c r="F180" s="64"/>
      <c r="G180" s="199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spans="1:27">
      <c r="A181" s="15"/>
      <c r="B181" s="15"/>
      <c r="C181" s="15"/>
      <c r="D181" s="15"/>
      <c r="E181" s="199"/>
      <c r="F181" s="64"/>
      <c r="G181" s="199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spans="1:27">
      <c r="A182" s="15"/>
      <c r="B182" s="15"/>
      <c r="C182" s="15"/>
      <c r="D182" s="15"/>
      <c r="E182" s="199"/>
      <c r="F182" s="64"/>
      <c r="G182" s="199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spans="1:27">
      <c r="A183" s="15"/>
      <c r="B183" s="15"/>
      <c r="C183" s="15"/>
      <c r="D183" s="15"/>
      <c r="E183" s="199"/>
      <c r="F183" s="64"/>
      <c r="G183" s="199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spans="1:27">
      <c r="A184" s="15"/>
      <c r="B184" s="15"/>
      <c r="C184" s="15"/>
      <c r="D184" s="15"/>
      <c r="E184" s="199"/>
      <c r="F184" s="64"/>
      <c r="G184" s="199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spans="1:27">
      <c r="A185" s="15"/>
      <c r="B185" s="15"/>
      <c r="C185" s="15"/>
      <c r="D185" s="15"/>
      <c r="E185" s="199"/>
      <c r="F185" s="64"/>
      <c r="G185" s="199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spans="1:27">
      <c r="A186" s="15"/>
      <c r="B186" s="15"/>
      <c r="C186" s="15"/>
      <c r="D186" s="15"/>
      <c r="E186" s="199"/>
      <c r="F186" s="64"/>
      <c r="G186" s="199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1:27">
      <c r="A187" s="15"/>
      <c r="B187" s="15"/>
      <c r="C187" s="15"/>
      <c r="D187" s="15"/>
      <c r="E187" s="199"/>
      <c r="F187" s="64"/>
      <c r="G187" s="199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1:27">
      <c r="A188" s="15"/>
      <c r="B188" s="15"/>
      <c r="C188" s="15"/>
      <c r="D188" s="15"/>
      <c r="E188" s="199"/>
      <c r="F188" s="64"/>
      <c r="G188" s="199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spans="1:27">
      <c r="A189" s="15"/>
      <c r="B189" s="15"/>
      <c r="C189" s="15"/>
      <c r="D189" s="15"/>
      <c r="E189" s="199"/>
      <c r="F189" s="64"/>
      <c r="G189" s="199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spans="1:27">
      <c r="A190" s="15"/>
      <c r="B190" s="15"/>
      <c r="C190" s="15"/>
      <c r="D190" s="15"/>
      <c r="E190" s="199"/>
      <c r="F190" s="64"/>
      <c r="G190" s="199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spans="1:27">
      <c r="A191" s="15"/>
      <c r="B191" s="15"/>
      <c r="C191" s="15"/>
      <c r="D191" s="15"/>
      <c r="E191" s="199"/>
      <c r="F191" s="64"/>
      <c r="G191" s="199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1:27">
      <c r="A192" s="15"/>
      <c r="B192" s="15"/>
      <c r="C192" s="15"/>
      <c r="D192" s="15"/>
      <c r="E192" s="199"/>
      <c r="F192" s="64"/>
      <c r="G192" s="199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spans="1:27">
      <c r="A193" s="15"/>
      <c r="B193" s="15"/>
      <c r="C193" s="15"/>
      <c r="D193" s="15"/>
      <c r="E193" s="199"/>
      <c r="F193" s="64"/>
      <c r="G193" s="199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1:27">
      <c r="A194" s="15"/>
      <c r="B194" s="15"/>
      <c r="C194" s="15"/>
      <c r="D194" s="15"/>
      <c r="E194" s="199"/>
      <c r="F194" s="64"/>
      <c r="G194" s="199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spans="1:27">
      <c r="A195" s="15"/>
      <c r="B195" s="15"/>
      <c r="C195" s="15"/>
      <c r="D195" s="15"/>
      <c r="E195" s="199"/>
      <c r="F195" s="64"/>
      <c r="G195" s="199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spans="1:27">
      <c r="A196" s="15"/>
      <c r="B196" s="15"/>
      <c r="C196" s="15"/>
      <c r="D196" s="15"/>
      <c r="E196" s="199"/>
      <c r="F196" s="64"/>
      <c r="G196" s="199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spans="1:27">
      <c r="A197" s="15"/>
      <c r="B197" s="15"/>
      <c r="C197" s="15"/>
      <c r="D197" s="15"/>
      <c r="E197" s="199"/>
      <c r="F197" s="64"/>
      <c r="G197" s="199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1:27">
      <c r="A198" s="15"/>
      <c r="B198" s="15"/>
      <c r="C198" s="15"/>
      <c r="D198" s="15"/>
      <c r="E198" s="199"/>
      <c r="F198" s="64"/>
      <c r="G198" s="199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spans="1:27">
      <c r="A199" s="15"/>
      <c r="B199" s="15"/>
      <c r="C199" s="15"/>
      <c r="D199" s="15"/>
      <c r="E199" s="199"/>
      <c r="F199" s="64"/>
      <c r="G199" s="199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spans="1:27">
      <c r="A200" s="15"/>
      <c r="B200" s="15"/>
      <c r="C200" s="15"/>
      <c r="D200" s="15"/>
      <c r="E200" s="199"/>
      <c r="F200" s="64"/>
      <c r="G200" s="199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spans="1:27">
      <c r="A201" s="15"/>
      <c r="B201" s="15"/>
      <c r="C201" s="15"/>
      <c r="D201" s="15"/>
      <c r="E201" s="199"/>
      <c r="F201" s="64"/>
      <c r="G201" s="199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spans="1:27">
      <c r="A202" s="15"/>
      <c r="B202" s="15"/>
      <c r="C202" s="15"/>
      <c r="D202" s="15"/>
      <c r="E202" s="199"/>
      <c r="F202" s="64"/>
      <c r="G202" s="199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spans="1:27">
      <c r="A203" s="15"/>
      <c r="B203" s="15"/>
      <c r="C203" s="15"/>
      <c r="D203" s="15"/>
      <c r="E203" s="199"/>
      <c r="F203" s="64"/>
      <c r="G203" s="199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spans="1:27">
      <c r="A204" s="15"/>
      <c r="B204" s="15"/>
      <c r="C204" s="15"/>
      <c r="D204" s="15"/>
      <c r="E204" s="199"/>
      <c r="F204" s="64"/>
      <c r="G204" s="199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spans="1:27">
      <c r="A205" s="15"/>
      <c r="B205" s="15"/>
      <c r="C205" s="15"/>
      <c r="D205" s="15"/>
      <c r="E205" s="199"/>
      <c r="F205" s="64"/>
      <c r="G205" s="199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spans="1:27">
      <c r="A206" s="15"/>
      <c r="B206" s="15"/>
      <c r="C206" s="15"/>
      <c r="D206" s="15"/>
      <c r="E206" s="199"/>
      <c r="F206" s="64"/>
      <c r="G206" s="199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spans="1:27">
      <c r="A207" s="15"/>
      <c r="B207" s="15"/>
      <c r="C207" s="15"/>
      <c r="D207" s="15"/>
      <c r="E207" s="199"/>
      <c r="F207" s="64"/>
      <c r="G207" s="199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spans="1:27">
      <c r="A208" s="15"/>
      <c r="B208" s="15"/>
      <c r="C208" s="15"/>
      <c r="D208" s="15"/>
      <c r="E208" s="199"/>
      <c r="F208" s="64"/>
      <c r="G208" s="199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spans="1:27">
      <c r="A209" s="15"/>
      <c r="B209" s="15"/>
      <c r="C209" s="15"/>
      <c r="D209" s="15"/>
      <c r="E209" s="199"/>
      <c r="F209" s="64"/>
      <c r="G209" s="199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spans="1:27">
      <c r="A210" s="15"/>
      <c r="B210" s="15"/>
      <c r="C210" s="15"/>
      <c r="D210" s="15"/>
      <c r="E210" s="199"/>
      <c r="F210" s="64"/>
      <c r="G210" s="199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1:27">
      <c r="A211" s="15"/>
      <c r="B211" s="15"/>
      <c r="C211" s="15"/>
      <c r="D211" s="15"/>
      <c r="E211" s="199"/>
      <c r="F211" s="64"/>
      <c r="G211" s="199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spans="1:27">
      <c r="A212" s="15"/>
      <c r="B212" s="15"/>
      <c r="C212" s="15"/>
      <c r="D212" s="15"/>
      <c r="E212" s="199"/>
      <c r="F212" s="64"/>
      <c r="G212" s="199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spans="1:27">
      <c r="A213" s="15"/>
      <c r="B213" s="15"/>
      <c r="C213" s="15"/>
      <c r="D213" s="15"/>
      <c r="E213" s="199"/>
      <c r="F213" s="64"/>
      <c r="G213" s="199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spans="1:27">
      <c r="A214" s="15"/>
      <c r="B214" s="15"/>
      <c r="C214" s="15"/>
      <c r="D214" s="15"/>
      <c r="E214" s="199"/>
      <c r="F214" s="64"/>
      <c r="G214" s="199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spans="1:27">
      <c r="A215" s="15"/>
      <c r="B215" s="15"/>
      <c r="C215" s="15"/>
      <c r="D215" s="15"/>
      <c r="E215" s="199"/>
      <c r="F215" s="64"/>
      <c r="G215" s="199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spans="1:27">
      <c r="A216" s="15"/>
      <c r="B216" s="15"/>
      <c r="C216" s="15"/>
      <c r="D216" s="15"/>
      <c r="E216" s="199"/>
      <c r="F216" s="64"/>
      <c r="G216" s="199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spans="1:27">
      <c r="A217" s="15"/>
      <c r="B217" s="15"/>
      <c r="C217" s="15"/>
      <c r="D217" s="15"/>
      <c r="E217" s="199"/>
      <c r="F217" s="64"/>
      <c r="G217" s="199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spans="1:27">
      <c r="A218" s="15"/>
      <c r="B218" s="15"/>
      <c r="C218" s="15"/>
      <c r="D218" s="15"/>
      <c r="E218" s="199"/>
      <c r="F218" s="64"/>
      <c r="G218" s="199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spans="1:27">
      <c r="A219" s="15"/>
      <c r="B219" s="15"/>
      <c r="C219" s="15"/>
      <c r="D219" s="15"/>
      <c r="E219" s="199"/>
      <c r="F219" s="64"/>
      <c r="G219" s="199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spans="1:27">
      <c r="A220" s="15"/>
      <c r="B220" s="15"/>
      <c r="C220" s="15"/>
      <c r="D220" s="15"/>
      <c r="E220" s="199"/>
      <c r="F220" s="64"/>
      <c r="G220" s="199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spans="1:27">
      <c r="A221" s="15"/>
      <c r="B221" s="15"/>
      <c r="C221" s="15"/>
      <c r="D221" s="15"/>
      <c r="E221" s="199"/>
      <c r="F221" s="64"/>
      <c r="G221" s="199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1:27">
      <c r="A222" s="15"/>
      <c r="B222" s="15"/>
      <c r="C222" s="15"/>
      <c r="D222" s="15"/>
      <c r="E222" s="199"/>
      <c r="F222" s="64"/>
      <c r="G222" s="199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spans="1:27">
      <c r="A223" s="15"/>
      <c r="B223" s="15"/>
      <c r="C223" s="15"/>
      <c r="D223" s="15"/>
      <c r="E223" s="199"/>
      <c r="F223" s="64"/>
      <c r="G223" s="199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spans="1:27">
      <c r="A224" s="15"/>
      <c r="B224" s="15"/>
      <c r="C224" s="15"/>
      <c r="D224" s="15"/>
      <c r="E224" s="199"/>
      <c r="F224" s="64"/>
      <c r="G224" s="199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1:27">
      <c r="A225" s="15"/>
      <c r="B225" s="15"/>
      <c r="C225" s="15"/>
      <c r="D225" s="15"/>
      <c r="E225" s="199"/>
      <c r="F225" s="64"/>
      <c r="G225" s="199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spans="1:27">
      <c r="A226" s="15"/>
      <c r="B226" s="195"/>
      <c r="C226" s="7"/>
      <c r="D226" s="15"/>
      <c r="E226" s="199"/>
      <c r="F226" s="64"/>
      <c r="G226" s="199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1:27">
      <c r="A227" s="15"/>
      <c r="B227" s="195"/>
      <c r="C227" s="7"/>
      <c r="D227" s="15"/>
      <c r="E227" s="199"/>
      <c r="F227" s="64"/>
      <c r="G227" s="199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1:27">
      <c r="A228" s="15"/>
      <c r="B228" s="195"/>
      <c r="C228" s="7"/>
      <c r="D228" s="15"/>
      <c r="E228" s="199"/>
      <c r="F228" s="64"/>
      <c r="G228" s="199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1:27">
      <c r="A229" s="15"/>
      <c r="B229" s="195"/>
      <c r="C229" s="7"/>
      <c r="D229" s="15"/>
      <c r="E229" s="199"/>
      <c r="F229" s="64"/>
      <c r="G229" s="199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1:27">
      <c r="A230" s="15"/>
      <c r="B230" s="195"/>
      <c r="C230" s="7"/>
      <c r="D230" s="15"/>
      <c r="E230" s="199"/>
      <c r="F230" s="64"/>
      <c r="G230" s="199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1:27">
      <c r="A231" s="15"/>
      <c r="B231" s="195"/>
      <c r="C231" s="7"/>
      <c r="D231" s="15"/>
      <c r="E231" s="199"/>
      <c r="F231" s="64"/>
      <c r="G231" s="199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1:27">
      <c r="A232" s="15"/>
      <c r="B232" s="195"/>
      <c r="C232" s="7"/>
      <c r="D232" s="15"/>
      <c r="E232" s="199"/>
      <c r="F232" s="64"/>
      <c r="G232" s="199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spans="1:27">
      <c r="A233" s="15"/>
      <c r="B233" s="195"/>
      <c r="C233" s="7"/>
      <c r="D233" s="15"/>
      <c r="E233" s="199"/>
      <c r="F233" s="64"/>
      <c r="G233" s="199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1:27">
      <c r="A234" s="15"/>
      <c r="B234" s="195"/>
      <c r="C234" s="7"/>
      <c r="D234" s="15"/>
      <c r="E234" s="199"/>
      <c r="F234" s="64"/>
      <c r="G234" s="199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spans="1:27">
      <c r="A235" s="15"/>
      <c r="B235" s="195"/>
      <c r="C235" s="7"/>
      <c r="D235" s="15"/>
      <c r="E235" s="199"/>
      <c r="F235" s="64"/>
      <c r="G235" s="199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1:27">
      <c r="A236" s="15"/>
      <c r="B236" s="195"/>
      <c r="C236" s="7"/>
      <c r="D236" s="15"/>
      <c r="E236" s="199"/>
      <c r="F236" s="64"/>
      <c r="G236" s="199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1:27">
      <c r="A237" s="15"/>
      <c r="B237" s="195"/>
      <c r="C237" s="7"/>
      <c r="D237" s="15"/>
      <c r="E237" s="199"/>
      <c r="F237" s="64"/>
      <c r="G237" s="199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1:27">
      <c r="A238" s="15"/>
      <c r="B238" s="195"/>
      <c r="C238" s="7"/>
      <c r="D238" s="15"/>
      <c r="E238" s="199"/>
      <c r="F238" s="64"/>
      <c r="G238" s="199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spans="1:27">
      <c r="A239" s="15"/>
      <c r="B239" s="195"/>
      <c r="C239" s="7"/>
      <c r="D239" s="15"/>
      <c r="E239" s="199"/>
      <c r="F239" s="64"/>
      <c r="G239" s="199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spans="1:27">
      <c r="A240" s="15"/>
      <c r="B240" s="195"/>
      <c r="C240" s="7"/>
      <c r="D240" s="15"/>
      <c r="E240" s="199"/>
      <c r="F240" s="64"/>
      <c r="G240" s="199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spans="1:27">
      <c r="A241" s="15"/>
      <c r="B241" s="195"/>
      <c r="C241" s="7"/>
      <c r="D241" s="15"/>
      <c r="E241" s="199"/>
      <c r="F241" s="64"/>
      <c r="G241" s="199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spans="1:27">
      <c r="A242" s="15"/>
      <c r="B242" s="195"/>
      <c r="C242" s="7"/>
      <c r="D242" s="15"/>
      <c r="E242" s="199"/>
      <c r="F242" s="64"/>
      <c r="G242" s="199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1:27">
      <c r="A243" s="15"/>
      <c r="B243" s="195"/>
      <c r="C243" s="7"/>
      <c r="D243" s="15"/>
      <c r="E243" s="199"/>
      <c r="F243" s="64"/>
      <c r="G243" s="199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1:27">
      <c r="A244" s="15"/>
      <c r="B244" s="195"/>
      <c r="C244" s="7"/>
      <c r="D244" s="15"/>
      <c r="E244" s="199"/>
      <c r="F244" s="64"/>
      <c r="G244" s="199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spans="1:27">
      <c r="A245" s="15"/>
      <c r="B245" s="195"/>
      <c r="C245" s="7"/>
      <c r="D245" s="15"/>
      <c r="E245" s="199"/>
      <c r="F245" s="64"/>
      <c r="G245" s="199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spans="1:27">
      <c r="A246" s="15"/>
      <c r="B246" s="195"/>
      <c r="C246" s="7"/>
      <c r="D246" s="15"/>
      <c r="E246" s="199"/>
      <c r="F246" s="64"/>
      <c r="G246" s="199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spans="1:27">
      <c r="A247" s="15"/>
      <c r="B247" s="195"/>
      <c r="C247" s="7"/>
      <c r="D247" s="15"/>
      <c r="E247" s="199"/>
      <c r="F247" s="64"/>
      <c r="G247" s="199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spans="1:27">
      <c r="A248" s="15"/>
      <c r="B248" s="195"/>
      <c r="C248" s="7"/>
      <c r="D248" s="15"/>
      <c r="E248" s="199"/>
      <c r="F248" s="64"/>
      <c r="G248" s="199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spans="1:27">
      <c r="A249" s="15"/>
      <c r="B249" s="195"/>
      <c r="C249" s="7"/>
      <c r="D249" s="15"/>
      <c r="E249" s="199"/>
      <c r="F249" s="64"/>
      <c r="G249" s="199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spans="1:27">
      <c r="A250" s="15"/>
      <c r="B250" s="195"/>
      <c r="C250" s="7"/>
      <c r="D250" s="15"/>
      <c r="E250" s="199"/>
      <c r="F250" s="64"/>
      <c r="G250" s="199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spans="1:27">
      <c r="A251" s="15"/>
      <c r="B251" s="195"/>
      <c r="C251" s="7"/>
      <c r="D251" s="15"/>
      <c r="E251" s="199"/>
      <c r="F251" s="64"/>
      <c r="G251" s="199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spans="1:27">
      <c r="A252" s="15"/>
      <c r="B252" s="195"/>
      <c r="C252" s="7"/>
      <c r="D252" s="15"/>
      <c r="E252" s="199"/>
      <c r="F252" s="64"/>
      <c r="G252" s="199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spans="1:27">
      <c r="A253" s="15"/>
      <c r="B253" s="195"/>
      <c r="C253" s="7"/>
      <c r="D253" s="15"/>
      <c r="E253" s="199"/>
      <c r="F253" s="64"/>
      <c r="G253" s="199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spans="1:27">
      <c r="A254" s="15"/>
      <c r="B254" s="195"/>
      <c r="C254" s="7"/>
      <c r="D254" s="15"/>
      <c r="E254" s="199"/>
      <c r="F254" s="64"/>
      <c r="G254" s="199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spans="1:27">
      <c r="A255" s="15"/>
      <c r="B255" s="195"/>
      <c r="C255" s="7"/>
      <c r="D255" s="15"/>
      <c r="E255" s="199"/>
      <c r="F255" s="64"/>
      <c r="G255" s="199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spans="1:27">
      <c r="A256" s="15"/>
      <c r="B256" s="195"/>
      <c r="C256" s="7"/>
      <c r="D256" s="15"/>
      <c r="E256" s="199"/>
      <c r="F256" s="64"/>
      <c r="G256" s="199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spans="1:27">
      <c r="A257" s="15"/>
      <c r="B257" s="195"/>
      <c r="C257" s="7"/>
      <c r="D257" s="15"/>
      <c r="E257" s="199"/>
      <c r="F257" s="64"/>
      <c r="G257" s="199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spans="1:27">
      <c r="A258" s="15"/>
      <c r="B258" s="195"/>
      <c r="C258" s="7"/>
      <c r="D258" s="15"/>
      <c r="E258" s="199"/>
      <c r="F258" s="64"/>
      <c r="G258" s="199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spans="1:27">
      <c r="A259" s="15"/>
      <c r="B259" s="195"/>
      <c r="C259" s="7"/>
      <c r="D259" s="15"/>
      <c r="E259" s="199"/>
      <c r="F259" s="64"/>
      <c r="G259" s="199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spans="1:27">
      <c r="A260" s="15"/>
      <c r="B260" s="195"/>
      <c r="C260" s="7"/>
      <c r="D260" s="15"/>
      <c r="E260" s="199"/>
      <c r="F260" s="64"/>
      <c r="G260" s="199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spans="1:27">
      <c r="A261" s="15"/>
      <c r="B261" s="195"/>
      <c r="C261" s="7"/>
      <c r="D261" s="15"/>
      <c r="E261" s="199"/>
      <c r="F261" s="64"/>
      <c r="G261" s="199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spans="1:27">
      <c r="A262" s="15"/>
      <c r="B262" s="195"/>
      <c r="C262" s="7"/>
      <c r="D262" s="15"/>
      <c r="E262" s="199"/>
      <c r="F262" s="64"/>
      <c r="G262" s="199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spans="1:27">
      <c r="A263" s="15"/>
      <c r="B263" s="195"/>
      <c r="C263" s="7"/>
      <c r="D263" s="15"/>
      <c r="E263" s="199"/>
      <c r="F263" s="64"/>
      <c r="G263" s="199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spans="1:27">
      <c r="A264" s="15"/>
      <c r="B264" s="195"/>
      <c r="C264" s="7"/>
      <c r="D264" s="15"/>
      <c r="E264" s="199"/>
      <c r="F264" s="64"/>
      <c r="G264" s="199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spans="1:27">
      <c r="A265" s="15"/>
      <c r="B265" s="195"/>
      <c r="C265" s="7"/>
      <c r="D265" s="15"/>
      <c r="E265" s="199"/>
      <c r="F265" s="64"/>
      <c r="G265" s="199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spans="1:27">
      <c r="A266" s="15"/>
      <c r="B266" s="195"/>
      <c r="C266" s="7"/>
      <c r="D266" s="15"/>
      <c r="E266" s="199"/>
      <c r="F266" s="64"/>
      <c r="G266" s="199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spans="1:27">
      <c r="A267" s="15"/>
      <c r="B267" s="195"/>
      <c r="C267" s="7"/>
      <c r="D267" s="15"/>
      <c r="E267" s="199"/>
      <c r="F267" s="64"/>
      <c r="G267" s="199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spans="1:27">
      <c r="A268" s="15"/>
      <c r="B268" s="195"/>
      <c r="C268" s="7"/>
      <c r="D268" s="15"/>
      <c r="E268" s="199"/>
      <c r="F268" s="64"/>
      <c r="G268" s="199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spans="1:27">
      <c r="A269" s="15"/>
      <c r="B269" s="195"/>
      <c r="C269" s="7"/>
      <c r="D269" s="15"/>
      <c r="E269" s="199"/>
      <c r="F269" s="64"/>
      <c r="G269" s="199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spans="1:27">
      <c r="A270" s="15"/>
      <c r="B270" s="195"/>
      <c r="C270" s="7"/>
      <c r="D270" s="15"/>
      <c r="E270" s="199"/>
      <c r="F270" s="64"/>
      <c r="G270" s="199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spans="1:27">
      <c r="A271" s="15"/>
      <c r="B271" s="195"/>
      <c r="C271" s="7"/>
      <c r="D271" s="15"/>
      <c r="E271" s="199"/>
      <c r="F271" s="64"/>
      <c r="G271" s="199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spans="1:27">
      <c r="A272" s="15"/>
      <c r="B272" s="195"/>
      <c r="C272" s="7"/>
      <c r="D272" s="15"/>
      <c r="E272" s="199"/>
      <c r="F272" s="64"/>
      <c r="G272" s="199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spans="1:27">
      <c r="A273" s="15"/>
      <c r="B273" s="195"/>
      <c r="C273" s="7"/>
      <c r="D273" s="15"/>
      <c r="E273" s="199"/>
      <c r="F273" s="64"/>
      <c r="G273" s="199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spans="1:27">
      <c r="A274" s="15"/>
      <c r="B274" s="195"/>
      <c r="C274" s="7"/>
      <c r="D274" s="15"/>
      <c r="E274" s="199"/>
      <c r="F274" s="64"/>
      <c r="G274" s="199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spans="1:27">
      <c r="A275" s="15"/>
      <c r="B275" s="195"/>
      <c r="C275" s="7"/>
      <c r="D275" s="15"/>
      <c r="E275" s="199"/>
      <c r="F275" s="64"/>
      <c r="G275" s="199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spans="1:27">
      <c r="A276" s="15"/>
      <c r="B276" s="195"/>
      <c r="C276" s="7"/>
      <c r="D276" s="15"/>
      <c r="E276" s="199"/>
      <c r="F276" s="64"/>
      <c r="G276" s="199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spans="1:27">
      <c r="A277" s="15"/>
      <c r="B277" s="195"/>
      <c r="C277" s="7"/>
      <c r="D277" s="15"/>
      <c r="E277" s="199"/>
      <c r="F277" s="64"/>
      <c r="G277" s="199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spans="1:27">
      <c r="A278" s="15"/>
      <c r="B278" s="195"/>
      <c r="C278" s="7"/>
      <c r="D278" s="15"/>
      <c r="E278" s="199"/>
      <c r="F278" s="64"/>
      <c r="G278" s="199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spans="1:27">
      <c r="A279" s="15"/>
      <c r="B279" s="195"/>
      <c r="C279" s="7"/>
      <c r="D279" s="15"/>
      <c r="E279" s="199"/>
      <c r="F279" s="64"/>
      <c r="G279" s="199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spans="1:27">
      <c r="A280" s="15"/>
      <c r="B280" s="195"/>
      <c r="C280" s="7"/>
      <c r="D280" s="15"/>
      <c r="E280" s="199"/>
      <c r="F280" s="64"/>
      <c r="G280" s="199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spans="1:27">
      <c r="A281" s="15"/>
      <c r="B281" s="195"/>
      <c r="C281" s="7"/>
      <c r="D281" s="15"/>
      <c r="E281" s="199"/>
      <c r="F281" s="64"/>
      <c r="G281" s="199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spans="1:27">
      <c r="A282" s="15"/>
      <c r="B282" s="195"/>
      <c r="C282" s="7"/>
      <c r="D282" s="15"/>
      <c r="E282" s="199"/>
      <c r="F282" s="64"/>
      <c r="G282" s="199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spans="1:27">
      <c r="A283" s="15"/>
      <c r="B283" s="195"/>
      <c r="C283" s="7"/>
      <c r="D283" s="15"/>
      <c r="E283" s="199"/>
      <c r="F283" s="64"/>
      <c r="G283" s="199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spans="1:27">
      <c r="A284" s="15"/>
      <c r="B284" s="195"/>
      <c r="C284" s="7"/>
      <c r="D284" s="15"/>
      <c r="E284" s="199"/>
      <c r="F284" s="64"/>
      <c r="G284" s="199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spans="1:27">
      <c r="A285" s="15"/>
      <c r="B285" s="195"/>
      <c r="C285" s="7"/>
      <c r="D285" s="15"/>
      <c r="E285" s="199"/>
      <c r="F285" s="64"/>
      <c r="G285" s="199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spans="1:27">
      <c r="A286" s="15"/>
      <c r="B286" s="195"/>
      <c r="C286" s="7"/>
      <c r="D286" s="15"/>
      <c r="E286" s="199"/>
      <c r="F286" s="64"/>
      <c r="G286" s="199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spans="1:27">
      <c r="A287" s="15"/>
      <c r="B287" s="195"/>
      <c r="C287" s="7"/>
      <c r="D287" s="15"/>
      <c r="E287" s="199"/>
      <c r="F287" s="64"/>
      <c r="G287" s="199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spans="1:27">
      <c r="A288" s="15"/>
      <c r="B288" s="195"/>
      <c r="C288" s="7"/>
      <c r="D288" s="15"/>
      <c r="E288" s="199"/>
      <c r="F288" s="64"/>
      <c r="G288" s="199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spans="1:27">
      <c r="A289" s="15"/>
      <c r="B289" s="195"/>
      <c r="C289" s="7"/>
      <c r="D289" s="15"/>
      <c r="E289" s="199"/>
      <c r="F289" s="64"/>
      <c r="G289" s="199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spans="1:27">
      <c r="A290" s="15"/>
      <c r="B290" s="195"/>
      <c r="C290" s="7"/>
      <c r="D290" s="15"/>
      <c r="E290" s="199"/>
      <c r="F290" s="64"/>
      <c r="G290" s="199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spans="1:27">
      <c r="A291" s="15"/>
      <c r="B291" s="195"/>
      <c r="C291" s="7"/>
      <c r="D291" s="15"/>
      <c r="E291" s="199"/>
      <c r="F291" s="64"/>
      <c r="G291" s="199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spans="1:27">
      <c r="A292" s="15"/>
      <c r="B292" s="195"/>
      <c r="C292" s="7"/>
      <c r="D292" s="15"/>
      <c r="E292" s="199"/>
      <c r="F292" s="64"/>
      <c r="G292" s="199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spans="1:27">
      <c r="A293" s="15"/>
      <c r="B293" s="195"/>
      <c r="C293" s="7"/>
      <c r="D293" s="15"/>
      <c r="E293" s="199"/>
      <c r="F293" s="64"/>
      <c r="G293" s="199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spans="1:27">
      <c r="A294" s="15"/>
      <c r="B294" s="195"/>
      <c r="C294" s="7"/>
      <c r="D294" s="15"/>
      <c r="E294" s="199"/>
      <c r="F294" s="64"/>
      <c r="G294" s="199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spans="1:27">
      <c r="A295" s="15"/>
      <c r="B295" s="195"/>
      <c r="C295" s="7"/>
      <c r="D295" s="15"/>
      <c r="E295" s="199"/>
      <c r="F295" s="64"/>
      <c r="G295" s="199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spans="1:27">
      <c r="A296" s="15"/>
      <c r="B296" s="195"/>
      <c r="C296" s="7"/>
      <c r="D296" s="15"/>
      <c r="E296" s="199"/>
      <c r="F296" s="64"/>
      <c r="G296" s="199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spans="1:27">
      <c r="A297" s="15"/>
      <c r="B297" s="195"/>
      <c r="C297" s="7"/>
      <c r="D297" s="15"/>
      <c r="E297" s="199"/>
      <c r="F297" s="64"/>
      <c r="G297" s="199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spans="1:27">
      <c r="A298" s="15"/>
      <c r="B298" s="195"/>
      <c r="C298" s="7"/>
      <c r="D298" s="15"/>
      <c r="E298" s="199"/>
      <c r="F298" s="64"/>
      <c r="G298" s="199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spans="1:27">
      <c r="A299" s="15"/>
      <c r="B299" s="195"/>
      <c r="C299" s="7"/>
      <c r="D299" s="15"/>
      <c r="E299" s="199"/>
      <c r="F299" s="64"/>
      <c r="G299" s="199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spans="1:27">
      <c r="A300" s="15"/>
      <c r="B300" s="195"/>
      <c r="C300" s="7"/>
      <c r="D300" s="15"/>
      <c r="E300" s="199"/>
      <c r="F300" s="64"/>
      <c r="G300" s="199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spans="1:27">
      <c r="A301" s="15"/>
      <c r="B301" s="195"/>
      <c r="C301" s="7"/>
      <c r="D301" s="15"/>
      <c r="E301" s="199"/>
      <c r="F301" s="64"/>
      <c r="G301" s="199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spans="1:27">
      <c r="A302" s="15"/>
      <c r="B302" s="195"/>
      <c r="C302" s="7"/>
      <c r="D302" s="15"/>
      <c r="E302" s="199"/>
      <c r="F302" s="64"/>
      <c r="G302" s="199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spans="1:27">
      <c r="A303" s="15"/>
      <c r="B303" s="195"/>
      <c r="C303" s="7"/>
      <c r="D303" s="15"/>
      <c r="E303" s="199"/>
      <c r="F303" s="64"/>
      <c r="G303" s="199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spans="1:27">
      <c r="A304" s="15"/>
      <c r="B304" s="195"/>
      <c r="C304" s="7"/>
      <c r="D304" s="15"/>
      <c r="E304" s="199"/>
      <c r="F304" s="64"/>
      <c r="G304" s="199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spans="1:27">
      <c r="A305" s="15"/>
      <c r="B305" s="195"/>
      <c r="C305" s="7"/>
      <c r="D305" s="15"/>
      <c r="E305" s="199"/>
      <c r="F305" s="64"/>
      <c r="G305" s="199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spans="1:27">
      <c r="A306" s="15"/>
      <c r="B306" s="195"/>
      <c r="C306" s="7"/>
      <c r="D306" s="15"/>
      <c r="E306" s="199"/>
      <c r="F306" s="64"/>
      <c r="G306" s="199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spans="1:27">
      <c r="A307" s="15"/>
      <c r="B307" s="195"/>
      <c r="C307" s="7"/>
      <c r="D307" s="15"/>
      <c r="E307" s="199"/>
      <c r="F307" s="64"/>
      <c r="G307" s="199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spans="1:27">
      <c r="A308" s="15"/>
      <c r="B308" s="195"/>
      <c r="C308" s="7"/>
      <c r="D308" s="15"/>
      <c r="E308" s="199"/>
      <c r="F308" s="64"/>
      <c r="G308" s="199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spans="1:27">
      <c r="A309" s="15"/>
      <c r="B309" s="195"/>
      <c r="C309" s="7"/>
      <c r="D309" s="15"/>
      <c r="E309" s="199"/>
      <c r="F309" s="64"/>
      <c r="G309" s="199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spans="1:27">
      <c r="A310" s="15"/>
      <c r="B310" s="195"/>
      <c r="C310" s="7"/>
      <c r="D310" s="15"/>
      <c r="E310" s="199"/>
      <c r="F310" s="64"/>
      <c r="G310" s="199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spans="1:27">
      <c r="A311" s="15"/>
      <c r="B311" s="195"/>
      <c r="C311" s="7"/>
      <c r="D311" s="15"/>
      <c r="E311" s="199"/>
      <c r="F311" s="64"/>
      <c r="G311" s="199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spans="1:27">
      <c r="A312" s="15"/>
      <c r="B312" s="195"/>
      <c r="C312" s="7"/>
      <c r="D312" s="15"/>
      <c r="E312" s="199"/>
      <c r="F312" s="64"/>
      <c r="G312" s="199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spans="1:27">
      <c r="A313" s="15"/>
      <c r="B313" s="195"/>
      <c r="C313" s="7"/>
      <c r="D313" s="15"/>
      <c r="E313" s="199"/>
      <c r="F313" s="64"/>
      <c r="G313" s="199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spans="1:27">
      <c r="A314" s="15"/>
      <c r="B314" s="195"/>
      <c r="C314" s="7"/>
      <c r="D314" s="15"/>
      <c r="E314" s="199"/>
      <c r="F314" s="64"/>
      <c r="G314" s="199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spans="1:27">
      <c r="A315" s="15"/>
      <c r="B315" s="195"/>
      <c r="C315" s="7"/>
      <c r="D315" s="15"/>
      <c r="E315" s="199"/>
      <c r="F315" s="64"/>
      <c r="G315" s="199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spans="1:27">
      <c r="A316" s="15"/>
      <c r="B316" s="195"/>
      <c r="C316" s="7"/>
      <c r="D316" s="15"/>
      <c r="E316" s="199"/>
      <c r="F316" s="64"/>
      <c r="G316" s="199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spans="1:27">
      <c r="A317" s="15"/>
      <c r="B317" s="195"/>
      <c r="C317" s="7"/>
      <c r="D317" s="15"/>
      <c r="E317" s="199"/>
      <c r="F317" s="64"/>
      <c r="G317" s="199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spans="1:27">
      <c r="A318" s="15"/>
      <c r="B318" s="195"/>
      <c r="C318" s="7"/>
      <c r="D318" s="15"/>
      <c r="E318" s="199"/>
      <c r="F318" s="64"/>
      <c r="G318" s="199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spans="1:27">
      <c r="A319" s="15"/>
      <c r="B319" s="195"/>
      <c r="C319" s="7"/>
      <c r="D319" s="15"/>
      <c r="E319" s="199"/>
      <c r="F319" s="64"/>
      <c r="G319" s="199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spans="1:27">
      <c r="A320" s="15"/>
      <c r="B320" s="195"/>
      <c r="C320" s="7"/>
      <c r="D320" s="15"/>
      <c r="E320" s="199"/>
      <c r="F320" s="64"/>
      <c r="G320" s="199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spans="1:27">
      <c r="A321" s="15"/>
      <c r="B321" s="195"/>
      <c r="C321" s="7"/>
      <c r="D321" s="15"/>
      <c r="E321" s="199"/>
      <c r="F321" s="64"/>
      <c r="G321" s="199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spans="1:27">
      <c r="A322" s="15"/>
      <c r="B322" s="195"/>
      <c r="C322" s="7"/>
      <c r="D322" s="15"/>
      <c r="E322" s="199"/>
      <c r="F322" s="64"/>
      <c r="G322" s="199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spans="1:27">
      <c r="A323" s="15"/>
      <c r="B323" s="195"/>
      <c r="C323" s="7"/>
      <c r="D323" s="15"/>
      <c r="E323" s="199"/>
      <c r="F323" s="64"/>
      <c r="G323" s="199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spans="1:27">
      <c r="A324" s="15"/>
      <c r="B324" s="195"/>
      <c r="C324" s="7"/>
      <c r="D324" s="15"/>
      <c r="E324" s="199"/>
      <c r="F324" s="64"/>
      <c r="G324" s="199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spans="1:27">
      <c r="A325" s="15"/>
      <c r="B325" s="195"/>
      <c r="C325" s="7"/>
      <c r="D325" s="15"/>
      <c r="E325" s="199"/>
      <c r="F325" s="64"/>
      <c r="G325" s="199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spans="1:27">
      <c r="A326" s="15"/>
      <c r="B326" s="195"/>
      <c r="C326" s="7"/>
      <c r="D326" s="15"/>
      <c r="E326" s="199"/>
      <c r="F326" s="64"/>
      <c r="G326" s="199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spans="1:27">
      <c r="A327" s="15"/>
      <c r="B327" s="195"/>
      <c r="C327" s="7"/>
      <c r="D327" s="15"/>
      <c r="E327" s="199"/>
      <c r="F327" s="64"/>
      <c r="G327" s="199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spans="1:27">
      <c r="A328" s="15"/>
      <c r="B328" s="195"/>
      <c r="C328" s="7"/>
      <c r="D328" s="15"/>
      <c r="E328" s="199"/>
      <c r="F328" s="64"/>
      <c r="G328" s="199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spans="1:27">
      <c r="A329" s="15"/>
      <c r="B329" s="195"/>
      <c r="C329" s="7"/>
      <c r="D329" s="15"/>
      <c r="E329" s="199"/>
      <c r="F329" s="64"/>
      <c r="G329" s="199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spans="1:27">
      <c r="A330" s="15"/>
      <c r="B330" s="195"/>
      <c r="C330" s="7"/>
      <c r="D330" s="15"/>
      <c r="E330" s="199"/>
      <c r="F330" s="64"/>
      <c r="G330" s="199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spans="1:27">
      <c r="A331" s="15"/>
      <c r="B331" s="195"/>
      <c r="C331" s="7"/>
      <c r="D331" s="15"/>
      <c r="E331" s="199"/>
      <c r="F331" s="64"/>
      <c r="G331" s="199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spans="1:27">
      <c r="A332" s="15"/>
      <c r="B332" s="195"/>
      <c r="C332" s="7"/>
      <c r="D332" s="15"/>
      <c r="E332" s="199"/>
      <c r="F332" s="64"/>
      <c r="G332" s="199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spans="1:27">
      <c r="A333" s="15"/>
      <c r="B333" s="195"/>
      <c r="C333" s="7"/>
      <c r="D333" s="15"/>
      <c r="E333" s="199"/>
      <c r="F333" s="64"/>
      <c r="G333" s="199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spans="1:27">
      <c r="A334" s="15"/>
      <c r="B334" s="195"/>
      <c r="C334" s="7"/>
      <c r="D334" s="15"/>
      <c r="E334" s="199"/>
      <c r="F334" s="64"/>
      <c r="G334" s="199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spans="1:27">
      <c r="A335" s="15"/>
      <c r="B335" s="195"/>
      <c r="C335" s="7"/>
      <c r="D335" s="15"/>
      <c r="E335" s="199"/>
      <c r="F335" s="64"/>
      <c r="G335" s="199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spans="1:27">
      <c r="A336" s="15"/>
      <c r="B336" s="195"/>
      <c r="C336" s="7"/>
      <c r="D336" s="15"/>
      <c r="E336" s="199"/>
      <c r="F336" s="64"/>
      <c r="G336" s="199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spans="1:27">
      <c r="A337" s="15"/>
      <c r="B337" s="195"/>
      <c r="C337" s="7"/>
      <c r="D337" s="15"/>
      <c r="E337" s="199"/>
      <c r="F337" s="64"/>
      <c r="G337" s="199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spans="1:27">
      <c r="A338" s="15"/>
      <c r="B338" s="195"/>
      <c r="C338" s="7"/>
      <c r="D338" s="15"/>
      <c r="E338" s="199"/>
      <c r="F338" s="64"/>
      <c r="G338" s="199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spans="1:27">
      <c r="A339" s="15"/>
      <c r="B339" s="195"/>
      <c r="C339" s="7"/>
      <c r="D339" s="15"/>
      <c r="E339" s="199"/>
      <c r="F339" s="64"/>
      <c r="G339" s="199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spans="1:27">
      <c r="A340" s="15"/>
      <c r="B340" s="195"/>
      <c r="C340" s="7"/>
      <c r="D340" s="15"/>
      <c r="E340" s="199"/>
      <c r="F340" s="64"/>
      <c r="G340" s="199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spans="1:27">
      <c r="A341" s="15"/>
      <c r="B341" s="195"/>
      <c r="C341" s="7"/>
      <c r="D341" s="15"/>
      <c r="E341" s="199"/>
      <c r="F341" s="64"/>
      <c r="G341" s="199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spans="1:27">
      <c r="A342" s="15"/>
      <c r="B342" s="195"/>
      <c r="C342" s="7"/>
      <c r="D342" s="15"/>
      <c r="E342" s="199"/>
      <c r="F342" s="64"/>
      <c r="G342" s="199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spans="1:27">
      <c r="A343" s="15"/>
      <c r="B343" s="195"/>
      <c r="C343" s="7"/>
      <c r="D343" s="15"/>
      <c r="E343" s="199"/>
      <c r="F343" s="64"/>
      <c r="G343" s="199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spans="1:27">
      <c r="A344" s="15"/>
      <c r="B344" s="195"/>
      <c r="C344" s="7"/>
      <c r="D344" s="15"/>
      <c r="E344" s="199"/>
      <c r="F344" s="64"/>
      <c r="G344" s="199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spans="1:27">
      <c r="A345" s="15"/>
      <c r="B345" s="195"/>
      <c r="C345" s="7"/>
      <c r="D345" s="15"/>
      <c r="E345" s="199"/>
      <c r="F345" s="64"/>
      <c r="G345" s="199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spans="1:27">
      <c r="A346" s="15"/>
      <c r="B346" s="195"/>
      <c r="C346" s="7"/>
      <c r="D346" s="15"/>
      <c r="E346" s="199"/>
      <c r="F346" s="64"/>
      <c r="G346" s="199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spans="1:27">
      <c r="A347" s="15"/>
      <c r="B347" s="195"/>
      <c r="C347" s="7"/>
      <c r="D347" s="15"/>
      <c r="E347" s="199"/>
      <c r="F347" s="64"/>
      <c r="G347" s="199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spans="1:27">
      <c r="A348" s="15"/>
      <c r="B348" s="195"/>
      <c r="C348" s="7"/>
      <c r="D348" s="15"/>
      <c r="E348" s="199"/>
      <c r="F348" s="64"/>
      <c r="G348" s="199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spans="1:27">
      <c r="A349" s="15"/>
      <c r="B349" s="195"/>
      <c r="C349" s="7"/>
      <c r="D349" s="15"/>
      <c r="E349" s="199"/>
      <c r="F349" s="64"/>
      <c r="G349" s="199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spans="1:27">
      <c r="A350" s="15"/>
      <c r="B350" s="195"/>
      <c r="C350" s="7"/>
      <c r="D350" s="15"/>
      <c r="E350" s="199"/>
      <c r="F350" s="64"/>
      <c r="G350" s="199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spans="1:27">
      <c r="A351" s="15"/>
      <c r="B351" s="195"/>
      <c r="C351" s="7"/>
      <c r="D351" s="15"/>
      <c r="E351" s="199"/>
      <c r="F351" s="64"/>
      <c r="G351" s="199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spans="1:27">
      <c r="A352" s="15"/>
      <c r="B352" s="195"/>
      <c r="C352" s="7"/>
      <c r="D352" s="15"/>
      <c r="E352" s="199"/>
      <c r="F352" s="64"/>
      <c r="G352" s="199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spans="1:27">
      <c r="A353" s="15"/>
      <c r="B353" s="195"/>
      <c r="C353" s="7"/>
      <c r="D353" s="15"/>
      <c r="E353" s="199"/>
      <c r="F353" s="64"/>
      <c r="G353" s="199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spans="1:27">
      <c r="A354" s="15"/>
      <c r="B354" s="195"/>
      <c r="C354" s="7"/>
      <c r="D354" s="15"/>
      <c r="E354" s="199"/>
      <c r="F354" s="64"/>
      <c r="G354" s="199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spans="1:27">
      <c r="A355" s="15"/>
      <c r="B355" s="195"/>
      <c r="C355" s="7"/>
      <c r="D355" s="15"/>
      <c r="E355" s="199"/>
      <c r="F355" s="64"/>
      <c r="G355" s="199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spans="1:27">
      <c r="A356" s="15"/>
      <c r="B356" s="195"/>
      <c r="C356" s="7"/>
      <c r="D356" s="15"/>
      <c r="E356" s="199"/>
      <c r="F356" s="64"/>
      <c r="G356" s="199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spans="1:27">
      <c r="A357" s="15"/>
      <c r="B357" s="195"/>
      <c r="C357" s="7"/>
      <c r="D357" s="15"/>
      <c r="E357" s="199"/>
      <c r="F357" s="64"/>
      <c r="G357" s="199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spans="1:27">
      <c r="A358" s="15"/>
      <c r="B358" s="195"/>
      <c r="C358" s="7"/>
      <c r="D358" s="15"/>
      <c r="E358" s="199"/>
      <c r="F358" s="64"/>
      <c r="G358" s="199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spans="1:27">
      <c r="A359" s="15"/>
      <c r="B359" s="195"/>
      <c r="C359" s="7"/>
      <c r="D359" s="15"/>
      <c r="E359" s="199"/>
      <c r="F359" s="64"/>
      <c r="G359" s="199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spans="1:27">
      <c r="A360" s="15"/>
      <c r="B360" s="195"/>
      <c r="C360" s="7"/>
      <c r="D360" s="15"/>
      <c r="E360" s="199"/>
      <c r="F360" s="64"/>
      <c r="G360" s="199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spans="1:27">
      <c r="A361" s="15"/>
      <c r="B361" s="195"/>
      <c r="C361" s="7"/>
      <c r="D361" s="15"/>
      <c r="E361" s="199"/>
      <c r="F361" s="64"/>
      <c r="G361" s="199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spans="1:27">
      <c r="A362" s="15"/>
      <c r="B362" s="195"/>
      <c r="C362" s="7"/>
      <c r="D362" s="15"/>
      <c r="E362" s="199"/>
      <c r="F362" s="64"/>
      <c r="G362" s="199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spans="1:27">
      <c r="A363" s="15"/>
      <c r="B363" s="195"/>
      <c r="C363" s="7"/>
      <c r="D363" s="15"/>
      <c r="E363" s="199"/>
      <c r="F363" s="64"/>
      <c r="G363" s="199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spans="1:27">
      <c r="A364" s="15"/>
      <c r="B364" s="195"/>
      <c r="C364" s="7"/>
      <c r="D364" s="15"/>
      <c r="E364" s="199"/>
      <c r="F364" s="64"/>
      <c r="G364" s="199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spans="1:27">
      <c r="A365" s="15"/>
      <c r="B365" s="195"/>
      <c r="C365" s="7"/>
      <c r="D365" s="15"/>
      <c r="E365" s="199"/>
      <c r="F365" s="64"/>
      <c r="G365" s="199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spans="1:27">
      <c r="A366" s="15"/>
      <c r="B366" s="195"/>
      <c r="C366" s="7"/>
      <c r="D366" s="15"/>
      <c r="E366" s="199"/>
      <c r="F366" s="64"/>
      <c r="G366" s="199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spans="1:27">
      <c r="A367" s="15"/>
      <c r="B367" s="195"/>
      <c r="C367" s="7"/>
      <c r="D367" s="15"/>
      <c r="E367" s="199"/>
      <c r="F367" s="64"/>
      <c r="G367" s="199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spans="1:27">
      <c r="A368" s="15"/>
      <c r="B368" s="195"/>
      <c r="C368" s="7"/>
      <c r="D368" s="15"/>
      <c r="E368" s="199"/>
      <c r="F368" s="64"/>
      <c r="G368" s="199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spans="1:27">
      <c r="A369" s="15"/>
      <c r="B369" s="195"/>
      <c r="C369" s="7"/>
      <c r="D369" s="15"/>
      <c r="E369" s="199"/>
      <c r="F369" s="64"/>
      <c r="G369" s="199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spans="1:27">
      <c r="A370" s="15"/>
      <c r="B370" s="195"/>
      <c r="C370" s="7"/>
      <c r="D370" s="15"/>
      <c r="E370" s="199"/>
      <c r="F370" s="64"/>
      <c r="G370" s="199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spans="1:27">
      <c r="A371" s="15"/>
      <c r="B371" s="195"/>
      <c r="C371" s="7"/>
      <c r="D371" s="15"/>
      <c r="E371" s="199"/>
      <c r="F371" s="64"/>
      <c r="G371" s="199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spans="1:27">
      <c r="A372" s="15"/>
      <c r="B372" s="195"/>
      <c r="C372" s="7"/>
      <c r="D372" s="15"/>
      <c r="E372" s="199"/>
      <c r="F372" s="64"/>
      <c r="G372" s="199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spans="1:27">
      <c r="A373" s="15"/>
      <c r="B373" s="195"/>
      <c r="C373" s="7"/>
      <c r="D373" s="15"/>
      <c r="E373" s="199"/>
      <c r="F373" s="64"/>
      <c r="G373" s="199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spans="1:27">
      <c r="A374" s="15"/>
      <c r="B374" s="195"/>
      <c r="C374" s="7"/>
      <c r="D374" s="15"/>
      <c r="E374" s="199"/>
      <c r="F374" s="64"/>
      <c r="G374" s="199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spans="1:27">
      <c r="A375" s="15"/>
      <c r="B375" s="195"/>
      <c r="C375" s="7"/>
      <c r="D375" s="15"/>
      <c r="E375" s="199"/>
      <c r="F375" s="64"/>
      <c r="G375" s="199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spans="1:27">
      <c r="A376" s="15"/>
      <c r="B376" s="195"/>
      <c r="C376" s="7"/>
      <c r="D376" s="15"/>
      <c r="E376" s="199"/>
      <c r="F376" s="64"/>
      <c r="G376" s="199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spans="1:27">
      <c r="A377" s="15"/>
      <c r="B377" s="195"/>
      <c r="C377" s="7"/>
      <c r="D377" s="15"/>
      <c r="E377" s="199"/>
      <c r="F377" s="64"/>
      <c r="G377" s="199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spans="1:27">
      <c r="A378" s="15"/>
      <c r="B378" s="195"/>
      <c r="C378" s="7"/>
      <c r="D378" s="15"/>
      <c r="E378" s="199"/>
      <c r="F378" s="64"/>
      <c r="G378" s="199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spans="1:27">
      <c r="A379" s="15"/>
      <c r="B379" s="195"/>
      <c r="C379" s="7"/>
      <c r="D379" s="15"/>
      <c r="E379" s="199"/>
      <c r="F379" s="64"/>
      <c r="G379" s="199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spans="1:27">
      <c r="A380" s="15"/>
      <c r="B380" s="195"/>
      <c r="C380" s="7"/>
      <c r="D380" s="15"/>
      <c r="E380" s="199"/>
      <c r="F380" s="64"/>
      <c r="G380" s="199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spans="1:27">
      <c r="A381" s="15"/>
      <c r="B381" s="195"/>
      <c r="C381" s="7"/>
      <c r="D381" s="15"/>
      <c r="E381" s="199"/>
      <c r="F381" s="64"/>
      <c r="G381" s="199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spans="1:27">
      <c r="A382" s="15"/>
      <c r="B382" s="195"/>
      <c r="C382" s="7"/>
      <c r="D382" s="15"/>
      <c r="E382" s="199"/>
      <c r="F382" s="64"/>
      <c r="G382" s="199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spans="1:27">
      <c r="A383" s="15"/>
      <c r="B383" s="195"/>
      <c r="C383" s="7"/>
      <c r="D383" s="15"/>
      <c r="E383" s="199"/>
      <c r="F383" s="64"/>
      <c r="G383" s="199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spans="1:27">
      <c r="A384" s="15"/>
      <c r="B384" s="195"/>
      <c r="C384" s="7"/>
      <c r="D384" s="15"/>
      <c r="E384" s="199"/>
      <c r="F384" s="64"/>
      <c r="G384" s="199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spans="1:27">
      <c r="A385" s="15"/>
      <c r="B385" s="195"/>
      <c r="C385" s="7"/>
      <c r="D385" s="15"/>
      <c r="E385" s="199"/>
      <c r="F385" s="64"/>
      <c r="G385" s="199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spans="1:27">
      <c r="A386" s="15"/>
      <c r="B386" s="195"/>
      <c r="C386" s="7"/>
      <c r="D386" s="15"/>
      <c r="E386" s="199"/>
      <c r="F386" s="64"/>
      <c r="G386" s="199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spans="1:27">
      <c r="A387" s="15"/>
      <c r="B387" s="195"/>
      <c r="C387" s="7"/>
      <c r="D387" s="15"/>
      <c r="E387" s="199"/>
      <c r="F387" s="64"/>
      <c r="G387" s="199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spans="1:27">
      <c r="A388" s="15"/>
      <c r="B388" s="195"/>
      <c r="C388" s="7"/>
      <c r="D388" s="15"/>
      <c r="E388" s="199"/>
      <c r="F388" s="64"/>
      <c r="G388" s="199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spans="1:27">
      <c r="A389" s="15"/>
      <c r="B389" s="195"/>
      <c r="C389" s="7"/>
      <c r="D389" s="15"/>
      <c r="E389" s="199"/>
      <c r="F389" s="64"/>
      <c r="G389" s="199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spans="1:27">
      <c r="A390" s="15"/>
      <c r="B390" s="195"/>
      <c r="C390" s="7"/>
      <c r="D390" s="15"/>
      <c r="E390" s="199"/>
      <c r="F390" s="64"/>
      <c r="G390" s="199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spans="1:27">
      <c r="A391" s="15"/>
      <c r="B391" s="195"/>
      <c r="C391" s="7"/>
      <c r="D391" s="15"/>
      <c r="E391" s="199"/>
      <c r="F391" s="64"/>
      <c r="G391" s="199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spans="1:27">
      <c r="A392" s="15"/>
      <c r="B392" s="195"/>
      <c r="C392" s="7"/>
      <c r="D392" s="15"/>
      <c r="E392" s="199"/>
      <c r="F392" s="64"/>
      <c r="G392" s="199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spans="1:27">
      <c r="A393" s="15"/>
      <c r="B393" s="195"/>
      <c r="C393" s="7"/>
      <c r="D393" s="15"/>
      <c r="E393" s="199"/>
      <c r="F393" s="64"/>
      <c r="G393" s="199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spans="1:27">
      <c r="A394" s="15"/>
      <c r="B394" s="195"/>
      <c r="C394" s="7"/>
      <c r="D394" s="15"/>
      <c r="E394" s="199"/>
      <c r="F394" s="64"/>
      <c r="G394" s="199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spans="1:27">
      <c r="A395" s="15"/>
      <c r="B395" s="195"/>
      <c r="C395" s="7"/>
      <c r="D395" s="15"/>
      <c r="E395" s="199"/>
      <c r="F395" s="64"/>
      <c r="G395" s="199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spans="1:27">
      <c r="A396" s="15"/>
      <c r="B396" s="195"/>
      <c r="C396" s="7"/>
      <c r="D396" s="15"/>
      <c r="E396" s="199"/>
      <c r="F396" s="64"/>
      <c r="G396" s="199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spans="1:27">
      <c r="A397" s="15"/>
      <c r="B397" s="195"/>
      <c r="C397" s="7"/>
      <c r="D397" s="15"/>
      <c r="E397" s="199"/>
      <c r="F397" s="64"/>
      <c r="G397" s="199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spans="1:27">
      <c r="A398" s="15"/>
      <c r="B398" s="195"/>
      <c r="C398" s="7"/>
      <c r="D398" s="15"/>
      <c r="E398" s="199"/>
      <c r="F398" s="64"/>
      <c r="G398" s="199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spans="1:27">
      <c r="A399" s="15"/>
      <c r="B399" s="195"/>
      <c r="C399" s="7"/>
      <c r="D399" s="15"/>
      <c r="E399" s="199"/>
      <c r="F399" s="64"/>
      <c r="G399" s="199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spans="1:27">
      <c r="A400" s="15"/>
      <c r="B400" s="195"/>
      <c r="C400" s="7"/>
      <c r="D400" s="15"/>
      <c r="E400" s="199"/>
      <c r="F400" s="64"/>
      <c r="G400" s="199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spans="1:27">
      <c r="A401" s="15"/>
      <c r="B401" s="195"/>
      <c r="C401" s="7"/>
      <c r="D401" s="15"/>
      <c r="E401" s="199"/>
      <c r="F401" s="64"/>
      <c r="G401" s="199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spans="1:27">
      <c r="A402" s="15"/>
      <c r="B402" s="195"/>
      <c r="C402" s="7"/>
      <c r="D402" s="15"/>
      <c r="E402" s="199"/>
      <c r="F402" s="64"/>
      <c r="G402" s="199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spans="1:27">
      <c r="A403" s="15"/>
      <c r="B403" s="195"/>
      <c r="C403" s="7"/>
      <c r="D403" s="15"/>
      <c r="E403" s="199"/>
      <c r="F403" s="64"/>
      <c r="G403" s="199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spans="1:27">
      <c r="A404" s="15"/>
      <c r="B404" s="195"/>
      <c r="C404" s="7"/>
      <c r="D404" s="15"/>
      <c r="E404" s="199"/>
      <c r="F404" s="64"/>
      <c r="G404" s="199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spans="1:27">
      <c r="A405" s="15"/>
      <c r="B405" s="195"/>
      <c r="C405" s="7"/>
      <c r="D405" s="15"/>
      <c r="E405" s="199"/>
      <c r="F405" s="64"/>
      <c r="G405" s="199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spans="1:27">
      <c r="A406" s="15"/>
      <c r="B406" s="195"/>
      <c r="C406" s="7"/>
      <c r="D406" s="15"/>
      <c r="E406" s="199"/>
      <c r="F406" s="64"/>
      <c r="G406" s="199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spans="1:27">
      <c r="A407" s="15"/>
      <c r="B407" s="195"/>
      <c r="C407" s="7"/>
      <c r="D407" s="15"/>
      <c r="E407" s="199"/>
      <c r="F407" s="64"/>
      <c r="G407" s="199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spans="1:27">
      <c r="A408" s="15"/>
      <c r="B408" s="195"/>
      <c r="C408" s="7"/>
      <c r="D408" s="15"/>
      <c r="E408" s="199"/>
      <c r="F408" s="64"/>
      <c r="G408" s="199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spans="1:27">
      <c r="A409" s="15"/>
      <c r="B409" s="195"/>
      <c r="C409" s="7"/>
      <c r="D409" s="15"/>
      <c r="E409" s="199"/>
      <c r="F409" s="64"/>
      <c r="G409" s="199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spans="1:27">
      <c r="A410" s="15"/>
      <c r="B410" s="195"/>
      <c r="C410" s="7"/>
      <c r="D410" s="15"/>
      <c r="E410" s="199"/>
      <c r="F410" s="64"/>
      <c r="G410" s="199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spans="1:27">
      <c r="A411" s="15"/>
      <c r="B411" s="195"/>
      <c r="C411" s="7"/>
      <c r="D411" s="15"/>
      <c r="E411" s="199"/>
      <c r="F411" s="64"/>
      <c r="G411" s="199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spans="1:27">
      <c r="A412" s="15"/>
      <c r="B412" s="195"/>
      <c r="C412" s="7"/>
      <c r="D412" s="15"/>
      <c r="E412" s="199"/>
      <c r="F412" s="64"/>
      <c r="G412" s="199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spans="1:27">
      <c r="A413" s="15"/>
      <c r="B413" s="195"/>
      <c r="C413" s="7"/>
      <c r="D413" s="15"/>
      <c r="E413" s="199"/>
      <c r="F413" s="64"/>
      <c r="G413" s="199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spans="1:27">
      <c r="A414" s="15"/>
      <c r="B414" s="195"/>
      <c r="C414" s="7"/>
      <c r="D414" s="15"/>
      <c r="E414" s="199"/>
      <c r="F414" s="64"/>
      <c r="G414" s="199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spans="1:27">
      <c r="A415" s="15"/>
      <c r="B415" s="195"/>
      <c r="C415" s="7"/>
      <c r="D415" s="15"/>
      <c r="E415" s="199"/>
      <c r="F415" s="64"/>
      <c r="G415" s="199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spans="1:27">
      <c r="A416" s="15"/>
      <c r="B416" s="195"/>
      <c r="C416" s="7"/>
      <c r="D416" s="15"/>
      <c r="E416" s="199"/>
      <c r="F416" s="64"/>
      <c r="G416" s="199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spans="1:27">
      <c r="A417" s="15"/>
      <c r="B417" s="195"/>
      <c r="C417" s="7"/>
      <c r="D417" s="15"/>
      <c r="E417" s="199"/>
      <c r="F417" s="64"/>
      <c r="G417" s="199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spans="1:27">
      <c r="A418" s="15"/>
      <c r="B418" s="195"/>
      <c r="C418" s="7"/>
      <c r="D418" s="15"/>
      <c r="E418" s="199"/>
      <c r="F418" s="64"/>
      <c r="G418" s="199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spans="1:27">
      <c r="A419" s="15"/>
      <c r="B419" s="195"/>
      <c r="C419" s="7"/>
      <c r="D419" s="15"/>
      <c r="E419" s="199"/>
      <c r="F419" s="64"/>
      <c r="G419" s="199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spans="1:27">
      <c r="A420" s="15"/>
      <c r="B420" s="195"/>
      <c r="C420" s="7"/>
      <c r="D420" s="15"/>
      <c r="E420" s="199"/>
      <c r="F420" s="64"/>
      <c r="G420" s="199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spans="1:27">
      <c r="A421" s="15"/>
      <c r="B421" s="195"/>
      <c r="C421" s="7"/>
      <c r="D421" s="15"/>
      <c r="E421" s="199"/>
      <c r="F421" s="64"/>
      <c r="G421" s="199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spans="1:27">
      <c r="A422" s="15"/>
      <c r="B422" s="195"/>
      <c r="C422" s="7"/>
      <c r="D422" s="15"/>
      <c r="E422" s="199"/>
      <c r="F422" s="64"/>
      <c r="G422" s="199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spans="1:27">
      <c r="A423" s="15"/>
      <c r="B423" s="195"/>
      <c r="C423" s="7"/>
      <c r="D423" s="15"/>
      <c r="E423" s="199"/>
      <c r="F423" s="64"/>
      <c r="G423" s="199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spans="1:27">
      <c r="A424" s="15"/>
      <c r="B424" s="195"/>
      <c r="C424" s="7"/>
      <c r="D424" s="15"/>
      <c r="E424" s="199"/>
      <c r="F424" s="64"/>
      <c r="G424" s="199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spans="1:27">
      <c r="A425" s="15"/>
      <c r="B425" s="195"/>
      <c r="C425" s="7"/>
      <c r="D425" s="15"/>
      <c r="E425" s="199"/>
      <c r="F425" s="64"/>
      <c r="G425" s="199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spans="1:27">
      <c r="A426" s="15"/>
      <c r="B426" s="195"/>
      <c r="C426" s="7"/>
      <c r="D426" s="15"/>
      <c r="E426" s="199"/>
      <c r="F426" s="64"/>
      <c r="G426" s="199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spans="1:27">
      <c r="A427" s="15"/>
      <c r="B427" s="195"/>
      <c r="C427" s="7"/>
      <c r="D427" s="15"/>
      <c r="E427" s="199"/>
      <c r="F427" s="64"/>
      <c r="G427" s="199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spans="1:27">
      <c r="A428" s="15"/>
      <c r="B428" s="195"/>
      <c r="C428" s="7"/>
      <c r="D428" s="15"/>
      <c r="E428" s="199"/>
      <c r="F428" s="64"/>
      <c r="G428" s="199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spans="1:27">
      <c r="A429" s="15"/>
      <c r="B429" s="195"/>
      <c r="C429" s="7"/>
      <c r="D429" s="15"/>
      <c r="E429" s="199"/>
      <c r="F429" s="64"/>
      <c r="G429" s="199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spans="1:27">
      <c r="A430" s="15"/>
      <c r="B430" s="195"/>
      <c r="C430" s="7"/>
      <c r="D430" s="15"/>
      <c r="E430" s="199"/>
      <c r="F430" s="64"/>
      <c r="G430" s="199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spans="1:27">
      <c r="A431" s="15"/>
      <c r="B431" s="195"/>
      <c r="C431" s="7"/>
      <c r="D431" s="15"/>
      <c r="E431" s="199"/>
      <c r="F431" s="64"/>
      <c r="G431" s="199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spans="1:27">
      <c r="A432" s="15"/>
      <c r="B432" s="195"/>
      <c r="C432" s="7"/>
      <c r="D432" s="15"/>
      <c r="E432" s="199"/>
      <c r="F432" s="64"/>
      <c r="G432" s="199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spans="1:27">
      <c r="A433" s="15"/>
      <c r="B433" s="195"/>
      <c r="C433" s="7"/>
      <c r="D433" s="15"/>
      <c r="E433" s="199"/>
      <c r="F433" s="64"/>
      <c r="G433" s="199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spans="1:27">
      <c r="A434" s="15"/>
      <c r="B434" s="195"/>
      <c r="C434" s="7"/>
      <c r="D434" s="15"/>
      <c r="E434" s="199"/>
      <c r="F434" s="64"/>
      <c r="G434" s="199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spans="1:27">
      <c r="A435" s="15"/>
      <c r="B435" s="195"/>
      <c r="C435" s="7"/>
      <c r="D435" s="15"/>
      <c r="E435" s="199"/>
      <c r="F435" s="64"/>
      <c r="G435" s="199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spans="1:27">
      <c r="A436" s="15"/>
      <c r="B436" s="195"/>
      <c r="C436" s="7"/>
      <c r="D436" s="15"/>
      <c r="E436" s="199"/>
      <c r="F436" s="64"/>
      <c r="G436" s="199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spans="1:27">
      <c r="A437" s="15"/>
      <c r="B437" s="195"/>
      <c r="C437" s="7"/>
      <c r="D437" s="15"/>
      <c r="E437" s="199"/>
      <c r="F437" s="64"/>
      <c r="G437" s="199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spans="1:27">
      <c r="A438" s="15"/>
      <c r="B438" s="195"/>
      <c r="C438" s="7"/>
      <c r="D438" s="15"/>
      <c r="E438" s="199"/>
      <c r="F438" s="64"/>
      <c r="G438" s="199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spans="1:27">
      <c r="A439" s="15"/>
      <c r="B439" s="195"/>
      <c r="C439" s="7"/>
      <c r="D439" s="15"/>
      <c r="E439" s="199"/>
      <c r="F439" s="64"/>
      <c r="G439" s="199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spans="1:27">
      <c r="A440" s="15"/>
      <c r="B440" s="195"/>
      <c r="C440" s="7"/>
      <c r="D440" s="15"/>
      <c r="E440" s="199"/>
      <c r="F440" s="64"/>
      <c r="G440" s="199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spans="1:27">
      <c r="A441" s="15"/>
      <c r="B441" s="195"/>
      <c r="C441" s="7"/>
      <c r="D441" s="15"/>
      <c r="E441" s="199"/>
      <c r="F441" s="64"/>
      <c r="G441" s="199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spans="1:27">
      <c r="A442" s="15"/>
      <c r="B442" s="195"/>
      <c r="C442" s="7"/>
      <c r="D442" s="15"/>
      <c r="E442" s="199"/>
      <c r="F442" s="64"/>
      <c r="G442" s="199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spans="1:27">
      <c r="A443" s="15"/>
      <c r="B443" s="195"/>
      <c r="C443" s="7"/>
      <c r="D443" s="15"/>
      <c r="E443" s="199"/>
      <c r="F443" s="64"/>
      <c r="G443" s="199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spans="1:27">
      <c r="A444" s="15"/>
      <c r="B444" s="195"/>
      <c r="C444" s="7"/>
      <c r="D444" s="15"/>
      <c r="E444" s="199"/>
      <c r="F444" s="64"/>
      <c r="G444" s="199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spans="1:27">
      <c r="A445" s="15"/>
      <c r="B445" s="195"/>
      <c r="C445" s="7"/>
      <c r="D445" s="15"/>
      <c r="E445" s="199"/>
      <c r="F445" s="64"/>
      <c r="G445" s="199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spans="1:27">
      <c r="A446" s="15"/>
      <c r="B446" s="195"/>
      <c r="C446" s="7"/>
      <c r="D446" s="15"/>
      <c r="E446" s="199"/>
      <c r="F446" s="64"/>
      <c r="G446" s="199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spans="1:27">
      <c r="A447" s="15"/>
      <c r="B447" s="195"/>
      <c r="C447" s="7"/>
      <c r="D447" s="15"/>
      <c r="E447" s="199"/>
      <c r="F447" s="64"/>
      <c r="G447" s="199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spans="1:27">
      <c r="A448" s="15"/>
      <c r="B448" s="195"/>
      <c r="C448" s="7"/>
      <c r="D448" s="15"/>
      <c r="E448" s="199"/>
      <c r="F448" s="64"/>
      <c r="G448" s="199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spans="1:27">
      <c r="A449" s="15"/>
      <c r="B449" s="195"/>
      <c r="C449" s="7"/>
      <c r="D449" s="15"/>
      <c r="E449" s="199"/>
      <c r="F449" s="64"/>
      <c r="G449" s="199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spans="1:27">
      <c r="A450" s="15"/>
      <c r="B450" s="195"/>
      <c r="C450" s="7"/>
      <c r="D450" s="15"/>
      <c r="E450" s="199"/>
      <c r="F450" s="64"/>
      <c r="G450" s="199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spans="1:27">
      <c r="A451" s="15"/>
      <c r="B451" s="195"/>
      <c r="C451" s="7"/>
      <c r="D451" s="15"/>
      <c r="E451" s="199"/>
      <c r="F451" s="64"/>
      <c r="G451" s="199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spans="1:27">
      <c r="A452" s="15"/>
      <c r="B452" s="195"/>
      <c r="C452" s="7"/>
      <c r="D452" s="15"/>
      <c r="E452" s="199"/>
      <c r="F452" s="64"/>
      <c r="G452" s="199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spans="1:27">
      <c r="A453" s="15"/>
      <c r="B453" s="195"/>
      <c r="C453" s="7"/>
      <c r="D453" s="15"/>
      <c r="E453" s="199"/>
      <c r="F453" s="64"/>
      <c r="G453" s="199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spans="1:27">
      <c r="A454" s="15"/>
      <c r="B454" s="195"/>
      <c r="C454" s="7"/>
      <c r="D454" s="15"/>
      <c r="E454" s="199"/>
      <c r="F454" s="64"/>
      <c r="G454" s="199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spans="1:27">
      <c r="A455" s="15"/>
      <c r="B455" s="195"/>
      <c r="C455" s="7"/>
      <c r="D455" s="15"/>
      <c r="E455" s="199"/>
      <c r="F455" s="64"/>
      <c r="G455" s="199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spans="1:27">
      <c r="A456" s="15"/>
      <c r="B456" s="195"/>
      <c r="C456" s="7"/>
      <c r="D456" s="15"/>
      <c r="E456" s="199"/>
      <c r="F456" s="64"/>
      <c r="G456" s="199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spans="1:27">
      <c r="A457" s="15"/>
      <c r="B457" s="195"/>
      <c r="C457" s="7"/>
      <c r="D457" s="15"/>
      <c r="E457" s="199"/>
      <c r="F457" s="64"/>
      <c r="G457" s="199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spans="1:27">
      <c r="A458" s="15"/>
      <c r="B458" s="195"/>
      <c r="C458" s="7"/>
      <c r="D458" s="15"/>
      <c r="E458" s="199"/>
      <c r="F458" s="64"/>
      <c r="G458" s="199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spans="1:27">
      <c r="A459" s="15"/>
      <c r="B459" s="195"/>
      <c r="C459" s="7"/>
      <c r="D459" s="15"/>
      <c r="E459" s="199"/>
      <c r="F459" s="64"/>
      <c r="G459" s="199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spans="1:27">
      <c r="A460" s="15"/>
      <c r="B460" s="195"/>
      <c r="C460" s="7"/>
      <c r="D460" s="15"/>
      <c r="E460" s="199"/>
      <c r="F460" s="64"/>
      <c r="G460" s="199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spans="1:27">
      <c r="A461" s="15"/>
      <c r="B461" s="195"/>
      <c r="C461" s="7"/>
      <c r="D461" s="15"/>
      <c r="E461" s="199"/>
      <c r="F461" s="64"/>
      <c r="G461" s="199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spans="1:27">
      <c r="A462" s="15"/>
      <c r="B462" s="195"/>
      <c r="C462" s="7"/>
      <c r="D462" s="15"/>
      <c r="E462" s="199"/>
      <c r="F462" s="64"/>
      <c r="G462" s="199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spans="1:27">
      <c r="A463" s="15"/>
      <c r="B463" s="195"/>
      <c r="C463" s="7"/>
      <c r="D463" s="15"/>
      <c r="E463" s="199"/>
      <c r="F463" s="64"/>
      <c r="G463" s="199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spans="1:27">
      <c r="A464" s="15"/>
      <c r="B464" s="195"/>
      <c r="C464" s="7"/>
      <c r="D464" s="15"/>
      <c r="E464" s="199"/>
      <c r="F464" s="64"/>
      <c r="G464" s="199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spans="1:27">
      <c r="A465" s="15"/>
      <c r="B465" s="195"/>
      <c r="C465" s="7"/>
      <c r="D465" s="15"/>
      <c r="E465" s="199"/>
      <c r="F465" s="64"/>
      <c r="G465" s="199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spans="1:27">
      <c r="A466" s="15"/>
      <c r="B466" s="195"/>
      <c r="C466" s="7"/>
      <c r="D466" s="15"/>
      <c r="E466" s="199"/>
      <c r="F466" s="64"/>
      <c r="G466" s="199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spans="1:27">
      <c r="A467" s="15"/>
      <c r="B467" s="195"/>
      <c r="C467" s="7"/>
      <c r="D467" s="15"/>
      <c r="E467" s="199"/>
      <c r="F467" s="64"/>
      <c r="G467" s="199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spans="1:27">
      <c r="A468" s="15"/>
      <c r="B468" s="195"/>
      <c r="C468" s="7"/>
      <c r="D468" s="15"/>
      <c r="E468" s="199"/>
      <c r="F468" s="64"/>
      <c r="G468" s="199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spans="1:27">
      <c r="A469" s="15"/>
      <c r="B469" s="195"/>
      <c r="C469" s="7"/>
      <c r="D469" s="15"/>
      <c r="E469" s="199"/>
      <c r="F469" s="64"/>
      <c r="G469" s="199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spans="1:27">
      <c r="A470" s="15"/>
      <c r="B470" s="195"/>
      <c r="C470" s="7"/>
      <c r="D470" s="15"/>
      <c r="E470" s="199"/>
      <c r="F470" s="64"/>
      <c r="G470" s="199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spans="1:27">
      <c r="A471" s="15"/>
      <c r="B471" s="195"/>
      <c r="C471" s="7"/>
      <c r="D471" s="15"/>
      <c r="E471" s="199"/>
      <c r="F471" s="64"/>
      <c r="G471" s="199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spans="1:27">
      <c r="A472" s="15"/>
      <c r="B472" s="195"/>
      <c r="C472" s="7"/>
      <c r="D472" s="15"/>
      <c r="E472" s="199"/>
      <c r="F472" s="64"/>
      <c r="G472" s="199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spans="1:27">
      <c r="A473" s="15"/>
      <c r="B473" s="195"/>
      <c r="C473" s="7"/>
      <c r="D473" s="15"/>
      <c r="E473" s="199"/>
      <c r="F473" s="64"/>
      <c r="G473" s="199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spans="1:27">
      <c r="A474" s="15"/>
      <c r="B474" s="195"/>
      <c r="C474" s="7"/>
      <c r="D474" s="15"/>
      <c r="E474" s="199"/>
      <c r="F474" s="64"/>
      <c r="G474" s="199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spans="1:27">
      <c r="A475" s="15"/>
      <c r="B475" s="195"/>
      <c r="C475" s="7"/>
      <c r="D475" s="15"/>
      <c r="E475" s="199"/>
      <c r="F475" s="64"/>
      <c r="G475" s="199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spans="1:27">
      <c r="A476" s="15"/>
      <c r="B476" s="195"/>
      <c r="C476" s="7"/>
      <c r="D476" s="15"/>
      <c r="E476" s="199"/>
      <c r="F476" s="64"/>
      <c r="G476" s="199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spans="1:27">
      <c r="A477" s="15"/>
      <c r="B477" s="195"/>
      <c r="C477" s="7"/>
      <c r="D477" s="15"/>
      <c r="E477" s="199"/>
      <c r="F477" s="64"/>
      <c r="G477" s="199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spans="1:27">
      <c r="A478" s="15"/>
      <c r="B478" s="195"/>
      <c r="C478" s="7"/>
      <c r="D478" s="15"/>
      <c r="E478" s="199"/>
      <c r="F478" s="64"/>
      <c r="G478" s="199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spans="1:27">
      <c r="A479" s="15"/>
      <c r="B479" s="195"/>
      <c r="C479" s="7"/>
      <c r="D479" s="15"/>
      <c r="E479" s="199"/>
      <c r="F479" s="64"/>
      <c r="G479" s="199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spans="1:27">
      <c r="A480" s="15"/>
      <c r="B480" s="195"/>
      <c r="C480" s="7"/>
      <c r="D480" s="15"/>
      <c r="E480" s="199"/>
      <c r="F480" s="64"/>
      <c r="G480" s="199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spans="1:27">
      <c r="A481" s="15"/>
      <c r="B481" s="195"/>
      <c r="C481" s="7"/>
      <c r="D481" s="15"/>
      <c r="E481" s="199"/>
      <c r="F481" s="64"/>
      <c r="G481" s="199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spans="1:27">
      <c r="A482" s="15"/>
      <c r="B482" s="195"/>
      <c r="C482" s="7"/>
      <c r="D482" s="15"/>
      <c r="E482" s="199"/>
      <c r="F482" s="64"/>
      <c r="G482" s="199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spans="1:27">
      <c r="A483" s="15"/>
      <c r="B483" s="195"/>
      <c r="C483" s="7"/>
      <c r="D483" s="15"/>
      <c r="E483" s="199"/>
      <c r="F483" s="64"/>
      <c r="G483" s="199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spans="1:27">
      <c r="A484" s="15"/>
      <c r="B484" s="195"/>
      <c r="C484" s="7"/>
      <c r="D484" s="15"/>
      <c r="E484" s="199"/>
      <c r="F484" s="64"/>
      <c r="G484" s="199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spans="1:27">
      <c r="A485" s="15"/>
      <c r="B485" s="195"/>
      <c r="C485" s="7"/>
      <c r="D485" s="15"/>
      <c r="E485" s="199"/>
      <c r="F485" s="64"/>
      <c r="G485" s="199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spans="1:27">
      <c r="A486" s="15"/>
      <c r="B486" s="195"/>
      <c r="C486" s="7"/>
      <c r="D486" s="15"/>
      <c r="E486" s="199"/>
      <c r="F486" s="64"/>
      <c r="G486" s="199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spans="1:27">
      <c r="A487" s="15"/>
      <c r="B487" s="195"/>
      <c r="C487" s="7"/>
      <c r="D487" s="15"/>
      <c r="E487" s="199"/>
      <c r="F487" s="64"/>
      <c r="G487" s="199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spans="1:27">
      <c r="A488" s="15"/>
      <c r="B488" s="195"/>
      <c r="C488" s="7"/>
      <c r="D488" s="15"/>
      <c r="E488" s="199"/>
      <c r="F488" s="64"/>
      <c r="G488" s="199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spans="1:27">
      <c r="A489" s="15"/>
      <c r="B489" s="195"/>
      <c r="C489" s="7"/>
      <c r="D489" s="15"/>
      <c r="E489" s="199"/>
      <c r="F489" s="64"/>
      <c r="G489" s="199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spans="1:27">
      <c r="A490" s="15"/>
      <c r="B490" s="195"/>
      <c r="C490" s="7"/>
      <c r="D490" s="15"/>
      <c r="E490" s="199"/>
      <c r="F490" s="64"/>
      <c r="G490" s="199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spans="1:27">
      <c r="A491" s="15"/>
      <c r="B491" s="195"/>
      <c r="C491" s="7"/>
      <c r="D491" s="15"/>
      <c r="E491" s="199"/>
      <c r="F491" s="64"/>
      <c r="G491" s="199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spans="1:27">
      <c r="A492" s="15"/>
      <c r="B492" s="195"/>
      <c r="C492" s="7"/>
      <c r="D492" s="15"/>
      <c r="E492" s="199"/>
      <c r="F492" s="64"/>
      <c r="G492" s="199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spans="1:27">
      <c r="A493" s="15"/>
      <c r="B493" s="195"/>
      <c r="C493" s="7"/>
      <c r="D493" s="15"/>
      <c r="E493" s="199"/>
      <c r="F493" s="64"/>
      <c r="G493" s="199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spans="1:27">
      <c r="A494" s="15"/>
      <c r="B494" s="195"/>
      <c r="C494" s="7"/>
      <c r="D494" s="15"/>
      <c r="E494" s="199"/>
      <c r="F494" s="64"/>
      <c r="G494" s="199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spans="1:27">
      <c r="A495" s="15"/>
      <c r="B495" s="195"/>
      <c r="C495" s="7"/>
      <c r="D495" s="15"/>
      <c r="E495" s="199"/>
      <c r="F495" s="64"/>
      <c r="G495" s="199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spans="1:27">
      <c r="A496" s="15"/>
      <c r="B496" s="195"/>
      <c r="C496" s="7"/>
      <c r="D496" s="15"/>
      <c r="E496" s="199"/>
      <c r="F496" s="64"/>
      <c r="G496" s="199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spans="1:27">
      <c r="A497" s="15"/>
      <c r="B497" s="195"/>
      <c r="C497" s="7"/>
      <c r="D497" s="15"/>
      <c r="E497" s="199"/>
      <c r="F497" s="64"/>
      <c r="G497" s="199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spans="1:27">
      <c r="A498" s="15"/>
      <c r="B498" s="195"/>
      <c r="C498" s="7"/>
      <c r="D498" s="15"/>
      <c r="E498" s="199"/>
      <c r="F498" s="64"/>
      <c r="G498" s="199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spans="1:27">
      <c r="A499" s="15"/>
      <c r="B499" s="195"/>
      <c r="C499" s="7"/>
      <c r="D499" s="15"/>
      <c r="E499" s="199"/>
      <c r="F499" s="64"/>
      <c r="G499" s="199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spans="1:27">
      <c r="A500" s="15"/>
      <c r="B500" s="195"/>
      <c r="C500" s="7"/>
      <c r="D500" s="15"/>
      <c r="E500" s="199"/>
      <c r="F500" s="64"/>
      <c r="G500" s="199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spans="1:27">
      <c r="A501" s="15"/>
      <c r="B501" s="195"/>
      <c r="C501" s="7"/>
      <c r="D501" s="15"/>
      <c r="E501" s="199"/>
      <c r="F501" s="64"/>
      <c r="G501" s="199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spans="1:27">
      <c r="A502" s="15"/>
      <c r="B502" s="195"/>
      <c r="C502" s="7"/>
      <c r="D502" s="15"/>
      <c r="E502" s="199"/>
      <c r="F502" s="64"/>
      <c r="G502" s="199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spans="1:27">
      <c r="A503" s="15"/>
      <c r="B503" s="195"/>
      <c r="C503" s="7"/>
      <c r="D503" s="15"/>
      <c r="E503" s="199"/>
      <c r="F503" s="64"/>
      <c r="G503" s="199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spans="1:27">
      <c r="A504" s="15"/>
      <c r="B504" s="195"/>
      <c r="C504" s="7"/>
      <c r="D504" s="15"/>
      <c r="E504" s="199"/>
      <c r="F504" s="64"/>
      <c r="G504" s="199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spans="1:27">
      <c r="A505" s="15"/>
      <c r="B505" s="195"/>
      <c r="C505" s="7"/>
      <c r="D505" s="15"/>
      <c r="E505" s="199"/>
      <c r="F505" s="64"/>
      <c r="G505" s="199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spans="1:27">
      <c r="A506" s="15"/>
      <c r="B506" s="195"/>
      <c r="C506" s="7"/>
      <c r="D506" s="15"/>
      <c r="E506" s="199"/>
      <c r="F506" s="64"/>
      <c r="G506" s="199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spans="1:27">
      <c r="A507" s="15"/>
      <c r="B507" s="195"/>
      <c r="C507" s="7"/>
      <c r="D507" s="15"/>
      <c r="E507" s="199"/>
      <c r="F507" s="64"/>
      <c r="G507" s="199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spans="1:27">
      <c r="A508" s="15"/>
      <c r="B508" s="195"/>
      <c r="C508" s="7"/>
      <c r="D508" s="15"/>
      <c r="E508" s="199"/>
      <c r="F508" s="64"/>
      <c r="G508" s="199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spans="1:27">
      <c r="A509" s="15"/>
      <c r="B509" s="195"/>
      <c r="C509" s="7"/>
      <c r="D509" s="15"/>
      <c r="E509" s="199"/>
      <c r="F509" s="64"/>
      <c r="G509" s="199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spans="1:27">
      <c r="A510" s="15"/>
      <c r="B510" s="195"/>
      <c r="C510" s="7"/>
      <c r="D510" s="15"/>
      <c r="E510" s="199"/>
      <c r="F510" s="64"/>
      <c r="G510" s="199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spans="1:27">
      <c r="A511" s="15"/>
      <c r="B511" s="195"/>
      <c r="C511" s="7"/>
      <c r="D511" s="15"/>
      <c r="E511" s="199"/>
      <c r="F511" s="64"/>
      <c r="G511" s="199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spans="1:27">
      <c r="A512" s="15"/>
      <c r="B512" s="195"/>
      <c r="C512" s="7"/>
      <c r="D512" s="15"/>
      <c r="E512" s="199"/>
      <c r="F512" s="64"/>
      <c r="G512" s="199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spans="1:27">
      <c r="A513" s="15"/>
      <c r="B513" s="195"/>
      <c r="C513" s="7"/>
      <c r="D513" s="15"/>
      <c r="E513" s="199"/>
      <c r="F513" s="64"/>
      <c r="G513" s="199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spans="1:27">
      <c r="A514" s="15"/>
      <c r="B514" s="195"/>
      <c r="C514" s="7"/>
      <c r="D514" s="15"/>
      <c r="E514" s="199"/>
      <c r="F514" s="64"/>
      <c r="G514" s="199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spans="1:27">
      <c r="A515" s="15"/>
      <c r="B515" s="195"/>
      <c r="C515" s="7"/>
      <c r="D515" s="15"/>
      <c r="E515" s="199"/>
      <c r="F515" s="64"/>
      <c r="G515" s="199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spans="1:27">
      <c r="A516" s="15"/>
      <c r="B516" s="195"/>
      <c r="C516" s="7"/>
      <c r="D516" s="15"/>
      <c r="E516" s="199"/>
      <c r="F516" s="64"/>
      <c r="G516" s="199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spans="1:27">
      <c r="A517" s="15"/>
      <c r="B517" s="195"/>
      <c r="C517" s="7"/>
      <c r="D517" s="15"/>
      <c r="E517" s="199"/>
      <c r="F517" s="64"/>
      <c r="G517" s="199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spans="1:27">
      <c r="A518" s="15"/>
      <c r="B518" s="195"/>
      <c r="C518" s="7"/>
      <c r="D518" s="15"/>
      <c r="E518" s="199"/>
      <c r="F518" s="64"/>
      <c r="G518" s="199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spans="1:27">
      <c r="A519" s="15"/>
      <c r="B519" s="195"/>
      <c r="C519" s="7"/>
      <c r="D519" s="15"/>
      <c r="E519" s="199"/>
      <c r="F519" s="64"/>
      <c r="G519" s="199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spans="1:27">
      <c r="A520" s="15"/>
      <c r="B520" s="195"/>
      <c r="C520" s="7"/>
      <c r="D520" s="15"/>
      <c r="E520" s="199"/>
      <c r="F520" s="64"/>
      <c r="G520" s="199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spans="1:27">
      <c r="A521" s="15"/>
      <c r="B521" s="195"/>
      <c r="C521" s="7"/>
      <c r="D521" s="15"/>
      <c r="E521" s="199"/>
      <c r="F521" s="64"/>
      <c r="G521" s="199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spans="1:27">
      <c r="A522" s="15"/>
      <c r="B522" s="195"/>
      <c r="C522" s="7"/>
      <c r="D522" s="15"/>
      <c r="E522" s="199"/>
      <c r="F522" s="64"/>
      <c r="G522" s="199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spans="1:27">
      <c r="A523" s="15"/>
      <c r="B523" s="195"/>
      <c r="C523" s="7"/>
      <c r="D523" s="15"/>
      <c r="E523" s="199"/>
      <c r="F523" s="64"/>
      <c r="G523" s="199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spans="1:27">
      <c r="A524" s="15"/>
      <c r="B524" s="195"/>
      <c r="C524" s="7"/>
      <c r="D524" s="15"/>
      <c r="E524" s="199"/>
      <c r="F524" s="64"/>
      <c r="G524" s="199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spans="1:27">
      <c r="A525" s="15"/>
      <c r="B525" s="195"/>
      <c r="C525" s="7"/>
      <c r="D525" s="15"/>
      <c r="E525" s="199"/>
      <c r="F525" s="64"/>
      <c r="G525" s="199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spans="1:27">
      <c r="A526" s="15"/>
      <c r="B526" s="195"/>
      <c r="C526" s="7"/>
      <c r="D526" s="15"/>
      <c r="E526" s="199"/>
      <c r="F526" s="64"/>
      <c r="G526" s="199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spans="1:27">
      <c r="A527" s="15"/>
      <c r="B527" s="195"/>
      <c r="C527" s="7"/>
      <c r="D527" s="15"/>
      <c r="E527" s="199"/>
      <c r="F527" s="64"/>
      <c r="G527" s="199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spans="1:27">
      <c r="A528" s="15"/>
      <c r="B528" s="195"/>
      <c r="C528" s="7"/>
      <c r="D528" s="15"/>
      <c r="E528" s="199"/>
      <c r="F528" s="64"/>
      <c r="G528" s="199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spans="1:27">
      <c r="A529" s="15"/>
      <c r="B529" s="195"/>
      <c r="C529" s="7"/>
      <c r="D529" s="15"/>
      <c r="E529" s="199"/>
      <c r="F529" s="64"/>
      <c r="G529" s="199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spans="1:27">
      <c r="A530" s="15"/>
      <c r="B530" s="195"/>
      <c r="C530" s="7"/>
      <c r="D530" s="15"/>
      <c r="E530" s="199"/>
      <c r="F530" s="64"/>
      <c r="G530" s="199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spans="1:27">
      <c r="A531" s="15"/>
      <c r="B531" s="195"/>
      <c r="C531" s="7"/>
      <c r="D531" s="15"/>
      <c r="E531" s="199"/>
      <c r="F531" s="64"/>
      <c r="G531" s="199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spans="1:27">
      <c r="A532" s="15"/>
      <c r="B532" s="195"/>
      <c r="C532" s="7"/>
      <c r="D532" s="15"/>
      <c r="E532" s="199"/>
      <c r="F532" s="64"/>
      <c r="G532" s="199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spans="1:27">
      <c r="A533" s="15"/>
      <c r="B533" s="195"/>
      <c r="C533" s="7"/>
      <c r="D533" s="15"/>
      <c r="E533" s="199"/>
      <c r="F533" s="64"/>
      <c r="G533" s="199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spans="1:27">
      <c r="A534" s="15"/>
      <c r="B534" s="195"/>
      <c r="C534" s="7"/>
      <c r="D534" s="15"/>
      <c r="E534" s="199"/>
      <c r="F534" s="64"/>
      <c r="G534" s="199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spans="1:27">
      <c r="A535" s="15"/>
      <c r="B535" s="195"/>
      <c r="C535" s="7"/>
      <c r="D535" s="15"/>
      <c r="E535" s="199"/>
      <c r="F535" s="64"/>
      <c r="G535" s="199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spans="1:27">
      <c r="A536" s="15"/>
      <c r="B536" s="195"/>
      <c r="C536" s="7"/>
      <c r="D536" s="15"/>
      <c r="E536" s="199"/>
      <c r="F536" s="64"/>
      <c r="G536" s="199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spans="1:27">
      <c r="A537" s="15"/>
      <c r="B537" s="195"/>
      <c r="C537" s="7"/>
      <c r="D537" s="15"/>
      <c r="E537" s="199"/>
      <c r="F537" s="64"/>
      <c r="G537" s="199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spans="1:27">
      <c r="A538" s="15"/>
      <c r="B538" s="195"/>
      <c r="C538" s="7"/>
      <c r="D538" s="15"/>
      <c r="E538" s="199"/>
      <c r="F538" s="64"/>
      <c r="G538" s="199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spans="1:27">
      <c r="A539" s="15"/>
      <c r="B539" s="195"/>
      <c r="C539" s="7"/>
      <c r="D539" s="15"/>
      <c r="E539" s="199"/>
      <c r="F539" s="64"/>
      <c r="G539" s="199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spans="1:27">
      <c r="A540" s="15"/>
      <c r="B540" s="195"/>
      <c r="C540" s="7"/>
      <c r="D540" s="15"/>
      <c r="E540" s="199"/>
      <c r="F540" s="64"/>
      <c r="G540" s="199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spans="1:27">
      <c r="A541" s="15"/>
      <c r="B541" s="195"/>
      <c r="C541" s="7"/>
      <c r="D541" s="15"/>
      <c r="E541" s="199"/>
      <c r="F541" s="64"/>
      <c r="G541" s="199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spans="1:27">
      <c r="A542" s="15"/>
      <c r="B542" s="195"/>
      <c r="C542" s="7"/>
      <c r="D542" s="15"/>
      <c r="E542" s="199"/>
      <c r="F542" s="64"/>
      <c r="G542" s="199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spans="1:27">
      <c r="A543" s="15"/>
      <c r="B543" s="195"/>
      <c r="C543" s="7"/>
      <c r="D543" s="15"/>
      <c r="E543" s="199"/>
      <c r="F543" s="64"/>
      <c r="G543" s="199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spans="1:27">
      <c r="A544" s="15"/>
      <c r="B544" s="195"/>
      <c r="C544" s="7"/>
      <c r="D544" s="15"/>
      <c r="E544" s="199"/>
      <c r="F544" s="64"/>
      <c r="G544" s="199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spans="1:27">
      <c r="A545" s="15"/>
      <c r="B545" s="195"/>
      <c r="C545" s="7"/>
      <c r="D545" s="15"/>
      <c r="E545" s="199"/>
      <c r="F545" s="64"/>
      <c r="G545" s="199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spans="1:27">
      <c r="A546" s="15"/>
      <c r="B546" s="195"/>
      <c r="C546" s="7"/>
      <c r="D546" s="15"/>
      <c r="E546" s="199"/>
      <c r="F546" s="64"/>
      <c r="G546" s="199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spans="1:27">
      <c r="A547" s="15"/>
      <c r="B547" s="195"/>
      <c r="C547" s="7"/>
      <c r="D547" s="15"/>
      <c r="E547" s="199"/>
      <c r="F547" s="64"/>
      <c r="G547" s="199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spans="1:27">
      <c r="A548" s="15"/>
      <c r="B548" s="195"/>
      <c r="C548" s="7"/>
      <c r="D548" s="15"/>
      <c r="E548" s="199"/>
      <c r="F548" s="64"/>
      <c r="G548" s="199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spans="1:27">
      <c r="A549" s="15"/>
      <c r="B549" s="195"/>
      <c r="C549" s="7"/>
      <c r="D549" s="15"/>
      <c r="E549" s="199"/>
      <c r="F549" s="64"/>
      <c r="G549" s="199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spans="1:27">
      <c r="A550" s="15"/>
      <c r="B550" s="195"/>
      <c r="C550" s="7"/>
      <c r="D550" s="15"/>
      <c r="E550" s="199"/>
      <c r="F550" s="64"/>
      <c r="G550" s="199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spans="1:27">
      <c r="A551" s="15"/>
      <c r="B551" s="195"/>
      <c r="C551" s="7"/>
      <c r="D551" s="15"/>
      <c r="E551" s="199"/>
      <c r="F551" s="64"/>
      <c r="G551" s="199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spans="1:27">
      <c r="A552" s="15"/>
      <c r="B552" s="195"/>
      <c r="C552" s="7"/>
      <c r="D552" s="15"/>
      <c r="E552" s="199"/>
      <c r="F552" s="64"/>
      <c r="G552" s="199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spans="1:27">
      <c r="A553" s="15"/>
      <c r="B553" s="195"/>
      <c r="C553" s="7"/>
      <c r="D553" s="15"/>
      <c r="E553" s="199"/>
      <c r="F553" s="64"/>
      <c r="G553" s="199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spans="1:27">
      <c r="A554" s="15"/>
      <c r="B554" s="195"/>
      <c r="C554" s="7"/>
      <c r="D554" s="15"/>
      <c r="E554" s="199"/>
      <c r="F554" s="64"/>
      <c r="G554" s="199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spans="1:27">
      <c r="A555" s="15"/>
      <c r="B555" s="195"/>
      <c r="C555" s="7"/>
      <c r="D555" s="15"/>
      <c r="E555" s="199"/>
      <c r="F555" s="64"/>
      <c r="G555" s="199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spans="1:27">
      <c r="A556" s="15"/>
      <c r="B556" s="195"/>
      <c r="C556" s="7"/>
      <c r="D556" s="15"/>
      <c r="E556" s="199"/>
      <c r="F556" s="64"/>
      <c r="G556" s="199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spans="1:27">
      <c r="A557" s="15"/>
      <c r="B557" s="195"/>
      <c r="C557" s="7"/>
      <c r="D557" s="15"/>
      <c r="E557" s="199"/>
      <c r="F557" s="64"/>
      <c r="G557" s="199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spans="1:27">
      <c r="A558" s="15"/>
      <c r="B558" s="195"/>
      <c r="C558" s="7"/>
      <c r="D558" s="15"/>
      <c r="E558" s="199"/>
      <c r="F558" s="64"/>
      <c r="G558" s="199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spans="1:27">
      <c r="A559" s="15"/>
      <c r="B559" s="195"/>
      <c r="C559" s="7"/>
      <c r="D559" s="15"/>
      <c r="E559" s="199"/>
      <c r="F559" s="64"/>
      <c r="G559" s="199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spans="1:27">
      <c r="A560" s="15"/>
      <c r="B560" s="195"/>
      <c r="C560" s="7"/>
      <c r="D560" s="15"/>
      <c r="E560" s="199"/>
      <c r="F560" s="64"/>
      <c r="G560" s="199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spans="1:27">
      <c r="A561" s="15"/>
      <c r="B561" s="195"/>
      <c r="C561" s="7"/>
      <c r="D561" s="15"/>
      <c r="E561" s="199"/>
      <c r="F561" s="64"/>
      <c r="G561" s="199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spans="1:27">
      <c r="A562" s="15"/>
      <c r="B562" s="195"/>
      <c r="C562" s="7"/>
      <c r="D562" s="15"/>
      <c r="E562" s="199"/>
      <c r="F562" s="64"/>
      <c r="G562" s="199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spans="1:27">
      <c r="A563" s="15"/>
      <c r="B563" s="195"/>
      <c r="C563" s="7"/>
      <c r="D563" s="15"/>
      <c r="E563" s="199"/>
      <c r="F563" s="64"/>
      <c r="G563" s="199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spans="1:27">
      <c r="A564" s="15"/>
      <c r="B564" s="195"/>
      <c r="C564" s="7"/>
      <c r="D564" s="15"/>
      <c r="E564" s="199"/>
      <c r="F564" s="64"/>
      <c r="G564" s="199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spans="1:27">
      <c r="A565" s="15"/>
      <c r="B565" s="195"/>
      <c r="C565" s="7"/>
      <c r="D565" s="15"/>
      <c r="E565" s="199"/>
      <c r="F565" s="64"/>
      <c r="G565" s="199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spans="1:27">
      <c r="A566" s="15"/>
      <c r="B566" s="195"/>
      <c r="C566" s="7"/>
      <c r="D566" s="15"/>
      <c r="E566" s="199"/>
      <c r="F566" s="64"/>
      <c r="G566" s="199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spans="1:27">
      <c r="A567" s="15"/>
      <c r="B567" s="195"/>
      <c r="C567" s="7"/>
      <c r="D567" s="15"/>
      <c r="E567" s="199"/>
      <c r="F567" s="64"/>
      <c r="G567" s="199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spans="1:27">
      <c r="A568" s="15"/>
      <c r="B568" s="195"/>
      <c r="C568" s="7"/>
      <c r="D568" s="15"/>
      <c r="E568" s="199"/>
      <c r="F568" s="64"/>
      <c r="G568" s="199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spans="1:27">
      <c r="A569" s="15"/>
      <c r="B569" s="195"/>
      <c r="C569" s="7"/>
      <c r="D569" s="15"/>
      <c r="E569" s="199"/>
      <c r="F569" s="64"/>
      <c r="G569" s="199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spans="1:27">
      <c r="A570" s="15"/>
      <c r="B570" s="195"/>
      <c r="C570" s="7"/>
      <c r="D570" s="15"/>
      <c r="E570" s="199"/>
      <c r="F570" s="64"/>
      <c r="G570" s="199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 spans="1:27">
      <c r="A571" s="15"/>
      <c r="B571" s="195"/>
      <c r="C571" s="7"/>
      <c r="D571" s="15"/>
      <c r="E571" s="199"/>
      <c r="F571" s="64"/>
      <c r="G571" s="199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 spans="1:27">
      <c r="A572" s="15"/>
      <c r="B572" s="195"/>
      <c r="C572" s="7"/>
      <c r="D572" s="15"/>
      <c r="E572" s="199"/>
      <c r="F572" s="64"/>
      <c r="G572" s="199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 spans="1:27">
      <c r="A573" s="15"/>
      <c r="B573" s="195"/>
      <c r="C573" s="7"/>
      <c r="D573" s="15"/>
      <c r="E573" s="199"/>
      <c r="F573" s="64"/>
      <c r="G573" s="199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spans="1:27">
      <c r="A574" s="15"/>
      <c r="B574" s="195"/>
      <c r="C574" s="7"/>
      <c r="D574" s="15"/>
      <c r="E574" s="199"/>
      <c r="F574" s="64"/>
      <c r="G574" s="199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spans="1:27">
      <c r="A575" s="15"/>
      <c r="B575" s="195"/>
      <c r="C575" s="7"/>
      <c r="D575" s="15"/>
      <c r="E575" s="199"/>
      <c r="F575" s="64"/>
      <c r="G575" s="199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spans="1:27">
      <c r="A576" s="15"/>
      <c r="B576" s="195"/>
      <c r="C576" s="7"/>
      <c r="D576" s="15"/>
      <c r="E576" s="199"/>
      <c r="F576" s="64"/>
      <c r="G576" s="199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spans="1:27">
      <c r="A577" s="15"/>
      <c r="B577" s="195"/>
      <c r="C577" s="7"/>
      <c r="D577" s="15"/>
      <c r="E577" s="199"/>
      <c r="F577" s="64"/>
      <c r="G577" s="199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spans="1:27">
      <c r="A578" s="15"/>
      <c r="B578" s="195"/>
      <c r="C578" s="7"/>
      <c r="D578" s="15"/>
      <c r="E578" s="199"/>
      <c r="F578" s="64"/>
      <c r="G578" s="199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spans="1:27">
      <c r="A579" s="15"/>
      <c r="B579" s="195"/>
      <c r="C579" s="7"/>
      <c r="D579" s="15"/>
      <c r="E579" s="199"/>
      <c r="F579" s="64"/>
      <c r="G579" s="199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spans="1:27">
      <c r="A580" s="15"/>
      <c r="B580" s="195"/>
      <c r="C580" s="7"/>
      <c r="D580" s="15"/>
      <c r="E580" s="199"/>
      <c r="F580" s="64"/>
      <c r="G580" s="199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spans="1:27">
      <c r="A581" s="15"/>
      <c r="B581" s="195"/>
      <c r="C581" s="7"/>
      <c r="D581" s="15"/>
      <c r="E581" s="199"/>
      <c r="F581" s="64"/>
      <c r="G581" s="199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spans="1:27">
      <c r="A582" s="15"/>
      <c r="B582" s="195"/>
      <c r="C582" s="7"/>
      <c r="D582" s="15"/>
      <c r="E582" s="199"/>
      <c r="F582" s="64"/>
      <c r="G582" s="199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spans="1:27">
      <c r="A583" s="15"/>
      <c r="B583" s="195"/>
      <c r="C583" s="7"/>
      <c r="D583" s="15"/>
      <c r="E583" s="199"/>
      <c r="F583" s="64"/>
      <c r="G583" s="199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spans="1:27">
      <c r="A584" s="15"/>
      <c r="B584" s="195"/>
      <c r="C584" s="7"/>
      <c r="D584" s="15"/>
      <c r="E584" s="199"/>
      <c r="F584" s="64"/>
      <c r="G584" s="199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 spans="1:27">
      <c r="A585" s="15"/>
      <c r="B585" s="195"/>
      <c r="C585" s="7"/>
      <c r="D585" s="15"/>
      <c r="E585" s="199"/>
      <c r="F585" s="64"/>
      <c r="G585" s="199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 spans="1:27">
      <c r="A586" s="15"/>
      <c r="B586" s="195"/>
      <c r="C586" s="7"/>
      <c r="D586" s="15"/>
      <c r="E586" s="199"/>
      <c r="F586" s="64"/>
      <c r="G586" s="199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 spans="1:27">
      <c r="A587" s="15"/>
      <c r="B587" s="195"/>
      <c r="C587" s="7"/>
      <c r="D587" s="15"/>
      <c r="E587" s="199"/>
      <c r="F587" s="64"/>
      <c r="G587" s="199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 spans="1:27">
      <c r="A588" s="15"/>
      <c r="B588" s="195"/>
      <c r="C588" s="7"/>
      <c r="D588" s="15"/>
      <c r="E588" s="199"/>
      <c r="F588" s="64"/>
      <c r="G588" s="199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 spans="1:27">
      <c r="A589" s="15"/>
      <c r="B589" s="195"/>
      <c r="C589" s="7"/>
      <c r="D589" s="15"/>
      <c r="E589" s="199"/>
      <c r="F589" s="64"/>
      <c r="G589" s="199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spans="1:27">
      <c r="A590" s="15"/>
      <c r="B590" s="195"/>
      <c r="C590" s="7"/>
      <c r="D590" s="15"/>
      <c r="E590" s="199"/>
      <c r="F590" s="64"/>
      <c r="G590" s="199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spans="1:27">
      <c r="A591" s="15"/>
      <c r="B591" s="195"/>
      <c r="C591" s="7"/>
      <c r="D591" s="15"/>
      <c r="E591" s="199"/>
      <c r="F591" s="64"/>
      <c r="G591" s="199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spans="1:27">
      <c r="A592" s="15"/>
      <c r="B592" s="195"/>
      <c r="C592" s="7"/>
      <c r="D592" s="15"/>
      <c r="E592" s="199"/>
      <c r="F592" s="64"/>
      <c r="G592" s="199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spans="1:27">
      <c r="A593" s="15"/>
      <c r="B593" s="195"/>
      <c r="C593" s="7"/>
      <c r="D593" s="15"/>
      <c r="E593" s="199"/>
      <c r="F593" s="64"/>
      <c r="G593" s="199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spans="1:27">
      <c r="A594" s="15"/>
      <c r="B594" s="195"/>
      <c r="C594" s="7"/>
      <c r="D594" s="15"/>
      <c r="E594" s="199"/>
      <c r="F594" s="64"/>
      <c r="G594" s="199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spans="1:27">
      <c r="A595" s="15"/>
      <c r="B595" s="195"/>
      <c r="C595" s="7"/>
      <c r="D595" s="15"/>
      <c r="E595" s="199"/>
      <c r="F595" s="64"/>
      <c r="G595" s="199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spans="1:27">
      <c r="A596" s="15"/>
      <c r="B596" s="195"/>
      <c r="C596" s="7"/>
      <c r="D596" s="15"/>
      <c r="E596" s="199"/>
      <c r="F596" s="64"/>
      <c r="G596" s="199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spans="1:27">
      <c r="A597" s="15"/>
      <c r="B597" s="195"/>
      <c r="C597" s="7"/>
      <c r="D597" s="15"/>
      <c r="E597" s="199"/>
      <c r="F597" s="64"/>
      <c r="G597" s="199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spans="1:27">
      <c r="A598" s="15"/>
      <c r="B598" s="195"/>
      <c r="C598" s="7"/>
      <c r="D598" s="15"/>
      <c r="E598" s="199"/>
      <c r="F598" s="64"/>
      <c r="G598" s="199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spans="1:27">
      <c r="A599" s="15"/>
      <c r="B599" s="195"/>
      <c r="C599" s="7"/>
      <c r="D599" s="15"/>
      <c r="E599" s="199"/>
      <c r="F599" s="64"/>
      <c r="G599" s="199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spans="1:27">
      <c r="A600" s="15"/>
      <c r="B600" s="195"/>
      <c r="C600" s="7"/>
      <c r="D600" s="15"/>
      <c r="E600" s="199"/>
      <c r="F600" s="64"/>
      <c r="G600" s="199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spans="1:27">
      <c r="A601" s="15"/>
      <c r="B601" s="195"/>
      <c r="C601" s="7"/>
      <c r="D601" s="15"/>
      <c r="E601" s="199"/>
      <c r="F601" s="64"/>
      <c r="G601" s="199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spans="1:27">
      <c r="A602" s="15"/>
      <c r="B602" s="195"/>
      <c r="C602" s="7"/>
      <c r="D602" s="15"/>
      <c r="E602" s="199"/>
      <c r="F602" s="64"/>
      <c r="G602" s="199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spans="1:27">
      <c r="A603" s="15"/>
      <c r="B603" s="195"/>
      <c r="C603" s="7"/>
      <c r="D603" s="15"/>
      <c r="E603" s="199"/>
      <c r="F603" s="64"/>
      <c r="G603" s="199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spans="1:27">
      <c r="A604" s="15"/>
      <c r="B604" s="195"/>
      <c r="C604" s="7"/>
      <c r="D604" s="15"/>
      <c r="E604" s="199"/>
      <c r="F604" s="64"/>
      <c r="G604" s="199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spans="1:27">
      <c r="A605" s="15"/>
      <c r="B605" s="195"/>
      <c r="C605" s="7"/>
      <c r="D605" s="15"/>
      <c r="E605" s="199"/>
      <c r="F605" s="64"/>
      <c r="G605" s="199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spans="1:27">
      <c r="A606" s="15"/>
      <c r="B606" s="195"/>
      <c r="C606" s="7"/>
      <c r="D606" s="15"/>
      <c r="E606" s="199"/>
      <c r="F606" s="64"/>
      <c r="G606" s="199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spans="1:27">
      <c r="A607" s="15"/>
      <c r="B607" s="195"/>
      <c r="C607" s="7"/>
      <c r="D607" s="15"/>
      <c r="E607" s="199"/>
      <c r="F607" s="64"/>
      <c r="G607" s="199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spans="1:27">
      <c r="A608" s="15"/>
      <c r="B608" s="195"/>
      <c r="C608" s="7"/>
      <c r="D608" s="15"/>
      <c r="E608" s="199"/>
      <c r="F608" s="64"/>
      <c r="G608" s="199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spans="1:27">
      <c r="A609" s="15"/>
      <c r="B609" s="195"/>
      <c r="C609" s="7"/>
      <c r="D609" s="15"/>
      <c r="E609" s="199"/>
      <c r="F609" s="64"/>
      <c r="G609" s="199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spans="1:27">
      <c r="A610" s="15"/>
      <c r="B610" s="195"/>
      <c r="C610" s="7"/>
      <c r="D610" s="15"/>
      <c r="E610" s="199"/>
      <c r="F610" s="64"/>
      <c r="G610" s="199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spans="1:27">
      <c r="A611" s="15"/>
      <c r="B611" s="195"/>
      <c r="C611" s="7"/>
      <c r="D611" s="15"/>
      <c r="E611" s="199"/>
      <c r="F611" s="64"/>
      <c r="G611" s="199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spans="1:27">
      <c r="A612" s="15"/>
      <c r="B612" s="195"/>
      <c r="C612" s="7"/>
      <c r="D612" s="15"/>
      <c r="E612" s="199"/>
      <c r="F612" s="64"/>
      <c r="G612" s="199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spans="1:27">
      <c r="A613" s="15"/>
      <c r="B613" s="195"/>
      <c r="C613" s="7"/>
      <c r="D613" s="15"/>
      <c r="E613" s="199"/>
      <c r="F613" s="64"/>
      <c r="G613" s="199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spans="1:27">
      <c r="A614" s="15"/>
      <c r="B614" s="195"/>
      <c r="C614" s="7"/>
      <c r="D614" s="15"/>
      <c r="E614" s="199"/>
      <c r="F614" s="64"/>
      <c r="G614" s="199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spans="1:27">
      <c r="A615" s="15"/>
      <c r="B615" s="195"/>
      <c r="C615" s="7"/>
      <c r="D615" s="15"/>
      <c r="E615" s="199"/>
      <c r="F615" s="64"/>
      <c r="G615" s="199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spans="1:27">
      <c r="A616" s="15"/>
      <c r="B616" s="195"/>
      <c r="C616" s="7"/>
      <c r="D616" s="15"/>
      <c r="E616" s="199"/>
      <c r="F616" s="64"/>
      <c r="G616" s="199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spans="1:27">
      <c r="A617" s="15"/>
      <c r="B617" s="195"/>
      <c r="C617" s="7"/>
      <c r="D617" s="15"/>
      <c r="E617" s="199"/>
      <c r="F617" s="64"/>
      <c r="G617" s="199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spans="1:27">
      <c r="A618" s="15"/>
      <c r="B618" s="195"/>
      <c r="C618" s="7"/>
      <c r="D618" s="15"/>
      <c r="E618" s="199"/>
      <c r="F618" s="64"/>
      <c r="G618" s="199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spans="1:27">
      <c r="A619" s="15"/>
      <c r="B619" s="195"/>
      <c r="C619" s="7"/>
      <c r="D619" s="15"/>
      <c r="E619" s="199"/>
      <c r="F619" s="64"/>
      <c r="G619" s="199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spans="1:27">
      <c r="A620" s="15"/>
      <c r="B620" s="195"/>
      <c r="C620" s="7"/>
      <c r="D620" s="15"/>
      <c r="E620" s="199"/>
      <c r="F620" s="64"/>
      <c r="G620" s="199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spans="1:27">
      <c r="A621" s="15"/>
      <c r="B621" s="195"/>
      <c r="C621" s="7"/>
      <c r="D621" s="15"/>
      <c r="E621" s="199"/>
      <c r="F621" s="64"/>
      <c r="G621" s="199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spans="1:27">
      <c r="A622" s="15"/>
      <c r="B622" s="195"/>
      <c r="C622" s="7"/>
      <c r="D622" s="15"/>
      <c r="E622" s="199"/>
      <c r="F622" s="64"/>
      <c r="G622" s="199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spans="1:27">
      <c r="A623" s="15"/>
      <c r="B623" s="195"/>
      <c r="C623" s="7"/>
      <c r="D623" s="15"/>
      <c r="E623" s="199"/>
      <c r="F623" s="64"/>
      <c r="G623" s="199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spans="1:27">
      <c r="A624" s="15"/>
      <c r="B624" s="195"/>
      <c r="C624" s="7"/>
      <c r="D624" s="15"/>
      <c r="E624" s="199"/>
      <c r="F624" s="64"/>
      <c r="G624" s="199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spans="1:27">
      <c r="A625" s="15"/>
      <c r="B625" s="195"/>
      <c r="C625" s="7"/>
      <c r="D625" s="15"/>
      <c r="E625" s="199"/>
      <c r="F625" s="64"/>
      <c r="G625" s="199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spans="1:27">
      <c r="A626" s="15"/>
      <c r="B626" s="195"/>
      <c r="C626" s="7"/>
      <c r="D626" s="15"/>
      <c r="E626" s="199"/>
      <c r="F626" s="64"/>
      <c r="G626" s="199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spans="1:27">
      <c r="A627" s="15"/>
      <c r="B627" s="195"/>
      <c r="C627" s="7"/>
      <c r="D627" s="15"/>
      <c r="E627" s="199"/>
      <c r="F627" s="64"/>
      <c r="G627" s="199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spans="1:27">
      <c r="A628" s="15"/>
      <c r="B628" s="195"/>
      <c r="C628" s="7"/>
      <c r="D628" s="15"/>
      <c r="E628" s="199"/>
      <c r="F628" s="64"/>
      <c r="G628" s="199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spans="1:27">
      <c r="A629" s="15"/>
      <c r="B629" s="195"/>
      <c r="C629" s="7"/>
      <c r="D629" s="15"/>
      <c r="E629" s="199"/>
      <c r="F629" s="64"/>
      <c r="G629" s="199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spans="1:27">
      <c r="A630" s="15"/>
      <c r="B630" s="195"/>
      <c r="C630" s="7"/>
      <c r="D630" s="15"/>
      <c r="E630" s="199"/>
      <c r="F630" s="64"/>
      <c r="G630" s="199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spans="1:27">
      <c r="A631" s="15"/>
      <c r="B631" s="195"/>
      <c r="C631" s="7"/>
      <c r="D631" s="15"/>
      <c r="E631" s="199"/>
      <c r="F631" s="64"/>
      <c r="G631" s="199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spans="1:27">
      <c r="A632" s="15"/>
      <c r="B632" s="195"/>
      <c r="C632" s="7"/>
      <c r="D632" s="15"/>
      <c r="E632" s="199"/>
      <c r="F632" s="64"/>
      <c r="G632" s="199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spans="1:27">
      <c r="A633" s="15"/>
      <c r="B633" s="195"/>
      <c r="C633" s="7"/>
      <c r="D633" s="15"/>
      <c r="E633" s="199"/>
      <c r="F633" s="64"/>
      <c r="G633" s="199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spans="1:27">
      <c r="A634" s="15"/>
      <c r="B634" s="195"/>
      <c r="C634" s="7"/>
      <c r="D634" s="15"/>
      <c r="E634" s="199"/>
      <c r="F634" s="64"/>
      <c r="G634" s="199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spans="1:27">
      <c r="A635" s="15"/>
      <c r="B635" s="195"/>
      <c r="C635" s="7"/>
      <c r="D635" s="15"/>
      <c r="E635" s="199"/>
      <c r="F635" s="64"/>
      <c r="G635" s="199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spans="1:27">
      <c r="A636" s="15"/>
      <c r="B636" s="195"/>
      <c r="C636" s="7"/>
      <c r="D636" s="15"/>
      <c r="E636" s="199"/>
      <c r="F636" s="64"/>
      <c r="G636" s="199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spans="1:27">
      <c r="A637" s="15"/>
      <c r="B637" s="195"/>
      <c r="C637" s="7"/>
      <c r="D637" s="15"/>
      <c r="E637" s="199"/>
      <c r="F637" s="64"/>
      <c r="G637" s="199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spans="1:27">
      <c r="A638" s="15"/>
      <c r="B638" s="195"/>
      <c r="C638" s="7"/>
      <c r="D638" s="15"/>
      <c r="E638" s="199"/>
      <c r="F638" s="64"/>
      <c r="G638" s="199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spans="1:27">
      <c r="A639" s="15"/>
      <c r="B639" s="195"/>
      <c r="C639" s="7"/>
      <c r="D639" s="15"/>
      <c r="E639" s="199"/>
      <c r="F639" s="64"/>
      <c r="G639" s="199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spans="1:27">
      <c r="A640" s="15"/>
      <c r="B640" s="195"/>
      <c r="C640" s="7"/>
      <c r="D640" s="15"/>
      <c r="E640" s="199"/>
      <c r="F640" s="64"/>
      <c r="G640" s="199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spans="1:27">
      <c r="A641" s="15"/>
      <c r="B641" s="195"/>
      <c r="C641" s="7"/>
      <c r="D641" s="15"/>
      <c r="E641" s="199"/>
      <c r="F641" s="64"/>
      <c r="G641" s="199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spans="1:27">
      <c r="A642" s="15"/>
      <c r="B642" s="195"/>
      <c r="C642" s="7"/>
      <c r="D642" s="15"/>
      <c r="E642" s="199"/>
      <c r="F642" s="64"/>
      <c r="G642" s="199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spans="1:27">
      <c r="A643" s="15"/>
      <c r="B643" s="195"/>
      <c r="C643" s="7"/>
      <c r="D643" s="15"/>
      <c r="E643" s="199"/>
      <c r="F643" s="64"/>
      <c r="G643" s="199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spans="1:27">
      <c r="A644" s="15"/>
      <c r="B644" s="195"/>
      <c r="C644" s="7"/>
      <c r="D644" s="15"/>
      <c r="E644" s="199"/>
      <c r="F644" s="64"/>
      <c r="G644" s="199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spans="1:27">
      <c r="A645" s="15"/>
      <c r="B645" s="195"/>
      <c r="C645" s="7"/>
      <c r="D645" s="15"/>
      <c r="E645" s="199"/>
      <c r="F645" s="64"/>
      <c r="G645" s="199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spans="1:27">
      <c r="A646" s="15"/>
      <c r="B646" s="195"/>
      <c r="C646" s="7"/>
      <c r="D646" s="15"/>
      <c r="E646" s="199"/>
      <c r="F646" s="64"/>
      <c r="G646" s="199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spans="1:27">
      <c r="A647" s="15"/>
      <c r="B647" s="195"/>
      <c r="C647" s="7"/>
      <c r="D647" s="15"/>
      <c r="E647" s="199"/>
      <c r="F647" s="64"/>
      <c r="G647" s="199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spans="1:27">
      <c r="A648" s="15"/>
      <c r="B648" s="195"/>
      <c r="C648" s="7"/>
      <c r="D648" s="15"/>
      <c r="E648" s="199"/>
      <c r="F648" s="64"/>
      <c r="G648" s="199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spans="1:27">
      <c r="A649" s="15"/>
      <c r="B649" s="195"/>
      <c r="C649" s="7"/>
      <c r="D649" s="15"/>
      <c r="E649" s="199"/>
      <c r="F649" s="64"/>
      <c r="G649" s="199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spans="1:27">
      <c r="A650" s="15"/>
      <c r="B650" s="195"/>
      <c r="C650" s="7"/>
      <c r="D650" s="15"/>
      <c r="E650" s="199"/>
      <c r="F650" s="64"/>
      <c r="G650" s="199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spans="1:27">
      <c r="A651" s="15"/>
      <c r="B651" s="195"/>
      <c r="C651" s="7"/>
      <c r="D651" s="15"/>
      <c r="E651" s="199"/>
      <c r="F651" s="64"/>
      <c r="G651" s="199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spans="1:27">
      <c r="A652" s="15"/>
      <c r="B652" s="195"/>
      <c r="C652" s="7"/>
      <c r="D652" s="15"/>
      <c r="E652" s="199"/>
      <c r="F652" s="64"/>
      <c r="G652" s="199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spans="1:27">
      <c r="A653" s="15"/>
      <c r="B653" s="195"/>
      <c r="C653" s="7"/>
      <c r="D653" s="15"/>
      <c r="E653" s="199"/>
      <c r="F653" s="64"/>
      <c r="G653" s="199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spans="1:27">
      <c r="A654" s="15"/>
      <c r="B654" s="195"/>
      <c r="C654" s="7"/>
      <c r="D654" s="15"/>
      <c r="E654" s="199"/>
      <c r="F654" s="64"/>
      <c r="G654" s="199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spans="1:27">
      <c r="A655" s="15"/>
      <c r="B655" s="195"/>
      <c r="C655" s="7"/>
      <c r="D655" s="15"/>
      <c r="E655" s="199"/>
      <c r="F655" s="64"/>
      <c r="G655" s="199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spans="1:27">
      <c r="A656" s="15"/>
      <c r="B656" s="195"/>
      <c r="C656" s="7"/>
      <c r="D656" s="15"/>
      <c r="E656" s="199"/>
      <c r="F656" s="64"/>
      <c r="G656" s="199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spans="1:27">
      <c r="A657" s="15"/>
      <c r="B657" s="195"/>
      <c r="C657" s="7"/>
      <c r="D657" s="15"/>
      <c r="E657" s="199"/>
      <c r="F657" s="64"/>
      <c r="G657" s="199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spans="1:27">
      <c r="A658" s="15"/>
      <c r="B658" s="195"/>
      <c r="C658" s="7"/>
      <c r="D658" s="15"/>
      <c r="E658" s="199"/>
      <c r="F658" s="64"/>
      <c r="G658" s="199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spans="1:27">
      <c r="A659" s="15"/>
      <c r="B659" s="195"/>
      <c r="C659" s="7"/>
      <c r="D659" s="15"/>
      <c r="E659" s="199"/>
      <c r="F659" s="64"/>
      <c r="G659" s="199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spans="1:27">
      <c r="A660" s="15"/>
      <c r="B660" s="195"/>
      <c r="C660" s="7"/>
      <c r="D660" s="15"/>
      <c r="E660" s="199"/>
      <c r="F660" s="64"/>
      <c r="G660" s="199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spans="1:27">
      <c r="A661" s="15"/>
      <c r="B661" s="195"/>
      <c r="C661" s="7"/>
      <c r="D661" s="15"/>
      <c r="E661" s="199"/>
      <c r="F661" s="64"/>
      <c r="G661" s="199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spans="1:27">
      <c r="A662" s="15"/>
      <c r="B662" s="195"/>
      <c r="C662" s="7"/>
      <c r="D662" s="15"/>
      <c r="E662" s="199"/>
      <c r="F662" s="64"/>
      <c r="G662" s="199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spans="1:27">
      <c r="A663" s="15"/>
      <c r="B663" s="195"/>
      <c r="C663" s="7"/>
      <c r="D663" s="15"/>
      <c r="E663" s="199"/>
      <c r="F663" s="64"/>
      <c r="G663" s="199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spans="1:27">
      <c r="A664" s="15"/>
      <c r="B664" s="195"/>
      <c r="C664" s="7"/>
      <c r="D664" s="15"/>
      <c r="E664" s="199"/>
      <c r="F664" s="64"/>
      <c r="G664" s="199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spans="1:27">
      <c r="A665" s="15"/>
      <c r="B665" s="195"/>
      <c r="C665" s="7"/>
      <c r="D665" s="15"/>
      <c r="E665" s="199"/>
      <c r="F665" s="64"/>
      <c r="G665" s="199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spans="1:27">
      <c r="A666" s="15"/>
      <c r="B666" s="195"/>
      <c r="C666" s="7"/>
      <c r="D666" s="15"/>
      <c r="E666" s="199"/>
      <c r="F666" s="64"/>
      <c r="G666" s="199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spans="1:27">
      <c r="A667" s="15"/>
      <c r="B667" s="195"/>
      <c r="C667" s="7"/>
      <c r="D667" s="15"/>
      <c r="E667" s="199"/>
      <c r="F667" s="64"/>
      <c r="G667" s="199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spans="1:27">
      <c r="A668" s="15"/>
      <c r="B668" s="195"/>
      <c r="C668" s="7"/>
      <c r="D668" s="15"/>
      <c r="E668" s="199"/>
      <c r="F668" s="64"/>
      <c r="G668" s="199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spans="1:27">
      <c r="A669" s="15"/>
      <c r="B669" s="195"/>
      <c r="C669" s="7"/>
      <c r="D669" s="15"/>
      <c r="E669" s="199"/>
      <c r="F669" s="64"/>
      <c r="G669" s="199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spans="1:27">
      <c r="A670" s="15"/>
      <c r="B670" s="195"/>
      <c r="C670" s="7"/>
      <c r="D670" s="15"/>
      <c r="E670" s="199"/>
      <c r="F670" s="64"/>
      <c r="G670" s="199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spans="1:27">
      <c r="A671" s="15"/>
      <c r="B671" s="195"/>
      <c r="C671" s="7"/>
      <c r="D671" s="15"/>
      <c r="E671" s="199"/>
      <c r="F671" s="64"/>
      <c r="G671" s="199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spans="1:27">
      <c r="A672" s="15"/>
      <c r="B672" s="195"/>
      <c r="C672" s="7"/>
      <c r="D672" s="15"/>
      <c r="E672" s="199"/>
      <c r="F672" s="64"/>
      <c r="G672" s="199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spans="1:27">
      <c r="A673" s="15"/>
      <c r="B673" s="195"/>
      <c r="C673" s="7"/>
      <c r="D673" s="15"/>
      <c r="E673" s="199"/>
      <c r="F673" s="64"/>
      <c r="G673" s="199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spans="1:27">
      <c r="A674" s="15"/>
      <c r="B674" s="195"/>
      <c r="C674" s="7"/>
      <c r="D674" s="15"/>
      <c r="E674" s="199"/>
      <c r="F674" s="64"/>
      <c r="G674" s="199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spans="1:27">
      <c r="A675" s="15"/>
      <c r="B675" s="195"/>
      <c r="C675" s="7"/>
      <c r="D675" s="15"/>
      <c r="E675" s="199"/>
      <c r="F675" s="64"/>
      <c r="G675" s="199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spans="1:27">
      <c r="A676" s="15"/>
      <c r="B676" s="195"/>
      <c r="C676" s="7"/>
      <c r="D676" s="15"/>
      <c r="E676" s="199"/>
      <c r="F676" s="64"/>
      <c r="G676" s="199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spans="1:27">
      <c r="A677" s="15"/>
      <c r="B677" s="195"/>
      <c r="C677" s="7"/>
      <c r="D677" s="15"/>
      <c r="E677" s="199"/>
      <c r="F677" s="64"/>
      <c r="G677" s="199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spans="1:27">
      <c r="A678" s="15"/>
      <c r="B678" s="195"/>
      <c r="C678" s="7"/>
      <c r="D678" s="15"/>
      <c r="E678" s="199"/>
      <c r="F678" s="64"/>
      <c r="G678" s="199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spans="1:27">
      <c r="A679" s="15"/>
      <c r="B679" s="195"/>
      <c r="C679" s="7"/>
      <c r="D679" s="15"/>
      <c r="E679" s="199"/>
      <c r="F679" s="64"/>
      <c r="G679" s="199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spans="1:27">
      <c r="A680" s="15"/>
      <c r="B680" s="195"/>
      <c r="C680" s="7"/>
      <c r="D680" s="15"/>
      <c r="E680" s="199"/>
      <c r="F680" s="64"/>
      <c r="G680" s="199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spans="1:27">
      <c r="A681" s="15"/>
      <c r="B681" s="195"/>
      <c r="C681" s="7"/>
      <c r="D681" s="15"/>
      <c r="E681" s="199"/>
      <c r="F681" s="64"/>
      <c r="G681" s="199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spans="1:27">
      <c r="A682" s="15"/>
      <c r="B682" s="195"/>
      <c r="C682" s="7"/>
      <c r="D682" s="15"/>
      <c r="E682" s="199"/>
      <c r="F682" s="64"/>
      <c r="G682" s="199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spans="1:27">
      <c r="A683" s="15"/>
      <c r="B683" s="195"/>
      <c r="C683" s="7"/>
      <c r="D683" s="15"/>
      <c r="E683" s="199"/>
      <c r="F683" s="64"/>
      <c r="G683" s="199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spans="1:27">
      <c r="A684" s="15"/>
      <c r="B684" s="195"/>
      <c r="C684" s="7"/>
      <c r="D684" s="15"/>
      <c r="E684" s="199"/>
      <c r="F684" s="64"/>
      <c r="G684" s="199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spans="1:27">
      <c r="A685" s="15"/>
      <c r="B685" s="195"/>
      <c r="C685" s="7"/>
      <c r="D685" s="15"/>
      <c r="E685" s="199"/>
      <c r="F685" s="64"/>
      <c r="G685" s="199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spans="1:27">
      <c r="A686" s="15"/>
      <c r="B686" s="195"/>
      <c r="C686" s="7"/>
      <c r="D686" s="15"/>
      <c r="E686" s="199"/>
      <c r="F686" s="64"/>
      <c r="G686" s="199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spans="1:27">
      <c r="A687" s="15"/>
      <c r="B687" s="195"/>
      <c r="C687" s="7"/>
      <c r="D687" s="15"/>
      <c r="E687" s="199"/>
      <c r="F687" s="64"/>
      <c r="G687" s="199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spans="1:27">
      <c r="A688" s="15"/>
      <c r="B688" s="195"/>
      <c r="C688" s="7"/>
      <c r="D688" s="15"/>
      <c r="E688" s="199"/>
      <c r="F688" s="64"/>
      <c r="G688" s="199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spans="1:27">
      <c r="A689" s="15"/>
      <c r="B689" s="195"/>
      <c r="C689" s="7"/>
      <c r="D689" s="15"/>
      <c r="E689" s="199"/>
      <c r="F689" s="64"/>
      <c r="G689" s="199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spans="1:27">
      <c r="A690" s="15"/>
      <c r="B690" s="195"/>
      <c r="C690" s="7"/>
      <c r="D690" s="15"/>
      <c r="E690" s="199"/>
      <c r="F690" s="64"/>
      <c r="G690" s="199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spans="1:27">
      <c r="A691" s="15"/>
      <c r="B691" s="195"/>
      <c r="C691" s="7"/>
      <c r="D691" s="15"/>
      <c r="E691" s="199"/>
      <c r="F691" s="64"/>
      <c r="G691" s="199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spans="1:27">
      <c r="A692" s="15"/>
      <c r="B692" s="195"/>
      <c r="C692" s="7"/>
      <c r="D692" s="15"/>
      <c r="E692" s="199"/>
      <c r="F692" s="64"/>
      <c r="G692" s="199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spans="1:27">
      <c r="A693" s="15"/>
      <c r="B693" s="195"/>
      <c r="C693" s="7"/>
      <c r="D693" s="15"/>
      <c r="E693" s="199"/>
      <c r="F693" s="64"/>
      <c r="G693" s="199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spans="1:27">
      <c r="A694" s="15"/>
      <c r="B694" s="195"/>
      <c r="C694" s="7"/>
      <c r="D694" s="15"/>
      <c r="E694" s="199"/>
      <c r="F694" s="64"/>
      <c r="G694" s="199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spans="1:27">
      <c r="A695" s="15"/>
      <c r="B695" s="195"/>
      <c r="C695" s="7"/>
      <c r="D695" s="15"/>
      <c r="E695" s="199"/>
      <c r="F695" s="64"/>
      <c r="G695" s="199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spans="1:27">
      <c r="A696" s="15"/>
      <c r="B696" s="195"/>
      <c r="C696" s="7"/>
      <c r="D696" s="15"/>
      <c r="E696" s="199"/>
      <c r="F696" s="64"/>
      <c r="G696" s="199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spans="1:27">
      <c r="A697" s="15"/>
      <c r="B697" s="195"/>
      <c r="C697" s="7"/>
      <c r="D697" s="15"/>
      <c r="E697" s="199"/>
      <c r="F697" s="64"/>
      <c r="G697" s="199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spans="1:27">
      <c r="A698" s="15"/>
      <c r="B698" s="195"/>
      <c r="C698" s="7"/>
      <c r="D698" s="15"/>
      <c r="E698" s="199"/>
      <c r="F698" s="64"/>
      <c r="G698" s="199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spans="1:27">
      <c r="A699" s="15"/>
      <c r="B699" s="195"/>
      <c r="C699" s="7"/>
      <c r="D699" s="15"/>
      <c r="E699" s="199"/>
      <c r="F699" s="64"/>
      <c r="G699" s="199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spans="1:27">
      <c r="A700" s="15"/>
      <c r="B700" s="195"/>
      <c r="C700" s="7"/>
      <c r="D700" s="15"/>
      <c r="E700" s="199"/>
      <c r="F700" s="64"/>
      <c r="G700" s="199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spans="1:27">
      <c r="A701" s="15"/>
      <c r="B701" s="195"/>
      <c r="C701" s="7"/>
      <c r="D701" s="15"/>
      <c r="E701" s="199"/>
      <c r="F701" s="64"/>
      <c r="G701" s="199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spans="1:27">
      <c r="A702" s="15"/>
      <c r="B702" s="195"/>
      <c r="C702" s="7"/>
      <c r="D702" s="15"/>
      <c r="E702" s="199"/>
      <c r="F702" s="64"/>
      <c r="G702" s="199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spans="1:27">
      <c r="A703" s="15"/>
      <c r="B703" s="195"/>
      <c r="C703" s="7"/>
      <c r="D703" s="15"/>
      <c r="E703" s="199"/>
      <c r="F703" s="64"/>
      <c r="G703" s="199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spans="1:27">
      <c r="A704" s="15"/>
      <c r="B704" s="195"/>
      <c r="C704" s="7"/>
      <c r="D704" s="15"/>
      <c r="E704" s="199"/>
      <c r="F704" s="64"/>
      <c r="G704" s="199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spans="1:27">
      <c r="A705" s="15"/>
      <c r="B705" s="195"/>
      <c r="C705" s="7"/>
      <c r="D705" s="15"/>
      <c r="E705" s="199"/>
      <c r="F705" s="64"/>
      <c r="G705" s="199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spans="1:27">
      <c r="A706" s="15"/>
      <c r="B706" s="195"/>
      <c r="C706" s="7"/>
      <c r="D706" s="15"/>
      <c r="E706" s="199"/>
      <c r="F706" s="64"/>
      <c r="G706" s="199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spans="1:27">
      <c r="A707" s="15"/>
      <c r="B707" s="195"/>
      <c r="C707" s="7"/>
      <c r="D707" s="15"/>
      <c r="E707" s="199"/>
      <c r="F707" s="64"/>
      <c r="G707" s="199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spans="1:27">
      <c r="A708" s="15"/>
      <c r="B708" s="195"/>
      <c r="C708" s="7"/>
      <c r="D708" s="15"/>
      <c r="E708" s="199"/>
      <c r="F708" s="64"/>
      <c r="G708" s="199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spans="1:27">
      <c r="A709" s="15"/>
      <c r="B709" s="195"/>
      <c r="C709" s="7"/>
      <c r="D709" s="15"/>
      <c r="E709" s="199"/>
      <c r="F709" s="64"/>
      <c r="G709" s="199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spans="1:27">
      <c r="A710" s="15"/>
      <c r="B710" s="195"/>
      <c r="C710" s="7"/>
      <c r="D710" s="15"/>
      <c r="E710" s="199"/>
      <c r="F710" s="64"/>
      <c r="G710" s="199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spans="1:27">
      <c r="A711" s="15"/>
      <c r="B711" s="195"/>
      <c r="C711" s="7"/>
      <c r="D711" s="15"/>
      <c r="E711" s="199"/>
      <c r="F711" s="64"/>
      <c r="G711" s="199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spans="1:27">
      <c r="A712" s="15"/>
      <c r="B712" s="195"/>
      <c r="C712" s="7"/>
      <c r="D712" s="15"/>
      <c r="E712" s="199"/>
      <c r="F712" s="64"/>
      <c r="G712" s="199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spans="1:27">
      <c r="A713" s="15"/>
      <c r="B713" s="195"/>
      <c r="C713" s="7"/>
      <c r="D713" s="15"/>
      <c r="E713" s="199"/>
      <c r="F713" s="64"/>
      <c r="G713" s="199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spans="1:27">
      <c r="A714" s="15"/>
      <c r="B714" s="195"/>
      <c r="C714" s="7"/>
      <c r="D714" s="15"/>
      <c r="E714" s="199"/>
      <c r="F714" s="64"/>
      <c r="G714" s="199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spans="1:27">
      <c r="A715" s="15"/>
      <c r="B715" s="195"/>
      <c r="C715" s="7"/>
      <c r="D715" s="15"/>
      <c r="E715" s="199"/>
      <c r="F715" s="64"/>
      <c r="G715" s="199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spans="1:27">
      <c r="A716" s="15"/>
      <c r="B716" s="195"/>
      <c r="C716" s="7"/>
      <c r="D716" s="15"/>
      <c r="E716" s="199"/>
      <c r="F716" s="64"/>
      <c r="G716" s="199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spans="1:27">
      <c r="A717" s="15"/>
      <c r="B717" s="195"/>
      <c r="C717" s="7"/>
      <c r="D717" s="15"/>
      <c r="E717" s="199"/>
      <c r="F717" s="64"/>
      <c r="G717" s="199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spans="1:27">
      <c r="A718" s="15"/>
      <c r="B718" s="195"/>
      <c r="C718" s="7"/>
      <c r="D718" s="15"/>
      <c r="E718" s="199"/>
      <c r="F718" s="64"/>
      <c r="G718" s="199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spans="1:27">
      <c r="A719" s="15"/>
      <c r="B719" s="195"/>
      <c r="C719" s="7"/>
      <c r="D719" s="15"/>
      <c r="E719" s="199"/>
      <c r="F719" s="64"/>
      <c r="G719" s="199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spans="1:27">
      <c r="A720" s="15"/>
      <c r="B720" s="195"/>
      <c r="C720" s="7"/>
      <c r="D720" s="15"/>
      <c r="E720" s="199"/>
      <c r="F720" s="64"/>
      <c r="G720" s="199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spans="1:27">
      <c r="A721" s="15"/>
      <c r="B721" s="195"/>
      <c r="C721" s="7"/>
      <c r="D721" s="15"/>
      <c r="E721" s="199"/>
      <c r="F721" s="64"/>
      <c r="G721" s="199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spans="1:27">
      <c r="A722" s="15"/>
      <c r="B722" s="195"/>
      <c r="C722" s="7"/>
      <c r="D722" s="15"/>
      <c r="E722" s="199"/>
      <c r="F722" s="64"/>
      <c r="G722" s="199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spans="1:27">
      <c r="A723" s="15"/>
      <c r="B723" s="195"/>
      <c r="C723" s="7"/>
      <c r="D723" s="15"/>
      <c r="E723" s="199"/>
      <c r="F723" s="64"/>
      <c r="G723" s="199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spans="1:27">
      <c r="A724" s="15"/>
      <c r="B724" s="195"/>
      <c r="C724" s="7"/>
      <c r="D724" s="15"/>
      <c r="E724" s="199"/>
      <c r="F724" s="64"/>
      <c r="G724" s="199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spans="1:27">
      <c r="A725" s="15"/>
      <c r="B725" s="195"/>
      <c r="C725" s="7"/>
      <c r="D725" s="15"/>
      <c r="E725" s="199"/>
      <c r="F725" s="64"/>
      <c r="G725" s="199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spans="1:27">
      <c r="A726" s="15"/>
      <c r="B726" s="195"/>
      <c r="C726" s="7"/>
      <c r="D726" s="15"/>
      <c r="E726" s="199"/>
      <c r="F726" s="64"/>
      <c r="G726" s="199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spans="1:27">
      <c r="A727" s="15"/>
      <c r="B727" s="195"/>
      <c r="C727" s="7"/>
      <c r="D727" s="15"/>
      <c r="E727" s="199"/>
      <c r="F727" s="64"/>
      <c r="G727" s="199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spans="1:27">
      <c r="A728" s="15"/>
      <c r="B728" s="195"/>
      <c r="C728" s="7"/>
      <c r="D728" s="15"/>
      <c r="E728" s="199"/>
      <c r="F728" s="64"/>
      <c r="G728" s="199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spans="1:27">
      <c r="A729" s="15"/>
      <c r="B729" s="195"/>
      <c r="C729" s="7"/>
      <c r="D729" s="15"/>
      <c r="E729" s="199"/>
      <c r="F729" s="64"/>
      <c r="G729" s="199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spans="1:27">
      <c r="A730" s="15"/>
      <c r="B730" s="195"/>
      <c r="C730" s="7"/>
      <c r="D730" s="15"/>
      <c r="E730" s="199"/>
      <c r="F730" s="64"/>
      <c r="G730" s="199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spans="1:27">
      <c r="A731" s="15"/>
      <c r="B731" s="195"/>
      <c r="C731" s="7"/>
      <c r="D731" s="15"/>
      <c r="E731" s="199"/>
      <c r="F731" s="64"/>
      <c r="G731" s="199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spans="1:27">
      <c r="A732" s="15"/>
      <c r="B732" s="195"/>
      <c r="C732" s="7"/>
      <c r="D732" s="15"/>
      <c r="E732" s="199"/>
      <c r="F732" s="64"/>
      <c r="G732" s="199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spans="1:27">
      <c r="A733" s="15"/>
      <c r="B733" s="195"/>
      <c r="C733" s="7"/>
      <c r="D733" s="15"/>
      <c r="E733" s="199"/>
      <c r="F733" s="64"/>
      <c r="G733" s="199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spans="1:27">
      <c r="A734" s="15"/>
      <c r="B734" s="195"/>
      <c r="C734" s="7"/>
      <c r="D734" s="15"/>
      <c r="E734" s="199"/>
      <c r="F734" s="64"/>
      <c r="G734" s="199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spans="1:27">
      <c r="A735" s="15"/>
      <c r="B735" s="195"/>
      <c r="C735" s="7"/>
      <c r="D735" s="15"/>
      <c r="E735" s="199"/>
      <c r="F735" s="64"/>
      <c r="G735" s="199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spans="1:27">
      <c r="A736" s="15"/>
      <c r="B736" s="195"/>
      <c r="C736" s="7"/>
      <c r="D736" s="15"/>
      <c r="E736" s="199"/>
      <c r="F736" s="64"/>
      <c r="G736" s="199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spans="1:27">
      <c r="A737" s="15"/>
      <c r="B737" s="195"/>
      <c r="C737" s="7"/>
      <c r="D737" s="15"/>
      <c r="E737" s="199"/>
      <c r="F737" s="64"/>
      <c r="G737" s="199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spans="1:27">
      <c r="A738" s="15"/>
      <c r="B738" s="195"/>
      <c r="C738" s="7"/>
      <c r="D738" s="15"/>
      <c r="E738" s="199"/>
      <c r="F738" s="64"/>
      <c r="G738" s="199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spans="1:27">
      <c r="A739" s="15"/>
      <c r="B739" s="195"/>
      <c r="C739" s="7"/>
      <c r="D739" s="15"/>
      <c r="E739" s="199"/>
      <c r="F739" s="64"/>
      <c r="G739" s="199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spans="1:27">
      <c r="A740" s="15"/>
      <c r="B740" s="195"/>
      <c r="C740" s="7"/>
      <c r="D740" s="15"/>
      <c r="E740" s="199"/>
      <c r="F740" s="64"/>
      <c r="G740" s="199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spans="1:27">
      <c r="A741" s="15"/>
      <c r="B741" s="195"/>
      <c r="C741" s="7"/>
      <c r="D741" s="15"/>
      <c r="E741" s="199"/>
      <c r="F741" s="64"/>
      <c r="G741" s="199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spans="1:27">
      <c r="A742" s="15"/>
      <c r="B742" s="195"/>
      <c r="C742" s="7"/>
      <c r="D742" s="15"/>
      <c r="E742" s="199"/>
      <c r="F742" s="64"/>
      <c r="G742" s="199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spans="1:27">
      <c r="A743" s="15"/>
      <c r="B743" s="195"/>
      <c r="C743" s="7"/>
      <c r="D743" s="15"/>
      <c r="E743" s="199"/>
      <c r="F743" s="64"/>
      <c r="G743" s="199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spans="1:27">
      <c r="A744" s="15"/>
      <c r="B744" s="195"/>
      <c r="C744" s="7"/>
      <c r="D744" s="15"/>
      <c r="E744" s="199"/>
      <c r="F744" s="64"/>
      <c r="G744" s="199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spans="1:27">
      <c r="A745" s="15"/>
      <c r="B745" s="195"/>
      <c r="C745" s="7"/>
      <c r="D745" s="15"/>
      <c r="E745" s="199"/>
      <c r="F745" s="64"/>
      <c r="G745" s="199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spans="1:27">
      <c r="A746" s="15"/>
      <c r="B746" s="195"/>
      <c r="C746" s="7"/>
      <c r="D746" s="15"/>
      <c r="E746" s="199"/>
      <c r="F746" s="64"/>
      <c r="G746" s="199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spans="1:27">
      <c r="A747" s="15"/>
      <c r="B747" s="195"/>
      <c r="C747" s="7"/>
      <c r="D747" s="15"/>
      <c r="E747" s="199"/>
      <c r="F747" s="64"/>
      <c r="G747" s="199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spans="1:27">
      <c r="A748" s="15"/>
      <c r="B748" s="195"/>
      <c r="C748" s="7"/>
      <c r="D748" s="15"/>
      <c r="E748" s="199"/>
      <c r="F748" s="64"/>
      <c r="G748" s="199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spans="1:27">
      <c r="A749" s="15"/>
      <c r="B749" s="195"/>
      <c r="C749" s="7"/>
      <c r="D749" s="15"/>
      <c r="E749" s="199"/>
      <c r="F749" s="64"/>
      <c r="G749" s="199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spans="1:27">
      <c r="A750" s="15"/>
      <c r="B750" s="195"/>
      <c r="C750" s="7"/>
      <c r="D750" s="15"/>
      <c r="E750" s="199"/>
      <c r="F750" s="64"/>
      <c r="G750" s="199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spans="1:27">
      <c r="A751" s="15"/>
      <c r="B751" s="195"/>
      <c r="C751" s="7"/>
      <c r="D751" s="15"/>
      <c r="E751" s="199"/>
      <c r="F751" s="64"/>
      <c r="G751" s="199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spans="1:27">
      <c r="A752" s="15"/>
      <c r="B752" s="195"/>
      <c r="C752" s="7"/>
      <c r="D752" s="15"/>
      <c r="E752" s="199"/>
      <c r="F752" s="64"/>
      <c r="G752" s="199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spans="1:27">
      <c r="A753" s="15"/>
      <c r="B753" s="195"/>
      <c r="C753" s="7"/>
      <c r="D753" s="15"/>
      <c r="E753" s="199"/>
      <c r="F753" s="64"/>
      <c r="G753" s="199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spans="1:27">
      <c r="A754" s="15"/>
      <c r="B754" s="195"/>
      <c r="C754" s="7"/>
      <c r="D754" s="15"/>
      <c r="E754" s="199"/>
      <c r="F754" s="64"/>
      <c r="G754" s="199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spans="1:27">
      <c r="A755" s="15"/>
      <c r="B755" s="195"/>
      <c r="C755" s="7"/>
      <c r="D755" s="15"/>
      <c r="E755" s="199"/>
      <c r="F755" s="64"/>
      <c r="G755" s="199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spans="1:27">
      <c r="A756" s="15"/>
      <c r="B756" s="195"/>
      <c r="C756" s="7"/>
      <c r="D756" s="15"/>
      <c r="E756" s="199"/>
      <c r="F756" s="64"/>
      <c r="G756" s="199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spans="1:27">
      <c r="A757" s="15"/>
      <c r="B757" s="195"/>
      <c r="C757" s="7"/>
      <c r="D757" s="15"/>
      <c r="E757" s="199"/>
      <c r="F757" s="64"/>
      <c r="G757" s="199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spans="1:27">
      <c r="A758" s="15"/>
      <c r="B758" s="195"/>
      <c r="C758" s="7"/>
      <c r="D758" s="15"/>
      <c r="E758" s="199"/>
      <c r="F758" s="64"/>
      <c r="G758" s="199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spans="1:27">
      <c r="A759" s="15"/>
      <c r="B759" s="195"/>
      <c r="C759" s="7"/>
      <c r="D759" s="15"/>
      <c r="E759" s="199"/>
      <c r="F759" s="64"/>
      <c r="G759" s="199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spans="1:27">
      <c r="A760" s="15"/>
      <c r="B760" s="195"/>
      <c r="C760" s="7"/>
      <c r="D760" s="15"/>
      <c r="E760" s="199"/>
      <c r="F760" s="64"/>
      <c r="G760" s="199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spans="1:27">
      <c r="A761" s="15"/>
      <c r="B761" s="195"/>
      <c r="C761" s="7"/>
      <c r="D761" s="15"/>
      <c r="E761" s="199"/>
      <c r="F761" s="64"/>
      <c r="G761" s="199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spans="1:27">
      <c r="A762" s="15"/>
      <c r="B762" s="195"/>
      <c r="C762" s="7"/>
      <c r="D762" s="15"/>
      <c r="E762" s="199"/>
      <c r="F762" s="64"/>
      <c r="G762" s="199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spans="1:27">
      <c r="A763" s="15"/>
      <c r="B763" s="195"/>
      <c r="C763" s="7"/>
      <c r="D763" s="15"/>
      <c r="E763" s="199"/>
      <c r="F763" s="64"/>
      <c r="G763" s="199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spans="1:27">
      <c r="A764" s="15"/>
      <c r="B764" s="195"/>
      <c r="C764" s="7"/>
      <c r="D764" s="15"/>
      <c r="E764" s="199"/>
      <c r="F764" s="64"/>
      <c r="G764" s="199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spans="1:27">
      <c r="A765" s="15"/>
      <c r="B765" s="195"/>
      <c r="C765" s="7"/>
      <c r="D765" s="15"/>
      <c r="E765" s="199"/>
      <c r="F765" s="64"/>
      <c r="G765" s="199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spans="1:27">
      <c r="A766" s="15"/>
      <c r="B766" s="195"/>
      <c r="C766" s="7"/>
      <c r="D766" s="15"/>
      <c r="E766" s="199"/>
      <c r="F766" s="64"/>
      <c r="G766" s="199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spans="1:27">
      <c r="A767" s="15"/>
      <c r="B767" s="195"/>
      <c r="C767" s="7"/>
      <c r="D767" s="15"/>
      <c r="E767" s="199"/>
      <c r="F767" s="64"/>
      <c r="G767" s="199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spans="1:27">
      <c r="A768" s="15"/>
      <c r="B768" s="195"/>
      <c r="C768" s="7"/>
      <c r="D768" s="15"/>
      <c r="E768" s="199"/>
      <c r="F768" s="64"/>
      <c r="G768" s="199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spans="1:27">
      <c r="A769" s="15"/>
      <c r="B769" s="195"/>
      <c r="C769" s="7"/>
      <c r="D769" s="15"/>
      <c r="E769" s="199"/>
      <c r="F769" s="64"/>
      <c r="G769" s="199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spans="1:27">
      <c r="A770" s="15"/>
      <c r="B770" s="195"/>
      <c r="C770" s="7"/>
      <c r="D770" s="15"/>
      <c r="E770" s="199"/>
      <c r="F770" s="64"/>
      <c r="G770" s="199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spans="1:27">
      <c r="A771" s="15"/>
      <c r="B771" s="195"/>
      <c r="C771" s="7"/>
      <c r="D771" s="15"/>
      <c r="E771" s="199"/>
      <c r="F771" s="64"/>
      <c r="G771" s="199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spans="1:27">
      <c r="A772" s="15"/>
      <c r="B772" s="195"/>
      <c r="C772" s="7"/>
      <c r="D772" s="15"/>
      <c r="E772" s="199"/>
      <c r="F772" s="64"/>
      <c r="G772" s="199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spans="1:27">
      <c r="A773" s="15"/>
      <c r="B773" s="195"/>
      <c r="C773" s="7"/>
      <c r="D773" s="15"/>
      <c r="E773" s="199"/>
      <c r="F773" s="64"/>
      <c r="G773" s="199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spans="1:27">
      <c r="A774" s="15"/>
      <c r="B774" s="195"/>
      <c r="C774" s="7"/>
      <c r="D774" s="15"/>
      <c r="E774" s="199"/>
      <c r="F774" s="64"/>
      <c r="G774" s="199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spans="1:27">
      <c r="A775" s="15"/>
      <c r="B775" s="195"/>
      <c r="C775" s="7"/>
      <c r="D775" s="15"/>
      <c r="E775" s="199"/>
      <c r="F775" s="64"/>
      <c r="G775" s="199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spans="1:27">
      <c r="A776" s="15"/>
      <c r="B776" s="195"/>
      <c r="C776" s="7"/>
      <c r="D776" s="15"/>
      <c r="E776" s="199"/>
      <c r="F776" s="64"/>
      <c r="G776" s="199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spans="1:27">
      <c r="A777" s="15"/>
      <c r="B777" s="195"/>
      <c r="C777" s="7"/>
      <c r="D777" s="15"/>
      <c r="E777" s="199"/>
      <c r="F777" s="64"/>
      <c r="G777" s="199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spans="1:27">
      <c r="A778" s="15"/>
      <c r="B778" s="195"/>
      <c r="C778" s="7"/>
      <c r="D778" s="15"/>
      <c r="E778" s="199"/>
      <c r="F778" s="64"/>
      <c r="G778" s="199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spans="1:27">
      <c r="A779" s="15"/>
      <c r="B779" s="195"/>
      <c r="C779" s="7"/>
      <c r="D779" s="15"/>
      <c r="E779" s="199"/>
      <c r="F779" s="64"/>
      <c r="G779" s="199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spans="1:27">
      <c r="A780" s="15"/>
      <c r="B780" s="195"/>
      <c r="C780" s="7"/>
      <c r="D780" s="15"/>
      <c r="E780" s="199"/>
      <c r="F780" s="64"/>
      <c r="G780" s="199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spans="1:27">
      <c r="A781" s="15"/>
      <c r="B781" s="195"/>
      <c r="C781" s="7"/>
      <c r="D781" s="15"/>
      <c r="E781" s="199"/>
      <c r="F781" s="64"/>
      <c r="G781" s="199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spans="1:27">
      <c r="A782" s="15"/>
      <c r="B782" s="195"/>
      <c r="C782" s="7"/>
      <c r="D782" s="15"/>
      <c r="E782" s="199"/>
      <c r="F782" s="64"/>
      <c r="G782" s="199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spans="1:27">
      <c r="A783" s="15"/>
      <c r="B783" s="195"/>
      <c r="C783" s="7"/>
      <c r="D783" s="15"/>
      <c r="E783" s="199"/>
      <c r="F783" s="64"/>
      <c r="G783" s="199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spans="1:27">
      <c r="A784" s="15"/>
      <c r="B784" s="195"/>
      <c r="C784" s="7"/>
      <c r="D784" s="15"/>
      <c r="E784" s="199"/>
      <c r="F784" s="64"/>
      <c r="G784" s="199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spans="1:27">
      <c r="A785" s="15"/>
      <c r="B785" s="195"/>
      <c r="C785" s="7"/>
      <c r="D785" s="15"/>
      <c r="E785" s="199"/>
      <c r="F785" s="64"/>
      <c r="G785" s="199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spans="1:27">
      <c r="A786" s="15"/>
      <c r="B786" s="195"/>
      <c r="C786" s="7"/>
      <c r="D786" s="15"/>
      <c r="E786" s="199"/>
      <c r="F786" s="64"/>
      <c r="G786" s="199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spans="1:27">
      <c r="A787" s="15"/>
      <c r="B787" s="195"/>
      <c r="C787" s="7"/>
      <c r="D787" s="15"/>
      <c r="E787" s="199"/>
      <c r="F787" s="64"/>
      <c r="G787" s="199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spans="1:27">
      <c r="A788" s="15"/>
      <c r="B788" s="195"/>
      <c r="C788" s="7"/>
      <c r="D788" s="15"/>
      <c r="E788" s="199"/>
      <c r="F788" s="64"/>
      <c r="G788" s="199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spans="1:27">
      <c r="A789" s="15"/>
      <c r="B789" s="195"/>
      <c r="C789" s="7"/>
      <c r="D789" s="15"/>
      <c r="E789" s="199"/>
      <c r="F789" s="64"/>
      <c r="G789" s="199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spans="1:27">
      <c r="A790" s="15"/>
      <c r="B790" s="195"/>
      <c r="C790" s="7"/>
      <c r="D790" s="15"/>
      <c r="E790" s="199"/>
      <c r="F790" s="64"/>
      <c r="G790" s="199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spans="1:27">
      <c r="A791" s="15"/>
      <c r="B791" s="195"/>
      <c r="C791" s="7"/>
      <c r="D791" s="15"/>
      <c r="E791" s="199"/>
      <c r="F791" s="64"/>
      <c r="G791" s="199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spans="1:27">
      <c r="A792" s="15"/>
      <c r="B792" s="195"/>
      <c r="C792" s="7"/>
      <c r="D792" s="15"/>
      <c r="E792" s="199"/>
      <c r="F792" s="64"/>
      <c r="G792" s="199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spans="1:27">
      <c r="A793" s="15"/>
      <c r="B793" s="195"/>
      <c r="C793" s="7"/>
      <c r="D793" s="15"/>
      <c r="E793" s="199"/>
      <c r="F793" s="64"/>
      <c r="G793" s="199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spans="1:27">
      <c r="A794" s="15"/>
      <c r="B794" s="195"/>
      <c r="C794" s="7"/>
      <c r="D794" s="15"/>
      <c r="E794" s="199"/>
      <c r="F794" s="64"/>
      <c r="G794" s="199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spans="1:27">
      <c r="A795" s="15"/>
      <c r="B795" s="195"/>
      <c r="C795" s="7"/>
      <c r="D795" s="15"/>
      <c r="E795" s="199"/>
      <c r="F795" s="64"/>
      <c r="G795" s="199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spans="1:27">
      <c r="A796" s="15"/>
      <c r="B796" s="195"/>
      <c r="C796" s="7"/>
      <c r="D796" s="15"/>
      <c r="E796" s="199"/>
      <c r="F796" s="64"/>
      <c r="G796" s="199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spans="1:27">
      <c r="A797" s="15"/>
      <c r="B797" s="195"/>
      <c r="C797" s="7"/>
      <c r="D797" s="15"/>
      <c r="E797" s="199"/>
      <c r="F797" s="64"/>
      <c r="G797" s="199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spans="1:27">
      <c r="A798" s="15"/>
      <c r="B798" s="195"/>
      <c r="C798" s="7"/>
      <c r="D798" s="15"/>
      <c r="E798" s="199"/>
      <c r="F798" s="64"/>
      <c r="G798" s="199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spans="1:27">
      <c r="A799" s="15"/>
      <c r="B799" s="195"/>
      <c r="C799" s="7"/>
      <c r="D799" s="15"/>
      <c r="E799" s="199"/>
      <c r="F799" s="64"/>
      <c r="G799" s="199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spans="1:27">
      <c r="A800" s="15"/>
      <c r="B800" s="195"/>
      <c r="C800" s="7"/>
      <c r="D800" s="15"/>
      <c r="E800" s="199"/>
      <c r="F800" s="64"/>
      <c r="G800" s="199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spans="1:27">
      <c r="A801" s="15"/>
      <c r="B801" s="195"/>
      <c r="C801" s="7"/>
      <c r="D801" s="15"/>
      <c r="E801" s="199"/>
      <c r="F801" s="64"/>
      <c r="G801" s="199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spans="1:27">
      <c r="A802" s="15"/>
      <c r="B802" s="195"/>
      <c r="C802" s="7"/>
      <c r="D802" s="15"/>
      <c r="E802" s="199"/>
      <c r="F802" s="64"/>
      <c r="G802" s="199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spans="1:27">
      <c r="A803" s="15"/>
      <c r="B803" s="195"/>
      <c r="C803" s="7"/>
      <c r="D803" s="15"/>
      <c r="E803" s="199"/>
      <c r="F803" s="64"/>
      <c r="G803" s="199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spans="1:27">
      <c r="A804" s="15"/>
      <c r="B804" s="195"/>
      <c r="C804" s="7"/>
      <c r="D804" s="15"/>
      <c r="E804" s="199"/>
      <c r="F804" s="64"/>
      <c r="G804" s="199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spans="1:27">
      <c r="A805" s="15"/>
      <c r="B805" s="195"/>
      <c r="C805" s="7"/>
      <c r="D805" s="15"/>
      <c r="E805" s="199"/>
      <c r="F805" s="64"/>
      <c r="G805" s="199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spans="1:27">
      <c r="A806" s="15"/>
      <c r="B806" s="195"/>
      <c r="C806" s="7"/>
      <c r="D806" s="15"/>
      <c r="E806" s="199"/>
      <c r="F806" s="64"/>
      <c r="G806" s="199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spans="1:27">
      <c r="A807" s="15"/>
      <c r="B807" s="195"/>
      <c r="C807" s="7"/>
      <c r="D807" s="15"/>
      <c r="E807" s="199"/>
      <c r="F807" s="64"/>
      <c r="G807" s="199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spans="1:27">
      <c r="A808" s="15"/>
      <c r="B808" s="195"/>
      <c r="C808" s="7"/>
      <c r="D808" s="15"/>
      <c r="E808" s="199"/>
      <c r="F808" s="64"/>
      <c r="G808" s="199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spans="1:27">
      <c r="A809" s="15"/>
      <c r="B809" s="195"/>
      <c r="C809" s="7"/>
      <c r="D809" s="15"/>
      <c r="E809" s="199"/>
      <c r="F809" s="64"/>
      <c r="G809" s="199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spans="1:27">
      <c r="A810" s="15"/>
      <c r="B810" s="195"/>
      <c r="C810" s="7"/>
      <c r="D810" s="15"/>
      <c r="E810" s="199"/>
      <c r="F810" s="64"/>
      <c r="G810" s="199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spans="1:27">
      <c r="A811" s="15"/>
      <c r="B811" s="195"/>
      <c r="C811" s="7"/>
      <c r="D811" s="15"/>
      <c r="E811" s="199"/>
      <c r="F811" s="64"/>
      <c r="G811" s="199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spans="1:27">
      <c r="A812" s="15"/>
      <c r="B812" s="195"/>
      <c r="C812" s="7"/>
      <c r="D812" s="15"/>
      <c r="E812" s="199"/>
      <c r="F812" s="64"/>
      <c r="G812" s="199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spans="1:27">
      <c r="A813" s="15"/>
      <c r="B813" s="195"/>
      <c r="C813" s="7"/>
      <c r="D813" s="15"/>
      <c r="E813" s="199"/>
      <c r="F813" s="64"/>
      <c r="G813" s="199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spans="1:27">
      <c r="A814" s="15"/>
      <c r="B814" s="195"/>
      <c r="C814" s="7"/>
      <c r="D814" s="15"/>
      <c r="E814" s="199"/>
      <c r="F814" s="64"/>
      <c r="G814" s="199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spans="1:27">
      <c r="A815" s="15"/>
      <c r="B815" s="195"/>
      <c r="C815" s="7"/>
      <c r="D815" s="15"/>
      <c r="E815" s="199"/>
      <c r="F815" s="64"/>
      <c r="G815" s="199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spans="1:27">
      <c r="A816" s="15"/>
      <c r="B816" s="195"/>
      <c r="C816" s="7"/>
      <c r="D816" s="15"/>
      <c r="E816" s="199"/>
      <c r="F816" s="64"/>
      <c r="G816" s="199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spans="1:27">
      <c r="A817" s="15"/>
      <c r="B817" s="195"/>
      <c r="C817" s="7"/>
      <c r="D817" s="15"/>
      <c r="E817" s="199"/>
      <c r="F817" s="64"/>
      <c r="G817" s="199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spans="1:27">
      <c r="A818" s="15"/>
      <c r="B818" s="195"/>
      <c r="C818" s="7"/>
      <c r="D818" s="15"/>
      <c r="E818" s="199"/>
      <c r="F818" s="64"/>
      <c r="G818" s="199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spans="1:27">
      <c r="A819" s="15"/>
      <c r="B819" s="195"/>
      <c r="C819" s="7"/>
      <c r="D819" s="15"/>
      <c r="E819" s="199"/>
      <c r="F819" s="64"/>
      <c r="G819" s="199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spans="1:27">
      <c r="A820" s="15"/>
      <c r="B820" s="195"/>
      <c r="C820" s="7"/>
      <c r="D820" s="15"/>
      <c r="E820" s="199"/>
      <c r="F820" s="64"/>
      <c r="G820" s="199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spans="1:27">
      <c r="A821" s="15"/>
      <c r="B821" s="195"/>
      <c r="C821" s="7"/>
      <c r="D821" s="15"/>
      <c r="E821" s="199"/>
      <c r="F821" s="64"/>
      <c r="G821" s="199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spans="1:27">
      <c r="A822" s="15"/>
      <c r="B822" s="195"/>
      <c r="C822" s="7"/>
      <c r="D822" s="15"/>
      <c r="E822" s="199"/>
      <c r="F822" s="64"/>
      <c r="G822" s="199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spans="1:27">
      <c r="A823" s="15"/>
      <c r="B823" s="195"/>
      <c r="C823" s="7"/>
      <c r="D823" s="15"/>
      <c r="E823" s="199"/>
      <c r="F823" s="64"/>
      <c r="G823" s="199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spans="1:27">
      <c r="A824" s="15"/>
      <c r="B824" s="195"/>
      <c r="C824" s="7"/>
      <c r="D824" s="15"/>
      <c r="E824" s="199"/>
      <c r="F824" s="64"/>
      <c r="G824" s="199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spans="1:27">
      <c r="A825" s="15"/>
      <c r="B825" s="195"/>
      <c r="C825" s="7"/>
      <c r="D825" s="15"/>
      <c r="E825" s="199"/>
      <c r="F825" s="64"/>
      <c r="G825" s="199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spans="1:27">
      <c r="A826" s="15"/>
      <c r="B826" s="195"/>
      <c r="C826" s="7"/>
      <c r="D826" s="15"/>
      <c r="E826" s="199"/>
      <c r="F826" s="64"/>
      <c r="G826" s="199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spans="1:27">
      <c r="A827" s="15"/>
      <c r="B827" s="195"/>
      <c r="C827" s="7"/>
      <c r="D827" s="15"/>
      <c r="E827" s="199"/>
      <c r="F827" s="64"/>
      <c r="G827" s="199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spans="1:27">
      <c r="A828" s="15"/>
      <c r="B828" s="195"/>
      <c r="C828" s="7"/>
      <c r="D828" s="15"/>
      <c r="E828" s="199"/>
      <c r="F828" s="64"/>
      <c r="G828" s="199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spans="1:27">
      <c r="A829" s="15"/>
      <c r="B829" s="195"/>
      <c r="C829" s="7"/>
      <c r="D829" s="15"/>
      <c r="E829" s="199"/>
      <c r="F829" s="64"/>
      <c r="G829" s="199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spans="1:27">
      <c r="A830" s="15"/>
      <c r="B830" s="195"/>
      <c r="C830" s="7"/>
      <c r="D830" s="15"/>
      <c r="E830" s="199"/>
      <c r="F830" s="64"/>
      <c r="G830" s="199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spans="1:27">
      <c r="A831" s="15"/>
      <c r="B831" s="195"/>
      <c r="C831" s="7"/>
      <c r="D831" s="15"/>
      <c r="E831" s="199"/>
      <c r="F831" s="64"/>
      <c r="G831" s="199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spans="1:27">
      <c r="A832" s="15"/>
      <c r="B832" s="195"/>
      <c r="C832" s="7"/>
      <c r="D832" s="15"/>
      <c r="E832" s="199"/>
      <c r="F832" s="64"/>
      <c r="G832" s="199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spans="1:27">
      <c r="A833" s="15"/>
      <c r="B833" s="195"/>
      <c r="C833" s="7"/>
      <c r="D833" s="15"/>
      <c r="E833" s="199"/>
      <c r="F833" s="64"/>
      <c r="G833" s="199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spans="1:27">
      <c r="A834" s="15"/>
      <c r="B834" s="195"/>
      <c r="C834" s="7"/>
      <c r="D834" s="15"/>
      <c r="E834" s="199"/>
      <c r="F834" s="64"/>
      <c r="G834" s="199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spans="1:27">
      <c r="A835" s="15"/>
      <c r="B835" s="195"/>
      <c r="C835" s="7"/>
      <c r="D835" s="15"/>
      <c r="E835" s="199"/>
      <c r="F835" s="64"/>
      <c r="G835" s="199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spans="1:27">
      <c r="A836" s="15"/>
      <c r="B836" s="195"/>
      <c r="C836" s="7"/>
      <c r="D836" s="15"/>
      <c r="E836" s="199"/>
      <c r="F836" s="64"/>
      <c r="G836" s="199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spans="1:27">
      <c r="A837" s="15"/>
      <c r="B837" s="195"/>
      <c r="C837" s="7"/>
      <c r="D837" s="15"/>
      <c r="E837" s="199"/>
      <c r="F837" s="64"/>
      <c r="G837" s="199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spans="1:27">
      <c r="A838" s="15"/>
      <c r="B838" s="195"/>
      <c r="C838" s="7"/>
      <c r="D838" s="15"/>
      <c r="E838" s="199"/>
      <c r="F838" s="64"/>
      <c r="G838" s="199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spans="1:27">
      <c r="A839" s="15"/>
      <c r="B839" s="195"/>
      <c r="C839" s="7"/>
      <c r="D839" s="15"/>
      <c r="E839" s="199"/>
      <c r="F839" s="64"/>
      <c r="G839" s="199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spans="1:27">
      <c r="A840" s="15"/>
      <c r="B840" s="195"/>
      <c r="C840" s="7"/>
      <c r="D840" s="15"/>
      <c r="E840" s="199"/>
      <c r="F840" s="64"/>
      <c r="G840" s="199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spans="1:27">
      <c r="A841" s="15"/>
      <c r="B841" s="195"/>
      <c r="C841" s="7"/>
      <c r="D841" s="15"/>
      <c r="E841" s="199"/>
      <c r="F841" s="64"/>
      <c r="G841" s="199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spans="1:27">
      <c r="A842" s="15"/>
      <c r="B842" s="195"/>
      <c r="C842" s="7"/>
      <c r="D842" s="15"/>
      <c r="E842" s="199"/>
      <c r="F842" s="64"/>
      <c r="G842" s="199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spans="1:27">
      <c r="A843" s="15"/>
      <c r="B843" s="195"/>
      <c r="C843" s="7"/>
      <c r="D843" s="15"/>
      <c r="E843" s="199"/>
      <c r="F843" s="64"/>
      <c r="G843" s="199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spans="1:27">
      <c r="A844" s="15"/>
      <c r="B844" s="195"/>
      <c r="C844" s="7"/>
      <c r="D844" s="15"/>
      <c r="E844" s="199"/>
      <c r="F844" s="64"/>
      <c r="G844" s="199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spans="1:27">
      <c r="A845" s="15"/>
      <c r="B845" s="195"/>
      <c r="C845" s="7"/>
      <c r="D845" s="15"/>
      <c r="E845" s="199"/>
      <c r="F845" s="64"/>
      <c r="G845" s="199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spans="1:27">
      <c r="A846" s="15"/>
      <c r="B846" s="195"/>
      <c r="C846" s="7"/>
      <c r="D846" s="15"/>
      <c r="E846" s="199"/>
      <c r="F846" s="64"/>
      <c r="G846" s="199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spans="1:27">
      <c r="A847" s="15"/>
      <c r="B847" s="195"/>
      <c r="C847" s="7"/>
      <c r="D847" s="15"/>
      <c r="E847" s="199"/>
      <c r="F847" s="64"/>
      <c r="G847" s="199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spans="1:27">
      <c r="A848" s="15"/>
      <c r="B848" s="195"/>
      <c r="C848" s="7"/>
      <c r="D848" s="15"/>
      <c r="E848" s="199"/>
      <c r="F848" s="64"/>
      <c r="G848" s="199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spans="1:27">
      <c r="A849" s="15"/>
      <c r="B849" s="195"/>
      <c r="C849" s="7"/>
      <c r="D849" s="15"/>
      <c r="E849" s="199"/>
      <c r="F849" s="64"/>
      <c r="G849" s="199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spans="1:27">
      <c r="A850" s="15"/>
      <c r="B850" s="195"/>
      <c r="C850" s="7"/>
      <c r="D850" s="15"/>
      <c r="E850" s="199"/>
      <c r="F850" s="64"/>
      <c r="G850" s="199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spans="1:27">
      <c r="A851" s="15"/>
      <c r="B851" s="195"/>
      <c r="C851" s="7"/>
      <c r="D851" s="15"/>
      <c r="E851" s="199"/>
      <c r="F851" s="64"/>
      <c r="G851" s="199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spans="1:27">
      <c r="A852" s="15"/>
      <c r="B852" s="195"/>
      <c r="C852" s="7"/>
      <c r="D852" s="15"/>
      <c r="E852" s="199"/>
      <c r="F852" s="64"/>
      <c r="G852" s="199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spans="1:27">
      <c r="A853" s="15"/>
      <c r="B853" s="195"/>
      <c r="C853" s="7"/>
      <c r="D853" s="15"/>
      <c r="E853" s="199"/>
      <c r="F853" s="64"/>
      <c r="G853" s="199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spans="1:27">
      <c r="A854" s="15"/>
      <c r="B854" s="195"/>
      <c r="C854" s="7"/>
      <c r="D854" s="15"/>
      <c r="E854" s="199"/>
      <c r="F854" s="64"/>
      <c r="G854" s="199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spans="1:27">
      <c r="A855" s="15"/>
      <c r="B855" s="195"/>
      <c r="C855" s="7"/>
      <c r="D855" s="15"/>
      <c r="E855" s="199"/>
      <c r="F855" s="64"/>
      <c r="G855" s="199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spans="1:27">
      <c r="A856" s="15"/>
      <c r="B856" s="195"/>
      <c r="C856" s="7"/>
      <c r="D856" s="15"/>
      <c r="E856" s="199"/>
      <c r="F856" s="64"/>
      <c r="G856" s="199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spans="1:27">
      <c r="A857" s="15"/>
      <c r="B857" s="195"/>
      <c r="C857" s="7"/>
      <c r="D857" s="15"/>
      <c r="E857" s="199"/>
      <c r="F857" s="64"/>
      <c r="G857" s="199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spans="1:27">
      <c r="A858" s="15"/>
      <c r="B858" s="195"/>
      <c r="C858" s="7"/>
      <c r="D858" s="15"/>
      <c r="E858" s="199"/>
      <c r="F858" s="64"/>
      <c r="G858" s="199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spans="1:27">
      <c r="A859" s="15"/>
      <c r="B859" s="195"/>
      <c r="C859" s="7"/>
      <c r="D859" s="15"/>
      <c r="E859" s="199"/>
      <c r="F859" s="64"/>
      <c r="G859" s="199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spans="1:27">
      <c r="A860" s="15"/>
      <c r="B860" s="195"/>
      <c r="C860" s="7"/>
      <c r="D860" s="15"/>
      <c r="E860" s="199"/>
      <c r="F860" s="64"/>
      <c r="G860" s="199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spans="1:27">
      <c r="A861" s="15"/>
      <c r="B861" s="195"/>
      <c r="C861" s="7"/>
      <c r="D861" s="15"/>
      <c r="E861" s="199"/>
      <c r="F861" s="64"/>
      <c r="G861" s="199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spans="1:27">
      <c r="A862" s="15"/>
      <c r="B862" s="195"/>
      <c r="C862" s="7"/>
      <c r="D862" s="15"/>
      <c r="E862" s="199"/>
      <c r="F862" s="64"/>
      <c r="G862" s="199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spans="1:27">
      <c r="A863" s="15"/>
      <c r="B863" s="195"/>
      <c r="C863" s="7"/>
      <c r="D863" s="15"/>
      <c r="E863" s="199"/>
      <c r="F863" s="64"/>
      <c r="G863" s="199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spans="1:27">
      <c r="A864" s="15"/>
      <c r="B864" s="195"/>
      <c r="C864" s="7"/>
      <c r="D864" s="15"/>
      <c r="E864" s="199"/>
      <c r="F864" s="64"/>
      <c r="G864" s="199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spans="1:27">
      <c r="A865" s="15"/>
      <c r="B865" s="195"/>
      <c r="C865" s="7"/>
      <c r="D865" s="15"/>
      <c r="E865" s="199"/>
      <c r="F865" s="64"/>
      <c r="G865" s="199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spans="1:27">
      <c r="A866" s="15"/>
      <c r="B866" s="195"/>
      <c r="C866" s="7"/>
      <c r="D866" s="15"/>
      <c r="E866" s="199"/>
      <c r="F866" s="64"/>
      <c r="G866" s="199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spans="1:27">
      <c r="A867" s="15"/>
      <c r="B867" s="195"/>
      <c r="C867" s="7"/>
      <c r="D867" s="15"/>
      <c r="E867" s="199"/>
      <c r="F867" s="64"/>
      <c r="G867" s="199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spans="1:27">
      <c r="A868" s="15"/>
      <c r="B868" s="195"/>
      <c r="C868" s="7"/>
      <c r="D868" s="15"/>
      <c r="E868" s="199"/>
      <c r="F868" s="64"/>
      <c r="G868" s="199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spans="1:27">
      <c r="A869" s="15"/>
      <c r="B869" s="195"/>
      <c r="C869" s="7"/>
      <c r="D869" s="15"/>
      <c r="E869" s="199"/>
      <c r="F869" s="64"/>
      <c r="G869" s="199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 spans="1:27">
      <c r="A870" s="15"/>
      <c r="B870" s="195"/>
      <c r="C870" s="7"/>
      <c r="D870" s="15"/>
      <c r="E870" s="199"/>
      <c r="F870" s="64"/>
      <c r="G870" s="199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 spans="1:27">
      <c r="A871" s="15"/>
      <c r="B871" s="195"/>
      <c r="C871" s="7"/>
      <c r="D871" s="15"/>
      <c r="E871" s="199"/>
      <c r="F871" s="64"/>
      <c r="G871" s="199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 spans="1:27">
      <c r="A872" s="15"/>
      <c r="B872" s="195"/>
      <c r="C872" s="7"/>
      <c r="D872" s="15"/>
      <c r="E872" s="199"/>
      <c r="F872" s="64"/>
      <c r="G872" s="199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 spans="1:27">
      <c r="A873" s="15"/>
      <c r="B873" s="195"/>
      <c r="C873" s="7"/>
      <c r="D873" s="15"/>
      <c r="E873" s="199"/>
      <c r="F873" s="64"/>
      <c r="G873" s="199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 spans="1:27">
      <c r="A874" s="15"/>
      <c r="B874" s="195"/>
      <c r="C874" s="7"/>
      <c r="D874" s="15"/>
      <c r="E874" s="199"/>
      <c r="F874" s="64"/>
      <c r="G874" s="199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 spans="1:27">
      <c r="A875" s="15"/>
      <c r="B875" s="195"/>
      <c r="C875" s="7"/>
      <c r="D875" s="15"/>
      <c r="E875" s="199"/>
      <c r="F875" s="64"/>
      <c r="G875" s="199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 spans="1:27">
      <c r="A876" s="15"/>
      <c r="B876" s="195"/>
      <c r="C876" s="7"/>
      <c r="D876" s="15"/>
      <c r="E876" s="199"/>
      <c r="F876" s="64"/>
      <c r="G876" s="199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 spans="1:27">
      <c r="A877" s="15"/>
      <c r="B877" s="195"/>
      <c r="C877" s="7"/>
      <c r="D877" s="15"/>
      <c r="E877" s="199"/>
      <c r="F877" s="64"/>
      <c r="G877" s="199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 spans="1:27">
      <c r="A878" s="15"/>
      <c r="B878" s="195"/>
      <c r="C878" s="7"/>
      <c r="D878" s="15"/>
      <c r="E878" s="199"/>
      <c r="F878" s="64"/>
      <c r="G878" s="199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 spans="1:27">
      <c r="A879" s="15"/>
      <c r="B879" s="195"/>
      <c r="C879" s="7"/>
      <c r="D879" s="15"/>
      <c r="E879" s="199"/>
      <c r="F879" s="64"/>
      <c r="G879" s="199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 spans="1:27">
      <c r="A880" s="15"/>
      <c r="B880" s="195"/>
      <c r="C880" s="7"/>
      <c r="D880" s="15"/>
      <c r="E880" s="199"/>
      <c r="F880" s="64"/>
      <c r="G880" s="199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 spans="1:27">
      <c r="A881" s="15"/>
      <c r="B881" s="195"/>
      <c r="C881" s="7"/>
      <c r="D881" s="15"/>
      <c r="E881" s="199"/>
      <c r="F881" s="64"/>
      <c r="G881" s="199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 spans="1:27">
      <c r="A882" s="15"/>
      <c r="B882" s="195"/>
      <c r="C882" s="7"/>
      <c r="D882" s="15"/>
      <c r="E882" s="199"/>
      <c r="F882" s="64"/>
      <c r="G882" s="199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 spans="1:27">
      <c r="A883" s="15"/>
      <c r="B883" s="195"/>
      <c r="C883" s="7"/>
      <c r="D883" s="15"/>
      <c r="E883" s="199"/>
      <c r="F883" s="64"/>
      <c r="G883" s="199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 spans="1:27">
      <c r="A884" s="15"/>
      <c r="B884" s="195"/>
      <c r="C884" s="7"/>
      <c r="D884" s="15"/>
      <c r="E884" s="199"/>
      <c r="F884" s="64"/>
      <c r="G884" s="199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 spans="1:27">
      <c r="A885" s="15"/>
      <c r="B885" s="195"/>
      <c r="C885" s="7"/>
      <c r="D885" s="15"/>
      <c r="E885" s="199"/>
      <c r="F885" s="64"/>
      <c r="G885" s="199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spans="1:27">
      <c r="A886" s="15"/>
      <c r="B886" s="195"/>
      <c r="C886" s="7"/>
      <c r="D886" s="15"/>
      <c r="E886" s="199"/>
      <c r="F886" s="64"/>
      <c r="G886" s="199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 spans="1:27">
      <c r="A887" s="15"/>
      <c r="B887" s="195"/>
      <c r="C887" s="7"/>
      <c r="D887" s="15"/>
      <c r="E887" s="199"/>
      <c r="F887" s="64"/>
      <c r="G887" s="199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 spans="1:27">
      <c r="A888" s="15"/>
      <c r="B888" s="195"/>
      <c r="C888" s="7"/>
      <c r="D888" s="15"/>
      <c r="E888" s="199"/>
      <c r="F888" s="64"/>
      <c r="G888" s="199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 spans="1:27">
      <c r="A889" s="15"/>
      <c r="B889" s="195"/>
      <c r="C889" s="7"/>
      <c r="D889" s="15"/>
      <c r="E889" s="199"/>
      <c r="F889" s="64"/>
      <c r="G889" s="199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 spans="1:27">
      <c r="A890" s="15"/>
      <c r="B890" s="195"/>
      <c r="C890" s="7"/>
      <c r="D890" s="15"/>
      <c r="E890" s="199"/>
      <c r="F890" s="64"/>
      <c r="G890" s="199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 spans="1:27">
      <c r="A891" s="15"/>
      <c r="B891" s="195"/>
      <c r="C891" s="7"/>
      <c r="D891" s="15"/>
      <c r="E891" s="199"/>
      <c r="F891" s="64"/>
      <c r="G891" s="199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 spans="1:27">
      <c r="A892" s="15"/>
      <c r="B892" s="195"/>
      <c r="C892" s="7"/>
      <c r="D892" s="15"/>
      <c r="E892" s="199"/>
      <c r="F892" s="64"/>
      <c r="G892" s="199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 spans="1:27">
      <c r="A893" s="15"/>
      <c r="B893" s="195"/>
      <c r="C893" s="7"/>
      <c r="D893" s="15"/>
      <c r="E893" s="199"/>
      <c r="F893" s="64"/>
      <c r="G893" s="199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 spans="1:27">
      <c r="A894" s="15"/>
      <c r="B894" s="195"/>
      <c r="C894" s="7"/>
      <c r="D894" s="15"/>
      <c r="E894" s="199"/>
      <c r="F894" s="64"/>
      <c r="G894" s="199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 spans="1:27">
      <c r="A895" s="15"/>
      <c r="B895" s="195"/>
      <c r="C895" s="7"/>
      <c r="D895" s="15"/>
      <c r="E895" s="199"/>
      <c r="F895" s="64"/>
      <c r="G895" s="199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 spans="1:27">
      <c r="A896" s="15"/>
      <c r="B896" s="195"/>
      <c r="C896" s="7"/>
      <c r="D896" s="15"/>
      <c r="E896" s="199"/>
      <c r="F896" s="64"/>
      <c r="G896" s="199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 spans="1:27">
      <c r="A897" s="15"/>
      <c r="B897" s="195"/>
      <c r="C897" s="7"/>
      <c r="D897" s="15"/>
      <c r="E897" s="199"/>
      <c r="F897" s="64"/>
      <c r="G897" s="199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 spans="1:27">
      <c r="A898" s="15"/>
      <c r="B898" s="195"/>
      <c r="C898" s="7"/>
      <c r="D898" s="15"/>
      <c r="E898" s="199"/>
      <c r="F898" s="64"/>
      <c r="G898" s="199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 spans="1:27">
      <c r="A899" s="15"/>
      <c r="B899" s="195"/>
      <c r="C899" s="7"/>
      <c r="D899" s="15"/>
      <c r="E899" s="199"/>
      <c r="F899" s="64"/>
      <c r="G899" s="199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 spans="1:27">
      <c r="A900" s="15"/>
      <c r="B900" s="195"/>
      <c r="C900" s="7"/>
      <c r="D900" s="15"/>
      <c r="E900" s="199"/>
      <c r="F900" s="64"/>
      <c r="G900" s="199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 spans="1:27">
      <c r="A901" s="15"/>
      <c r="B901" s="195"/>
      <c r="C901" s="7"/>
      <c r="D901" s="15"/>
      <c r="E901" s="199"/>
      <c r="F901" s="64"/>
      <c r="G901" s="199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 spans="1:27">
      <c r="A902" s="15"/>
      <c r="B902" s="195"/>
      <c r="C902" s="7"/>
      <c r="D902" s="15"/>
      <c r="E902" s="199"/>
      <c r="F902" s="64"/>
      <c r="G902" s="199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 spans="1:27">
      <c r="A903" s="15"/>
      <c r="B903" s="195"/>
      <c r="C903" s="7"/>
      <c r="D903" s="15"/>
      <c r="E903" s="199"/>
      <c r="F903" s="64"/>
      <c r="G903" s="199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 spans="1:27">
      <c r="A904" s="15"/>
      <c r="B904" s="195"/>
      <c r="C904" s="7"/>
      <c r="D904" s="15"/>
      <c r="E904" s="199"/>
      <c r="F904" s="64"/>
      <c r="G904" s="199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 spans="1:27">
      <c r="A905" s="15"/>
      <c r="B905" s="195"/>
      <c r="C905" s="7"/>
      <c r="D905" s="15"/>
      <c r="E905" s="199"/>
      <c r="F905" s="64"/>
      <c r="G905" s="199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 spans="1:27">
      <c r="A906" s="15"/>
      <c r="B906" s="195"/>
      <c r="C906" s="7"/>
      <c r="D906" s="15"/>
      <c r="E906" s="199"/>
      <c r="F906" s="64"/>
      <c r="G906" s="199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 spans="1:27">
      <c r="A907" s="15"/>
      <c r="B907" s="195"/>
      <c r="C907" s="7"/>
      <c r="D907" s="15"/>
      <c r="E907" s="199"/>
      <c r="F907" s="64"/>
      <c r="G907" s="199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 spans="1:27">
      <c r="A908" s="15"/>
      <c r="B908" s="195"/>
      <c r="C908" s="7"/>
      <c r="D908" s="15"/>
      <c r="E908" s="199"/>
      <c r="F908" s="64"/>
      <c r="G908" s="199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 spans="1:27">
      <c r="A909" s="15"/>
      <c r="B909" s="195"/>
      <c r="C909" s="7"/>
      <c r="D909" s="15"/>
      <c r="E909" s="199"/>
      <c r="F909" s="64"/>
      <c r="G909" s="199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 spans="1:27">
      <c r="A910" s="15"/>
      <c r="B910" s="195"/>
      <c r="C910" s="7"/>
      <c r="D910" s="15"/>
      <c r="E910" s="199"/>
      <c r="F910" s="64"/>
      <c r="G910" s="199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 spans="1:27">
      <c r="A911" s="15"/>
      <c r="B911" s="195"/>
      <c r="C911" s="7"/>
      <c r="D911" s="15"/>
      <c r="E911" s="199"/>
      <c r="F911" s="64"/>
      <c r="G911" s="199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 spans="1:27">
      <c r="A912" s="15"/>
      <c r="B912" s="195"/>
      <c r="C912" s="7"/>
      <c r="D912" s="15"/>
      <c r="E912" s="199"/>
      <c r="F912" s="64"/>
      <c r="G912" s="199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 spans="1:27">
      <c r="A913" s="15"/>
      <c r="B913" s="195"/>
      <c r="C913" s="7"/>
      <c r="D913" s="15"/>
      <c r="E913" s="199"/>
      <c r="F913" s="64"/>
      <c r="G913" s="199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 spans="1:27">
      <c r="A914" s="15"/>
      <c r="B914" s="195"/>
      <c r="C914" s="7"/>
      <c r="D914" s="15"/>
      <c r="E914" s="199"/>
      <c r="F914" s="64"/>
      <c r="G914" s="199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 spans="1:27">
      <c r="A915" s="15"/>
      <c r="B915" s="195"/>
      <c r="C915" s="7"/>
      <c r="D915" s="15"/>
      <c r="E915" s="199"/>
      <c r="F915" s="64"/>
      <c r="G915" s="199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 spans="1:27">
      <c r="A916" s="15"/>
      <c r="B916" s="195"/>
      <c r="C916" s="7"/>
      <c r="D916" s="15"/>
      <c r="E916" s="199"/>
      <c r="F916" s="64"/>
      <c r="G916" s="199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 spans="1:27">
      <c r="A917" s="15"/>
      <c r="B917" s="195"/>
      <c r="C917" s="7"/>
      <c r="D917" s="15"/>
      <c r="E917" s="199"/>
      <c r="F917" s="64"/>
      <c r="G917" s="199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 spans="1:27">
      <c r="A918" s="15"/>
      <c r="B918" s="195"/>
      <c r="C918" s="7"/>
      <c r="D918" s="15"/>
      <c r="E918" s="199"/>
      <c r="F918" s="64"/>
      <c r="G918" s="199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 spans="1:27">
      <c r="A919" s="15"/>
      <c r="B919" s="195"/>
      <c r="C919" s="7"/>
      <c r="D919" s="15"/>
      <c r="E919" s="199"/>
      <c r="F919" s="64"/>
      <c r="G919" s="199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 spans="1:27">
      <c r="A920" s="15"/>
      <c r="B920" s="195"/>
      <c r="C920" s="7"/>
      <c r="D920" s="15"/>
      <c r="E920" s="199"/>
      <c r="F920" s="64"/>
      <c r="G920" s="199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 spans="1:27">
      <c r="A921" s="15"/>
      <c r="B921" s="195"/>
      <c r="C921" s="7"/>
      <c r="D921" s="15"/>
      <c r="E921" s="199"/>
      <c r="F921" s="64"/>
      <c r="G921" s="199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 spans="1:27">
      <c r="A922" s="15"/>
      <c r="B922" s="195"/>
      <c r="C922" s="7"/>
      <c r="D922" s="15"/>
      <c r="E922" s="199"/>
      <c r="F922" s="64"/>
      <c r="G922" s="199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 spans="1:27">
      <c r="A923" s="15"/>
      <c r="B923" s="195"/>
      <c r="C923" s="7"/>
      <c r="D923" s="15"/>
      <c r="E923" s="199"/>
      <c r="F923" s="64"/>
      <c r="G923" s="199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 spans="1:27">
      <c r="A924" s="15"/>
      <c r="B924" s="195"/>
      <c r="C924" s="7"/>
      <c r="D924" s="15"/>
      <c r="E924" s="199"/>
      <c r="F924" s="64"/>
      <c r="G924" s="199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 spans="1:27">
      <c r="A925" s="15"/>
      <c r="B925" s="195"/>
      <c r="C925" s="7"/>
      <c r="D925" s="15"/>
      <c r="E925" s="199"/>
      <c r="F925" s="64"/>
      <c r="G925" s="199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 spans="1:27">
      <c r="A926" s="15"/>
      <c r="B926" s="195"/>
      <c r="C926" s="7"/>
      <c r="D926" s="15"/>
      <c r="E926" s="199"/>
      <c r="F926" s="64"/>
      <c r="G926" s="199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 spans="1:27">
      <c r="A927" s="15"/>
      <c r="B927" s="195"/>
      <c r="C927" s="7"/>
      <c r="D927" s="15"/>
      <c r="E927" s="199"/>
      <c r="F927" s="64"/>
      <c r="G927" s="199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 spans="1:27">
      <c r="A928" s="15"/>
      <c r="B928" s="195"/>
      <c r="C928" s="7"/>
      <c r="D928" s="15"/>
      <c r="E928" s="199"/>
      <c r="F928" s="64"/>
      <c r="G928" s="199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 spans="1:27">
      <c r="A929" s="15"/>
      <c r="B929" s="195"/>
      <c r="C929" s="7"/>
      <c r="D929" s="15"/>
      <c r="E929" s="199"/>
      <c r="F929" s="64"/>
      <c r="G929" s="199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 spans="1:27">
      <c r="A930" s="15"/>
      <c r="B930" s="195"/>
      <c r="C930" s="7"/>
      <c r="D930" s="15"/>
      <c r="E930" s="199"/>
      <c r="F930" s="64"/>
      <c r="G930" s="199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 spans="1:27">
      <c r="A931" s="15"/>
      <c r="B931" s="195"/>
      <c r="C931" s="7"/>
      <c r="D931" s="15"/>
      <c r="E931" s="199"/>
      <c r="F931" s="64"/>
      <c r="G931" s="199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 spans="1:27">
      <c r="A932" s="15"/>
      <c r="B932" s="195"/>
      <c r="C932" s="7"/>
      <c r="D932" s="15"/>
      <c r="E932" s="199"/>
      <c r="F932" s="64"/>
      <c r="G932" s="199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 spans="1:27">
      <c r="A933" s="15"/>
      <c r="B933" s="195"/>
      <c r="C933" s="7"/>
      <c r="D933" s="15"/>
      <c r="E933" s="199"/>
      <c r="F933" s="64"/>
      <c r="G933" s="199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 spans="1:27">
      <c r="A934" s="15"/>
      <c r="B934" s="195"/>
      <c r="C934" s="7"/>
      <c r="D934" s="15"/>
      <c r="E934" s="199"/>
      <c r="F934" s="64"/>
      <c r="G934" s="199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 spans="1:27">
      <c r="A935" s="15"/>
      <c r="B935" s="195"/>
      <c r="C935" s="7"/>
      <c r="D935" s="15"/>
      <c r="E935" s="199"/>
      <c r="F935" s="64"/>
      <c r="G935" s="199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 spans="1:27">
      <c r="A936" s="15"/>
      <c r="B936" s="195"/>
      <c r="C936" s="7"/>
      <c r="D936" s="15"/>
      <c r="E936" s="199"/>
      <c r="F936" s="64"/>
      <c r="G936" s="199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 spans="1:27">
      <c r="A937" s="15"/>
      <c r="B937" s="195"/>
      <c r="C937" s="7"/>
      <c r="D937" s="15"/>
      <c r="E937" s="199"/>
      <c r="F937" s="64"/>
      <c r="G937" s="199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 spans="1:27">
      <c r="A938" s="15"/>
      <c r="B938" s="195"/>
      <c r="C938" s="7"/>
      <c r="D938" s="15"/>
      <c r="E938" s="199"/>
      <c r="F938" s="64"/>
      <c r="G938" s="199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 spans="1:27">
      <c r="A939" s="15"/>
      <c r="B939" s="195"/>
      <c r="C939" s="7"/>
      <c r="D939" s="15"/>
      <c r="E939" s="199"/>
      <c r="F939" s="64"/>
      <c r="G939" s="199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 spans="1:27">
      <c r="A940" s="15"/>
      <c r="B940" s="195"/>
      <c r="C940" s="7"/>
      <c r="D940" s="15"/>
      <c r="E940" s="199"/>
      <c r="F940" s="64"/>
      <c r="G940" s="199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 spans="1:27">
      <c r="A941" s="15"/>
      <c r="B941" s="195"/>
      <c r="C941" s="7"/>
      <c r="D941" s="15"/>
      <c r="E941" s="199"/>
      <c r="F941" s="64"/>
      <c r="G941" s="199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 spans="1:27">
      <c r="A942" s="15"/>
      <c r="B942" s="195"/>
      <c r="C942" s="7"/>
      <c r="D942" s="15"/>
      <c r="E942" s="199"/>
      <c r="F942" s="64"/>
      <c r="G942" s="199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 spans="1:27">
      <c r="A943" s="15"/>
      <c r="B943" s="195"/>
      <c r="C943" s="7"/>
      <c r="D943" s="15"/>
      <c r="E943" s="199"/>
      <c r="F943" s="64"/>
      <c r="G943" s="199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 spans="1:27">
      <c r="A944" s="15"/>
      <c r="B944" s="195"/>
      <c r="C944" s="7"/>
      <c r="D944" s="15"/>
      <c r="E944" s="199"/>
      <c r="F944" s="64"/>
      <c r="G944" s="199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 spans="1:27">
      <c r="A945" s="15"/>
      <c r="B945" s="195"/>
      <c r="C945" s="7"/>
      <c r="D945" s="15"/>
      <c r="E945" s="199"/>
      <c r="F945" s="64"/>
      <c r="G945" s="199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 spans="1:27">
      <c r="A946" s="15"/>
      <c r="B946" s="195"/>
      <c r="C946" s="7"/>
      <c r="D946" s="15"/>
      <c r="E946" s="199"/>
      <c r="F946" s="64"/>
      <c r="G946" s="199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 spans="1:27">
      <c r="A947" s="15"/>
      <c r="B947" s="195"/>
      <c r="C947" s="7"/>
      <c r="D947" s="15"/>
      <c r="E947" s="199"/>
      <c r="F947" s="64"/>
      <c r="G947" s="199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 spans="1:27">
      <c r="A948" s="15"/>
      <c r="B948" s="195"/>
      <c r="C948" s="7"/>
      <c r="D948" s="15"/>
      <c r="E948" s="199"/>
      <c r="F948" s="64"/>
      <c r="G948" s="199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 spans="1:27">
      <c r="A949" s="15"/>
      <c r="B949" s="195"/>
      <c r="C949" s="7"/>
      <c r="D949" s="15"/>
      <c r="E949" s="199"/>
      <c r="F949" s="64"/>
      <c r="G949" s="199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 spans="1:27">
      <c r="A950" s="15"/>
      <c r="B950" s="195"/>
      <c r="C950" s="7"/>
      <c r="D950" s="15"/>
      <c r="E950" s="199"/>
      <c r="F950" s="64"/>
      <c r="G950" s="199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 spans="1:27">
      <c r="A951" s="15"/>
      <c r="B951" s="195"/>
      <c r="C951" s="7"/>
      <c r="D951" s="15"/>
      <c r="E951" s="199"/>
      <c r="F951" s="64"/>
      <c r="G951" s="199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 spans="1:27">
      <c r="A952" s="15"/>
      <c r="B952" s="195"/>
      <c r="C952" s="7"/>
      <c r="D952" s="15"/>
      <c r="E952" s="199"/>
      <c r="F952" s="64"/>
      <c r="G952" s="199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 spans="1:27">
      <c r="A953" s="15"/>
      <c r="B953" s="195"/>
      <c r="C953" s="7"/>
      <c r="D953" s="15"/>
      <c r="E953" s="199"/>
      <c r="F953" s="64"/>
      <c r="G953" s="199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 spans="1:27">
      <c r="A954" s="15"/>
      <c r="B954" s="195"/>
      <c r="C954" s="7"/>
      <c r="D954" s="15"/>
      <c r="E954" s="199"/>
      <c r="F954" s="64"/>
      <c r="G954" s="199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 spans="1:27">
      <c r="A955" s="15"/>
      <c r="B955" s="195"/>
      <c r="C955" s="7"/>
      <c r="D955" s="15"/>
      <c r="E955" s="199"/>
      <c r="F955" s="64"/>
      <c r="G955" s="199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 spans="1:27">
      <c r="A956" s="15"/>
      <c r="B956" s="195"/>
      <c r="C956" s="7"/>
      <c r="D956" s="15"/>
      <c r="E956" s="199"/>
      <c r="F956" s="64"/>
      <c r="G956" s="199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 spans="1:27">
      <c r="A957" s="15"/>
      <c r="B957" s="195"/>
      <c r="C957" s="7"/>
      <c r="D957" s="15"/>
      <c r="E957" s="199"/>
      <c r="F957" s="64"/>
      <c r="G957" s="199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 spans="1:27">
      <c r="A958" s="15"/>
      <c r="B958" s="195"/>
      <c r="C958" s="7"/>
      <c r="D958" s="15"/>
      <c r="E958" s="199"/>
      <c r="F958" s="64"/>
      <c r="G958" s="199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 spans="1:27">
      <c r="A959" s="15"/>
      <c r="B959" s="195"/>
      <c r="C959" s="7"/>
      <c r="D959" s="15"/>
      <c r="E959" s="199"/>
      <c r="F959" s="64"/>
      <c r="G959" s="199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 spans="1:27">
      <c r="A960" s="15"/>
      <c r="B960" s="195"/>
      <c r="C960" s="7"/>
      <c r="D960" s="15"/>
      <c r="E960" s="199"/>
      <c r="F960" s="64"/>
      <c r="G960" s="199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 spans="1:27">
      <c r="A961" s="15"/>
      <c r="B961" s="195"/>
      <c r="C961" s="7"/>
      <c r="D961" s="15"/>
      <c r="E961" s="199"/>
      <c r="F961" s="64"/>
      <c r="G961" s="199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 spans="1:27">
      <c r="A962" s="15"/>
      <c r="B962" s="195"/>
      <c r="C962" s="7"/>
      <c r="D962" s="15"/>
      <c r="E962" s="199"/>
      <c r="F962" s="64"/>
      <c r="G962" s="199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 spans="1:27">
      <c r="A963" s="15"/>
      <c r="B963" s="195"/>
      <c r="C963" s="7"/>
      <c r="D963" s="15"/>
      <c r="E963" s="199"/>
      <c r="F963" s="64"/>
      <c r="G963" s="199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 spans="1:27">
      <c r="A964" s="15"/>
      <c r="B964" s="195"/>
      <c r="C964" s="7"/>
      <c r="D964" s="15"/>
      <c r="E964" s="199"/>
      <c r="F964" s="64"/>
      <c r="G964" s="199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 spans="1:27">
      <c r="A965" s="15"/>
      <c r="B965" s="195"/>
      <c r="C965" s="7"/>
      <c r="D965" s="15"/>
      <c r="E965" s="199"/>
      <c r="F965" s="64"/>
      <c r="G965" s="199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 spans="1:27">
      <c r="A966" s="15"/>
      <c r="B966" s="195"/>
      <c r="C966" s="7"/>
      <c r="D966" s="15"/>
      <c r="E966" s="199"/>
      <c r="F966" s="64"/>
      <c r="G966" s="199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 spans="1:27">
      <c r="A967" s="15"/>
      <c r="B967" s="195"/>
      <c r="C967" s="7"/>
      <c r="D967" s="15"/>
      <c r="E967" s="199"/>
      <c r="F967" s="64"/>
      <c r="G967" s="199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 spans="1:27">
      <c r="A968" s="15"/>
      <c r="B968" s="195"/>
      <c r="C968" s="7"/>
      <c r="D968" s="15"/>
      <c r="E968" s="199"/>
      <c r="F968" s="64"/>
      <c r="G968" s="199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 spans="1:27">
      <c r="A969" s="15"/>
      <c r="B969" s="195"/>
      <c r="C969" s="7"/>
      <c r="D969" s="15"/>
      <c r="E969" s="199"/>
      <c r="F969" s="64"/>
      <c r="G969" s="199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 spans="1:27">
      <c r="A970" s="15"/>
      <c r="B970" s="195"/>
      <c r="C970" s="7"/>
      <c r="D970" s="15"/>
      <c r="E970" s="199"/>
      <c r="F970" s="64"/>
      <c r="G970" s="199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 spans="1:27">
      <c r="A971" s="15"/>
      <c r="B971" s="195"/>
      <c r="C971" s="7"/>
      <c r="D971" s="15"/>
      <c r="E971" s="199"/>
      <c r="F971" s="64"/>
      <c r="G971" s="199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 spans="1:27">
      <c r="A972" s="15"/>
      <c r="B972" s="195"/>
      <c r="C972" s="7"/>
      <c r="D972" s="15"/>
      <c r="E972" s="199"/>
      <c r="F972" s="64"/>
      <c r="G972" s="199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 spans="1:27">
      <c r="A973" s="15"/>
      <c r="B973" s="195"/>
      <c r="C973" s="7"/>
      <c r="D973" s="15"/>
      <c r="E973" s="199"/>
      <c r="F973" s="64"/>
      <c r="G973" s="199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 spans="1:27">
      <c r="A974" s="15"/>
      <c r="B974" s="195"/>
      <c r="C974" s="7"/>
      <c r="D974" s="15"/>
      <c r="E974" s="199"/>
      <c r="F974" s="64"/>
      <c r="G974" s="199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 spans="1:27">
      <c r="A975" s="15"/>
      <c r="B975" s="195"/>
      <c r="C975" s="7"/>
      <c r="D975" s="15"/>
      <c r="E975" s="199"/>
      <c r="F975" s="64"/>
      <c r="G975" s="199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 spans="1:27">
      <c r="A976" s="15"/>
      <c r="B976" s="195"/>
      <c r="C976" s="7"/>
      <c r="D976" s="15"/>
      <c r="E976" s="199"/>
      <c r="F976" s="64"/>
      <c r="G976" s="199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 spans="1:27">
      <c r="A977" s="15"/>
      <c r="B977" s="195"/>
      <c r="C977" s="7"/>
      <c r="D977" s="15"/>
      <c r="E977" s="199"/>
      <c r="F977" s="64"/>
      <c r="G977" s="199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 spans="1:27">
      <c r="A978" s="15"/>
      <c r="B978" s="195"/>
      <c r="C978" s="7"/>
      <c r="D978" s="15"/>
      <c r="E978" s="199"/>
      <c r="F978" s="64"/>
      <c r="G978" s="199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 spans="1:27">
      <c r="A979" s="15"/>
      <c r="B979" s="195"/>
      <c r="C979" s="7"/>
      <c r="D979" s="15"/>
      <c r="E979" s="199"/>
      <c r="F979" s="64"/>
      <c r="G979" s="199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 spans="1:27">
      <c r="A980" s="15"/>
      <c r="B980" s="195"/>
      <c r="C980" s="7"/>
      <c r="D980" s="15"/>
      <c r="E980" s="199"/>
      <c r="F980" s="64"/>
      <c r="G980" s="199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 spans="1:27">
      <c r="A981" s="15"/>
      <c r="B981" s="195"/>
      <c r="C981" s="7"/>
      <c r="D981" s="15"/>
      <c r="E981" s="199"/>
      <c r="F981" s="64"/>
      <c r="G981" s="199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 spans="1:27">
      <c r="A982" s="15"/>
      <c r="B982" s="195"/>
      <c r="C982" s="7"/>
      <c r="D982" s="15"/>
      <c r="E982" s="199"/>
      <c r="F982" s="64"/>
      <c r="G982" s="199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 spans="1:27">
      <c r="A983" s="15"/>
      <c r="B983" s="195"/>
      <c r="C983" s="7"/>
      <c r="D983" s="15"/>
      <c r="E983" s="199"/>
      <c r="F983" s="64"/>
      <c r="G983" s="199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 spans="1:27">
      <c r="A984" s="15"/>
      <c r="B984" s="195"/>
      <c r="C984" s="7"/>
      <c r="D984" s="15"/>
      <c r="E984" s="199"/>
      <c r="F984" s="64"/>
      <c r="G984" s="199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 spans="1:27">
      <c r="A985" s="15"/>
      <c r="B985" s="195"/>
      <c r="C985" s="7"/>
      <c r="D985" s="15"/>
      <c r="E985" s="199"/>
      <c r="F985" s="64"/>
      <c r="G985" s="199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 spans="1:27">
      <c r="A986" s="15"/>
      <c r="B986" s="195"/>
      <c r="C986" s="7"/>
      <c r="D986" s="15"/>
      <c r="E986" s="199"/>
      <c r="F986" s="64"/>
      <c r="G986" s="199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 spans="1:27">
      <c r="A987" s="15"/>
      <c r="B987" s="195"/>
      <c r="C987" s="7"/>
      <c r="D987" s="15"/>
      <c r="E987" s="199"/>
      <c r="F987" s="64"/>
      <c r="G987" s="199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 spans="1:27">
      <c r="A988" s="15"/>
      <c r="B988" s="195"/>
      <c r="C988" s="7"/>
      <c r="D988" s="15"/>
      <c r="E988" s="199"/>
      <c r="F988" s="64"/>
      <c r="G988" s="199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 spans="1:27">
      <c r="A989" s="15"/>
      <c r="B989" s="195"/>
      <c r="C989" s="7"/>
      <c r="D989" s="15"/>
      <c r="E989" s="199"/>
      <c r="F989" s="64"/>
      <c r="G989" s="199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 spans="1:27">
      <c r="A990" s="15"/>
      <c r="B990" s="195"/>
      <c r="C990" s="7"/>
      <c r="D990" s="15"/>
      <c r="E990" s="199"/>
      <c r="F990" s="64"/>
      <c r="G990" s="199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 spans="1:27">
      <c r="A991" s="15"/>
      <c r="B991" s="195"/>
      <c r="C991" s="7"/>
      <c r="D991" s="15"/>
      <c r="E991" s="199"/>
      <c r="F991" s="64"/>
      <c r="G991" s="199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 spans="1:27">
      <c r="A992" s="15"/>
      <c r="B992" s="195"/>
      <c r="C992" s="7"/>
      <c r="D992" s="15"/>
      <c r="E992" s="199"/>
      <c r="F992" s="64"/>
      <c r="G992" s="199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 spans="1:27">
      <c r="A993" s="15"/>
      <c r="B993" s="195"/>
      <c r="C993" s="7"/>
      <c r="D993" s="15"/>
      <c r="E993" s="199"/>
      <c r="F993" s="64"/>
      <c r="G993" s="199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 spans="1:27">
      <c r="A994" s="15"/>
      <c r="B994" s="195"/>
      <c r="C994" s="7"/>
      <c r="D994" s="15"/>
      <c r="E994" s="199"/>
      <c r="F994" s="64"/>
      <c r="G994" s="199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 spans="1:27">
      <c r="A995" s="15"/>
      <c r="B995" s="195"/>
      <c r="C995" s="7"/>
      <c r="D995" s="15"/>
      <c r="E995" s="199"/>
      <c r="F995" s="64"/>
      <c r="G995" s="199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 spans="1:27">
      <c r="A996" s="15"/>
      <c r="B996" s="195"/>
      <c r="C996" s="7"/>
      <c r="D996" s="15"/>
      <c r="E996" s="199"/>
      <c r="F996" s="64"/>
      <c r="G996" s="199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 spans="1:27">
      <c r="A997" s="15"/>
      <c r="B997" s="195"/>
      <c r="C997" s="7"/>
      <c r="D997" s="15"/>
      <c r="E997" s="199"/>
      <c r="F997" s="64"/>
      <c r="G997" s="199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 spans="1:27">
      <c r="A998" s="15"/>
      <c r="B998" s="195"/>
      <c r="C998" s="7"/>
      <c r="D998" s="15"/>
      <c r="E998" s="199"/>
      <c r="F998" s="64"/>
      <c r="G998" s="199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 spans="1:27">
      <c r="A999" s="15"/>
      <c r="B999" s="195"/>
      <c r="C999" s="7"/>
      <c r="D999" s="15"/>
      <c r="E999" s="199"/>
      <c r="F999" s="64"/>
      <c r="G999" s="199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 spans="1:27">
      <c r="A1000" s="15"/>
      <c r="B1000" s="195"/>
      <c r="C1000" s="7"/>
      <c r="D1000" s="15"/>
      <c r="E1000" s="199"/>
      <c r="F1000" s="64"/>
      <c r="G1000" s="199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  <row r="1001" spans="1:27">
      <c r="A1001" s="15"/>
      <c r="B1001" s="195"/>
      <c r="C1001" s="7"/>
      <c r="D1001" s="15"/>
      <c r="E1001" s="199"/>
      <c r="F1001" s="64"/>
      <c r="G1001" s="199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</row>
    <row r="1002" spans="1:27">
      <c r="A1002" s="15"/>
      <c r="B1002" s="195"/>
      <c r="C1002" s="7"/>
      <c r="D1002" s="15"/>
      <c r="E1002" s="199"/>
      <c r="F1002" s="64"/>
      <c r="G1002" s="199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</row>
    <row r="1003" spans="1:27">
      <c r="A1003" s="15"/>
      <c r="B1003" s="195"/>
      <c r="C1003" s="7"/>
      <c r="D1003" s="15"/>
      <c r="E1003" s="199"/>
      <c r="F1003" s="64"/>
      <c r="G1003" s="199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</row>
    <row r="1004" spans="1:27">
      <c r="A1004" s="15"/>
      <c r="B1004" s="195"/>
      <c r="C1004" s="7"/>
      <c r="D1004" s="15"/>
      <c r="E1004" s="199"/>
      <c r="F1004" s="64"/>
      <c r="G1004" s="199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</row>
    <row r="1005" spans="1:27">
      <c r="A1005" s="15"/>
      <c r="B1005" s="195"/>
      <c r="C1005" s="7"/>
      <c r="D1005" s="15"/>
      <c r="E1005" s="199"/>
      <c r="F1005" s="64"/>
      <c r="G1005" s="199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</row>
    <row r="1006" spans="1:27">
      <c r="A1006" s="15"/>
      <c r="B1006" s="195"/>
      <c r="C1006" s="7"/>
      <c r="D1006" s="15"/>
      <c r="E1006" s="199"/>
      <c r="F1006" s="64"/>
      <c r="G1006" s="199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</row>
    <row r="1007" spans="1:27">
      <c r="A1007" s="15"/>
      <c r="B1007" s="195"/>
      <c r="C1007" s="7"/>
      <c r="D1007" s="15"/>
      <c r="E1007" s="199"/>
      <c r="F1007" s="64"/>
      <c r="G1007" s="199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</row>
    <row r="1008" spans="1:27">
      <c r="A1008" s="15"/>
      <c r="B1008" s="195"/>
      <c r="C1008" s="7"/>
      <c r="D1008" s="15"/>
      <c r="E1008" s="199"/>
      <c r="F1008" s="64"/>
      <c r="G1008" s="199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</row>
    <row r="1009" spans="1:27">
      <c r="A1009" s="15"/>
      <c r="B1009" s="195"/>
      <c r="C1009" s="7"/>
      <c r="D1009" s="15"/>
      <c r="E1009" s="199"/>
      <c r="F1009" s="64"/>
      <c r="G1009" s="199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</row>
    <row r="1010" spans="1:27">
      <c r="A1010" s="15"/>
      <c r="B1010" s="195"/>
      <c r="C1010" s="7"/>
      <c r="D1010" s="15"/>
      <c r="E1010" s="199"/>
      <c r="F1010" s="64"/>
      <c r="G1010" s="199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</row>
    <row r="1011" spans="1:27">
      <c r="A1011" s="15"/>
      <c r="B1011" s="195"/>
      <c r="C1011" s="7"/>
      <c r="D1011" s="15"/>
      <c r="E1011" s="199"/>
      <c r="F1011" s="64"/>
      <c r="G1011" s="199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</row>
    <row r="1012" spans="1:27">
      <c r="A1012" s="15"/>
      <c r="B1012" s="195"/>
      <c r="C1012" s="7"/>
      <c r="D1012" s="15"/>
      <c r="E1012" s="199"/>
      <c r="F1012" s="64"/>
      <c r="G1012" s="199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</row>
    <row r="1013" spans="1:27">
      <c r="A1013" s="15"/>
      <c r="B1013" s="195"/>
      <c r="C1013" s="7"/>
      <c r="D1013" s="15"/>
      <c r="E1013" s="199"/>
      <c r="F1013" s="64"/>
      <c r="G1013" s="199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</row>
    <row r="1014" spans="1:27">
      <c r="A1014" s="15"/>
      <c r="B1014" s="195"/>
      <c r="C1014" s="7"/>
      <c r="D1014" s="15"/>
      <c r="E1014" s="199"/>
      <c r="F1014" s="64"/>
      <c r="G1014" s="199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</row>
    <row r="1015" spans="1:27">
      <c r="A1015" s="15"/>
      <c r="B1015" s="195"/>
      <c r="C1015" s="7"/>
      <c r="D1015" s="15"/>
      <c r="E1015" s="199"/>
      <c r="F1015" s="64"/>
      <c r="G1015" s="199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</row>
    <row r="1016" spans="1:27">
      <c r="A1016" s="15"/>
      <c r="B1016" s="195"/>
      <c r="C1016" s="7"/>
      <c r="D1016" s="15"/>
      <c r="E1016" s="199"/>
      <c r="F1016" s="64"/>
      <c r="G1016" s="199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</row>
    <row r="1017" spans="1:27">
      <c r="A1017" s="15"/>
      <c r="B1017" s="195"/>
      <c r="C1017" s="7"/>
      <c r="D1017" s="15"/>
      <c r="E1017" s="199"/>
      <c r="F1017" s="64"/>
      <c r="G1017" s="199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</row>
    <row r="1018" spans="1:27">
      <c r="A1018" s="15"/>
      <c r="B1018" s="195"/>
      <c r="C1018" s="7"/>
      <c r="D1018" s="15"/>
      <c r="E1018" s="199"/>
      <c r="F1018" s="64"/>
      <c r="G1018" s="199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</row>
    <row r="1019" spans="1:27">
      <c r="A1019" s="15"/>
      <c r="B1019" s="195"/>
      <c r="C1019" s="7"/>
      <c r="D1019" s="15"/>
      <c r="E1019" s="199"/>
      <c r="F1019" s="64"/>
      <c r="G1019" s="199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</row>
    <row r="1020" spans="1:27">
      <c r="A1020" s="15"/>
      <c r="B1020" s="15"/>
      <c r="C1020" s="267"/>
      <c r="D1020" s="15"/>
      <c r="E1020" s="199"/>
      <c r="F1020" s="64"/>
      <c r="G1020" s="199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</row>
    <row r="1021" spans="1:27">
      <c r="A1021" s="15"/>
      <c r="B1021" s="15"/>
      <c r="C1021" s="267"/>
      <c r="D1021" s="15"/>
      <c r="E1021" s="199"/>
      <c r="F1021" s="64"/>
      <c r="G1021" s="199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</row>
    <row r="1022" spans="1:27">
      <c r="A1022" s="15"/>
      <c r="B1022" s="15"/>
      <c r="C1022" s="267"/>
      <c r="D1022" s="15"/>
      <c r="E1022" s="199"/>
      <c r="F1022" s="64"/>
      <c r="G1022" s="199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</row>
    <row r="1023" spans="1:27">
      <c r="A1023" s="15"/>
      <c r="B1023" s="15"/>
      <c r="C1023" s="267"/>
      <c r="D1023" s="15"/>
      <c r="E1023" s="199"/>
      <c r="F1023" s="64"/>
      <c r="G1023" s="199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</row>
    <row r="1024" spans="1:27">
      <c r="A1024" s="15"/>
      <c r="B1024" s="15"/>
      <c r="C1024" s="267"/>
      <c r="D1024" s="15"/>
      <c r="E1024" s="199"/>
      <c r="F1024" s="64"/>
      <c r="G1024" s="199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</row>
    <row r="1025" spans="1:27">
      <c r="A1025" s="15"/>
      <c r="B1025" s="15"/>
      <c r="C1025" s="267"/>
      <c r="D1025" s="15"/>
      <c r="E1025" s="199"/>
      <c r="F1025" s="64"/>
      <c r="G1025" s="199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</row>
    <row r="1026" spans="1:27">
      <c r="A1026" s="15"/>
      <c r="B1026" s="15"/>
      <c r="C1026" s="267"/>
      <c r="D1026" s="15"/>
      <c r="E1026" s="199"/>
      <c r="F1026" s="64"/>
      <c r="G1026" s="199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</row>
    <row r="1027" spans="1:27">
      <c r="A1027" s="15"/>
      <c r="B1027" s="15"/>
      <c r="C1027" s="267"/>
      <c r="D1027" s="15"/>
      <c r="E1027" s="199"/>
      <c r="F1027" s="64"/>
      <c r="G1027" s="199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23"/>
  <sheetViews>
    <sheetView workbookViewId="0"/>
  </sheetViews>
  <sheetFormatPr defaultColWidth="12.5703125" defaultRowHeight="15.75" customHeight="1"/>
  <cols>
    <col min="1" max="1" width="6.28515625" customWidth="1"/>
    <col min="2" max="2" width="23.7109375" customWidth="1"/>
    <col min="5" max="5" width="23.42578125" customWidth="1"/>
  </cols>
  <sheetData>
    <row r="1" spans="1:27" ht="12.75">
      <c r="A1" s="2"/>
      <c r="B1" s="4" t="s">
        <v>6</v>
      </c>
      <c r="C1" s="6"/>
      <c r="D1" s="6"/>
      <c r="E1" s="8"/>
      <c r="F1" s="11"/>
      <c r="G1" s="8"/>
      <c r="H1" s="6"/>
      <c r="I1" s="14"/>
      <c r="J1" s="14" t="s">
        <v>4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25.5">
      <c r="A2" s="18" t="s">
        <v>5</v>
      </c>
      <c r="B2" s="20" t="s">
        <v>7</v>
      </c>
      <c r="C2" s="22" t="s">
        <v>8</v>
      </c>
      <c r="D2" s="22" t="s">
        <v>9</v>
      </c>
      <c r="E2" s="24" t="s">
        <v>10</v>
      </c>
      <c r="F2" s="26" t="s">
        <v>11</v>
      </c>
      <c r="G2" s="24" t="s">
        <v>12</v>
      </c>
      <c r="H2" s="22" t="s">
        <v>13</v>
      </c>
      <c r="I2" s="14"/>
      <c r="J2" s="14" t="s">
        <v>14</v>
      </c>
      <c r="K2" s="14" t="s">
        <v>15</v>
      </c>
      <c r="L2" s="14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12.75">
      <c r="A3" s="2">
        <v>1</v>
      </c>
      <c r="B3" s="29" t="s">
        <v>17</v>
      </c>
      <c r="C3" s="6">
        <v>7</v>
      </c>
      <c r="D3" s="6"/>
      <c r="E3" s="8" t="s">
        <v>18</v>
      </c>
      <c r="F3" s="11"/>
      <c r="G3" s="8"/>
      <c r="H3" s="6"/>
      <c r="I3" s="14"/>
      <c r="J3" s="14" t="s">
        <v>19</v>
      </c>
      <c r="K3" s="33">
        <v>290</v>
      </c>
      <c r="L3" s="35">
        <f>F24</f>
        <v>193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45.75" customHeight="1">
      <c r="A4" s="37">
        <v>2</v>
      </c>
      <c r="B4" s="29" t="s">
        <v>20</v>
      </c>
      <c r="C4" s="6">
        <v>7</v>
      </c>
      <c r="D4" s="6"/>
      <c r="E4" s="8" t="s">
        <v>18</v>
      </c>
      <c r="F4" s="11"/>
      <c r="G4" s="40"/>
      <c r="H4" s="6"/>
      <c r="I4" s="14"/>
      <c r="J4" s="14" t="s">
        <v>22</v>
      </c>
      <c r="K4" s="33">
        <v>290</v>
      </c>
      <c r="L4" s="35">
        <f>F47</f>
        <v>158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ht="12.75">
      <c r="A5" s="37">
        <v>3</v>
      </c>
      <c r="B5" s="29" t="s">
        <v>23</v>
      </c>
      <c r="C5" s="6">
        <v>10</v>
      </c>
      <c r="D5" s="6"/>
      <c r="E5" s="45" t="s">
        <v>24</v>
      </c>
      <c r="F5" s="47">
        <v>29</v>
      </c>
      <c r="G5" s="40"/>
      <c r="H5" s="49"/>
      <c r="I5" s="14"/>
      <c r="J5" s="14" t="s">
        <v>25</v>
      </c>
      <c r="K5" s="33">
        <v>29</v>
      </c>
      <c r="L5" s="33">
        <v>29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12.75">
      <c r="A6" s="2">
        <v>4</v>
      </c>
      <c r="B6" s="29" t="s">
        <v>26</v>
      </c>
      <c r="C6" s="6">
        <v>10</v>
      </c>
      <c r="D6" s="6"/>
      <c r="E6" s="51" t="s">
        <v>24</v>
      </c>
      <c r="F6" s="52">
        <v>29</v>
      </c>
      <c r="G6" s="8"/>
      <c r="H6" s="6"/>
      <c r="I6" s="14"/>
      <c r="J6" s="14" t="s">
        <v>28</v>
      </c>
      <c r="K6" s="33">
        <v>29</v>
      </c>
      <c r="L6" s="33">
        <v>29</v>
      </c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ht="12.75">
      <c r="A7" s="2">
        <v>5</v>
      </c>
      <c r="B7" s="29" t="s">
        <v>29</v>
      </c>
      <c r="C7" s="6">
        <v>10</v>
      </c>
      <c r="D7" s="6"/>
      <c r="E7" s="45" t="s">
        <v>24</v>
      </c>
      <c r="F7" s="47">
        <v>29</v>
      </c>
      <c r="G7" s="40"/>
      <c r="H7" s="6"/>
      <c r="I7" s="14"/>
      <c r="J7" s="14" t="s">
        <v>31</v>
      </c>
      <c r="K7" s="33">
        <v>29</v>
      </c>
      <c r="L7" s="33">
        <v>29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ht="12.75">
      <c r="A8" s="37">
        <v>6</v>
      </c>
      <c r="B8" s="54" t="s">
        <v>33</v>
      </c>
      <c r="C8" s="6"/>
      <c r="D8" s="6"/>
      <c r="E8" s="56" t="s">
        <v>32</v>
      </c>
      <c r="F8" s="58"/>
      <c r="G8" s="40"/>
      <c r="H8" s="6"/>
      <c r="I8" s="60"/>
      <c r="J8" s="14" t="s">
        <v>34</v>
      </c>
      <c r="K8" s="33">
        <v>29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 ht="12.75">
      <c r="A9" s="2">
        <v>7</v>
      </c>
      <c r="B9" s="54" t="s">
        <v>35</v>
      </c>
      <c r="C9" s="6"/>
      <c r="D9" s="6"/>
      <c r="E9" s="56" t="s">
        <v>32</v>
      </c>
      <c r="F9" s="58"/>
      <c r="G9" s="8"/>
      <c r="H9" s="49"/>
      <c r="I9" s="14"/>
      <c r="J9" s="14"/>
      <c r="K9" s="14">
        <f t="shared" ref="K9:L9" si="0">SUM(K2:K8)</f>
        <v>696</v>
      </c>
      <c r="L9" s="14">
        <f t="shared" si="0"/>
        <v>438</v>
      </c>
      <c r="M9" s="65">
        <f>L9/K9</f>
        <v>0.62931034482758619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 ht="12.75">
      <c r="A10" s="2">
        <v>8</v>
      </c>
      <c r="B10" s="54" t="s">
        <v>41</v>
      </c>
      <c r="C10" s="6"/>
      <c r="D10" s="6"/>
      <c r="E10" s="8"/>
      <c r="F10" s="11"/>
      <c r="G10" s="8"/>
      <c r="H10" s="6"/>
      <c r="I10" s="71"/>
      <c r="J10" s="14"/>
      <c r="K10" s="14">
        <v>1</v>
      </c>
      <c r="L10" s="72">
        <f>K10*L9/K9</f>
        <v>0.62931034482758619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 ht="12.75">
      <c r="A11" s="2">
        <v>9</v>
      </c>
      <c r="B11" s="29" t="s">
        <v>36</v>
      </c>
      <c r="C11" s="6">
        <v>7</v>
      </c>
      <c r="D11" s="6"/>
      <c r="E11" s="45" t="s">
        <v>24</v>
      </c>
      <c r="F11" s="47">
        <v>29</v>
      </c>
      <c r="G11" s="8"/>
      <c r="H11" s="6"/>
      <c r="I11" s="14"/>
      <c r="J11" s="14"/>
      <c r="K11" s="14"/>
      <c r="L11" s="72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ht="12.75">
      <c r="A12" s="2">
        <v>10</v>
      </c>
      <c r="B12" s="54" t="s">
        <v>45</v>
      </c>
      <c r="C12" s="6"/>
      <c r="D12" s="6"/>
      <c r="E12" s="8"/>
      <c r="F12" s="11"/>
      <c r="G12" s="8"/>
      <c r="H12" s="6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 ht="12.75">
      <c r="A13" s="2">
        <v>11</v>
      </c>
      <c r="B13" s="29" t="s">
        <v>47</v>
      </c>
      <c r="C13" s="6">
        <v>7</v>
      </c>
      <c r="D13" s="6"/>
      <c r="E13" s="45" t="s">
        <v>49</v>
      </c>
      <c r="F13" s="47">
        <v>14</v>
      </c>
      <c r="G13" s="8"/>
      <c r="H13" s="6"/>
      <c r="I13" s="81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ht="12.75">
      <c r="A14" s="2">
        <v>12</v>
      </c>
      <c r="B14" s="29" t="s">
        <v>39</v>
      </c>
      <c r="C14" s="6">
        <v>7</v>
      </c>
      <c r="D14" s="6"/>
      <c r="E14" s="45" t="s">
        <v>24</v>
      </c>
      <c r="F14" s="85">
        <v>29</v>
      </c>
      <c r="G14" s="8"/>
      <c r="H14" s="6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 ht="12.75">
      <c r="A15" s="37">
        <v>13</v>
      </c>
      <c r="B15" s="42" t="s">
        <v>42</v>
      </c>
      <c r="C15" s="73" t="s">
        <v>53</v>
      </c>
      <c r="D15" s="44"/>
      <c r="E15" s="69" t="s">
        <v>54</v>
      </c>
      <c r="F15" s="70">
        <v>14</v>
      </c>
      <c r="G15" s="8"/>
      <c r="H15" s="49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ht="12.75">
      <c r="A16" s="90">
        <v>14</v>
      </c>
      <c r="B16" s="91" t="s">
        <v>50</v>
      </c>
      <c r="C16" s="92">
        <v>7</v>
      </c>
      <c r="D16" s="6"/>
      <c r="E16" s="94" t="s">
        <v>52</v>
      </c>
      <c r="F16" s="11"/>
      <c r="G16" s="8"/>
      <c r="H16" s="6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ht="12.75">
      <c r="A17" s="90">
        <v>15</v>
      </c>
      <c r="B17" s="97" t="s">
        <v>44</v>
      </c>
      <c r="C17" s="98">
        <v>7</v>
      </c>
      <c r="D17" s="100"/>
      <c r="E17" s="102" t="s">
        <v>68</v>
      </c>
      <c r="F17" s="103">
        <v>15</v>
      </c>
      <c r="G17" s="8"/>
      <c r="H17" s="6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 ht="12.75">
      <c r="A18" s="90">
        <v>16</v>
      </c>
      <c r="B18" s="97" t="s">
        <v>70</v>
      </c>
      <c r="C18" s="98">
        <v>5</v>
      </c>
      <c r="D18" s="100"/>
      <c r="E18" s="106" t="s">
        <v>71</v>
      </c>
      <c r="F18" s="103">
        <v>5</v>
      </c>
      <c r="G18" s="8"/>
      <c r="H18" s="6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 ht="12.75">
      <c r="A19" s="2">
        <v>17</v>
      </c>
      <c r="B19" s="104" t="s">
        <v>72</v>
      </c>
      <c r="C19" s="92">
        <v>7</v>
      </c>
      <c r="D19" s="6"/>
      <c r="E19" s="105" t="s">
        <v>73</v>
      </c>
      <c r="F19" s="11"/>
      <c r="G19" s="8"/>
      <c r="H19" s="6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ht="12.75">
      <c r="A20" s="90">
        <v>18</v>
      </c>
      <c r="B20" s="104"/>
      <c r="C20" s="92"/>
      <c r="D20" s="6"/>
      <c r="E20" s="105"/>
      <c r="F20" s="11"/>
      <c r="G20" s="8"/>
      <c r="H20" s="6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 ht="12.75">
      <c r="A21" s="90">
        <v>19</v>
      </c>
      <c r="B21" s="29"/>
      <c r="C21" s="6"/>
      <c r="D21" s="100"/>
      <c r="E21" s="109"/>
      <c r="F21" s="110"/>
      <c r="G21" s="8"/>
      <c r="H21" s="6"/>
      <c r="I21" s="14"/>
      <c r="J21" s="14"/>
      <c r="K21" s="14"/>
      <c r="L21" s="14"/>
      <c r="M21" s="108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ht="12.75">
      <c r="A22" s="2">
        <v>20</v>
      </c>
      <c r="B22" s="29"/>
      <c r="C22" s="6"/>
      <c r="D22" s="6"/>
      <c r="E22" s="8"/>
      <c r="F22" s="11"/>
      <c r="G22" s="8"/>
      <c r="H22" s="6"/>
      <c r="I22" s="14"/>
      <c r="J22" s="14"/>
      <c r="K22" s="14"/>
      <c r="L22" s="72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ht="12.75">
      <c r="A23" s="90">
        <v>21</v>
      </c>
      <c r="B23" s="29"/>
      <c r="C23" s="6"/>
      <c r="D23" s="6"/>
      <c r="E23" s="8"/>
      <c r="F23" s="11"/>
      <c r="G23" s="8"/>
      <c r="H23" s="6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27" ht="12.75">
      <c r="A24" s="2"/>
      <c r="B24" s="29"/>
      <c r="C24" s="6">
        <f>SUM(C3:C20)</f>
        <v>91</v>
      </c>
      <c r="D24" s="6">
        <f>SUM(D3:D14)</f>
        <v>0</v>
      </c>
      <c r="E24" s="8"/>
      <c r="F24" s="11">
        <f>SUM(F3:F19)</f>
        <v>193</v>
      </c>
      <c r="G24" s="8">
        <f>SUM(G3:G16)</f>
        <v>0</v>
      </c>
      <c r="H24" s="6">
        <f>SUM(H3:H12)</f>
        <v>0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 ht="12.75">
      <c r="A25" s="114"/>
      <c r="B25" s="29"/>
      <c r="C25" s="6"/>
      <c r="D25" s="116"/>
      <c r="E25" s="118"/>
      <c r="F25" s="120"/>
      <c r="G25" s="121"/>
      <c r="H25" s="1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ht="12.75">
      <c r="A26" s="2"/>
      <c r="B26" s="4" t="s">
        <v>6</v>
      </c>
      <c r="C26" s="6"/>
      <c r="D26" s="6"/>
      <c r="E26" s="8"/>
      <c r="F26" s="11"/>
      <c r="G26" s="8"/>
      <c r="H26" s="6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 ht="25.5">
      <c r="A27" s="123" t="s">
        <v>5</v>
      </c>
      <c r="B27" s="125" t="s">
        <v>74</v>
      </c>
      <c r="C27" s="127" t="s">
        <v>8</v>
      </c>
      <c r="D27" s="127" t="s">
        <v>9</v>
      </c>
      <c r="E27" s="129" t="s">
        <v>10</v>
      </c>
      <c r="F27" s="131" t="s">
        <v>11</v>
      </c>
      <c r="G27" s="129" t="s">
        <v>12</v>
      </c>
      <c r="H27" s="127" t="s">
        <v>13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 ht="12.75">
      <c r="A28" s="2">
        <v>1</v>
      </c>
      <c r="B28" s="29" t="s">
        <v>75</v>
      </c>
      <c r="C28" s="6">
        <v>7</v>
      </c>
      <c r="D28" s="6"/>
      <c r="E28" s="8" t="s">
        <v>76</v>
      </c>
      <c r="F28" s="11"/>
      <c r="G28" s="8"/>
      <c r="H28" s="6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ht="48.75" customHeight="1">
      <c r="A29" s="2">
        <v>2</v>
      </c>
      <c r="B29" s="29" t="s">
        <v>20</v>
      </c>
      <c r="C29" s="6">
        <v>7</v>
      </c>
      <c r="D29" s="6"/>
      <c r="E29" s="8" t="s">
        <v>18</v>
      </c>
      <c r="F29" s="11"/>
      <c r="G29" s="8"/>
      <c r="H29" s="6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12.75">
      <c r="A30" s="2">
        <v>3</v>
      </c>
      <c r="B30" s="29" t="s">
        <v>29</v>
      </c>
      <c r="C30" s="6">
        <v>10</v>
      </c>
      <c r="D30" s="6"/>
      <c r="E30" s="45" t="s">
        <v>24</v>
      </c>
      <c r="F30" s="47">
        <v>29</v>
      </c>
      <c r="G30" s="8"/>
      <c r="H30" s="6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12.75">
      <c r="A31" s="2">
        <v>4</v>
      </c>
      <c r="B31" s="29" t="s">
        <v>26</v>
      </c>
      <c r="C31" s="6">
        <v>10</v>
      </c>
      <c r="D31" s="6"/>
      <c r="E31" s="45" t="s">
        <v>24</v>
      </c>
      <c r="F31" s="47">
        <v>29</v>
      </c>
      <c r="G31" s="8"/>
      <c r="H31" s="6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spans="1:27" ht="12.75">
      <c r="A32" s="2">
        <v>5</v>
      </c>
      <c r="B32" s="54" t="s">
        <v>33</v>
      </c>
      <c r="C32" s="6"/>
      <c r="D32" s="6"/>
      <c r="E32" s="56"/>
      <c r="F32" s="11"/>
      <c r="G32" s="8"/>
      <c r="H32" s="6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spans="1:27" ht="12.75">
      <c r="A33" s="2">
        <v>6</v>
      </c>
      <c r="B33" s="29" t="s">
        <v>47</v>
      </c>
      <c r="C33" s="6">
        <v>7</v>
      </c>
      <c r="D33" s="6"/>
      <c r="E33" s="45" t="s">
        <v>49</v>
      </c>
      <c r="F33" s="47">
        <v>14</v>
      </c>
      <c r="G33" s="40"/>
      <c r="H33" s="6"/>
      <c r="I33" s="71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1:27" ht="12.75">
      <c r="A34" s="37">
        <v>7</v>
      </c>
      <c r="B34" s="29" t="s">
        <v>36</v>
      </c>
      <c r="C34" s="6">
        <v>7</v>
      </c>
      <c r="D34" s="6"/>
      <c r="E34" s="45" t="s">
        <v>24</v>
      </c>
      <c r="F34" s="47">
        <v>29</v>
      </c>
      <c r="G34" s="8"/>
      <c r="H34" s="6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 ht="12.75">
      <c r="A35" s="2">
        <v>8</v>
      </c>
      <c r="B35" s="29" t="s">
        <v>39</v>
      </c>
      <c r="C35" s="6">
        <v>7</v>
      </c>
      <c r="D35" s="6"/>
      <c r="E35" s="45" t="s">
        <v>24</v>
      </c>
      <c r="F35" s="85">
        <v>29</v>
      </c>
      <c r="G35" s="8"/>
      <c r="H35" s="6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1:27" ht="12.75">
      <c r="A36" s="2">
        <v>9</v>
      </c>
      <c r="B36" s="135" t="s">
        <v>50</v>
      </c>
      <c r="C36" s="137">
        <v>7</v>
      </c>
      <c r="D36" s="138"/>
      <c r="E36" s="140" t="s">
        <v>52</v>
      </c>
      <c r="F36" s="110"/>
      <c r="G36" s="8"/>
      <c r="H36" s="6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1:27" ht="12.75">
      <c r="A37" s="2">
        <v>10</v>
      </c>
      <c r="B37" s="97" t="s">
        <v>87</v>
      </c>
      <c r="C37" s="98">
        <v>7</v>
      </c>
      <c r="D37" s="59" t="s">
        <v>82</v>
      </c>
      <c r="E37" s="98" t="s">
        <v>88</v>
      </c>
      <c r="F37" s="47">
        <v>8</v>
      </c>
      <c r="G37" s="8"/>
      <c r="H37" s="6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1:27" ht="12.75">
      <c r="A38" s="37">
        <v>11</v>
      </c>
      <c r="B38" s="152" t="s">
        <v>44</v>
      </c>
      <c r="C38" s="153">
        <v>7</v>
      </c>
      <c r="D38" s="137"/>
      <c r="E38" s="154" t="s">
        <v>68</v>
      </c>
      <c r="F38" s="156">
        <v>15</v>
      </c>
      <c r="G38" s="8"/>
      <c r="H38" s="6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1:27" ht="12.75">
      <c r="A39" s="2">
        <v>12</v>
      </c>
      <c r="B39" s="152" t="s">
        <v>70</v>
      </c>
      <c r="C39" s="153">
        <v>5</v>
      </c>
      <c r="D39" s="137"/>
      <c r="E39" s="106" t="s">
        <v>71</v>
      </c>
      <c r="F39" s="103">
        <v>5</v>
      </c>
      <c r="G39" s="109"/>
      <c r="H39" s="100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1:27" ht="12.75">
      <c r="A40" s="6">
        <v>13</v>
      </c>
      <c r="B40" s="104" t="s">
        <v>72</v>
      </c>
      <c r="C40" s="92">
        <v>7</v>
      </c>
      <c r="D40" s="6"/>
      <c r="E40" s="102" t="s">
        <v>73</v>
      </c>
      <c r="F40" s="110"/>
      <c r="G40" s="109"/>
      <c r="H40" s="150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1:27" ht="12.75">
      <c r="A41" s="90">
        <v>14</v>
      </c>
      <c r="B41" s="104"/>
      <c r="C41" s="92"/>
      <c r="D41" s="6"/>
      <c r="E41" s="105"/>
      <c r="F41" s="11"/>
      <c r="G41" s="8"/>
      <c r="H41" s="49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1:27" ht="12.75">
      <c r="A42" s="90">
        <v>15</v>
      </c>
      <c r="B42" s="29"/>
      <c r="C42" s="6"/>
      <c r="D42" s="6"/>
      <c r="E42" s="8"/>
      <c r="F42" s="11"/>
      <c r="G42" s="8"/>
      <c r="H42" s="6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1:27" ht="12.75">
      <c r="A43" s="2">
        <v>16</v>
      </c>
      <c r="B43" s="155"/>
      <c r="C43" s="49"/>
      <c r="D43" s="6"/>
      <c r="E43" s="8"/>
      <c r="F43" s="11"/>
      <c r="G43" s="8"/>
      <c r="H43" s="6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1:27" ht="12.75">
      <c r="A44" s="2">
        <v>17</v>
      </c>
      <c r="B44" s="29"/>
      <c r="C44" s="6"/>
      <c r="D44" s="6"/>
      <c r="E44" s="8"/>
      <c r="F44" s="11"/>
      <c r="G44" s="8"/>
      <c r="H44" s="6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27" ht="12.75">
      <c r="A45" s="2">
        <v>18</v>
      </c>
      <c r="B45" s="29"/>
      <c r="C45" s="6"/>
      <c r="D45" s="6"/>
      <c r="E45" s="8"/>
      <c r="F45" s="11"/>
      <c r="G45" s="8"/>
      <c r="H45" s="6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1:27" ht="12.75">
      <c r="A46" s="2"/>
      <c r="B46" s="29"/>
      <c r="C46" s="6"/>
      <c r="D46" s="6"/>
      <c r="E46" s="8"/>
      <c r="F46" s="11"/>
      <c r="G46" s="8"/>
      <c r="H46" s="6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1:27" ht="12.75">
      <c r="A47" s="2"/>
      <c r="B47" s="29"/>
      <c r="C47" s="6">
        <f t="shared" ref="C47:D47" si="1">SUM(C28:C45)</f>
        <v>88</v>
      </c>
      <c r="D47" s="6">
        <f t="shared" si="1"/>
        <v>0</v>
      </c>
      <c r="E47" s="8"/>
      <c r="F47" s="11">
        <f>SUM(F28:F46)</f>
        <v>158</v>
      </c>
      <c r="G47" s="8">
        <f>SUM(G28:G43)</f>
        <v>0</v>
      </c>
      <c r="H47" s="6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1:27" ht="12.75">
      <c r="A48" s="116"/>
      <c r="B48" s="29"/>
      <c r="C48" s="6"/>
      <c r="D48" s="116"/>
      <c r="E48" s="118"/>
      <c r="F48" s="120"/>
      <c r="G48" s="118"/>
      <c r="H48" s="116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1:27" ht="12.75">
      <c r="A49" s="2"/>
      <c r="B49" s="29"/>
      <c r="C49" s="6"/>
      <c r="D49" s="6"/>
      <c r="E49" s="8"/>
      <c r="F49" s="11"/>
      <c r="G49" s="8"/>
      <c r="H49" s="6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1:27" ht="12.75">
      <c r="A50" s="184"/>
      <c r="B50" s="186" t="s">
        <v>96</v>
      </c>
      <c r="C50" s="187"/>
      <c r="D50" s="187"/>
      <c r="E50" s="188"/>
      <c r="F50" s="190"/>
      <c r="G50" s="188"/>
      <c r="H50" s="187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1:27" ht="12.75">
      <c r="A51" s="2">
        <v>1</v>
      </c>
      <c r="B51" s="4" t="s">
        <v>101</v>
      </c>
      <c r="C51" s="59" t="s">
        <v>6</v>
      </c>
      <c r="D51" s="6"/>
      <c r="E51" s="8"/>
      <c r="F51" s="11"/>
      <c r="G51" s="8" t="s">
        <v>105</v>
      </c>
      <c r="H51" s="6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spans="1:27" ht="12.75">
      <c r="A52" s="116"/>
      <c r="B52" s="172"/>
      <c r="C52" s="116"/>
      <c r="D52" s="116"/>
      <c r="E52" s="118"/>
      <c r="F52" s="120"/>
      <c r="G52" s="118"/>
      <c r="H52" s="116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1:27" ht="12.75">
      <c r="A53" s="184"/>
      <c r="B53" s="186" t="s">
        <v>106</v>
      </c>
      <c r="C53" s="187"/>
      <c r="D53" s="187"/>
      <c r="E53" s="188"/>
      <c r="F53" s="190"/>
      <c r="G53" s="188"/>
      <c r="H53" s="187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spans="1:27" ht="12.75">
      <c r="A54" s="2">
        <v>1</v>
      </c>
      <c r="B54" s="29" t="s">
        <v>101</v>
      </c>
      <c r="C54" s="59" t="s">
        <v>6</v>
      </c>
      <c r="D54" s="6"/>
      <c r="E54" s="8"/>
      <c r="F54" s="11"/>
      <c r="G54" s="8" t="s">
        <v>108</v>
      </c>
      <c r="H54" s="6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1:27" ht="12.75">
      <c r="A55" s="116"/>
      <c r="B55" s="172"/>
      <c r="C55" s="116"/>
      <c r="D55" s="116"/>
      <c r="E55" s="118"/>
      <c r="F55" s="120"/>
      <c r="G55" s="118"/>
      <c r="H55" s="116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1:27" ht="12.75">
      <c r="A56" s="184"/>
      <c r="B56" s="186" t="s">
        <v>111</v>
      </c>
      <c r="C56" s="187"/>
      <c r="D56" s="187"/>
      <c r="E56" s="188"/>
      <c r="F56" s="190" t="s">
        <v>113</v>
      </c>
      <c r="G56" s="188"/>
      <c r="H56" s="187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1:27" ht="12.75">
      <c r="A57" s="2" t="s">
        <v>114</v>
      </c>
      <c r="B57" s="29" t="s">
        <v>116</v>
      </c>
      <c r="C57" s="59" t="s">
        <v>6</v>
      </c>
      <c r="D57" s="6"/>
      <c r="E57" s="8"/>
      <c r="F57" s="47">
        <v>29</v>
      </c>
      <c r="G57" s="8">
        <v>7000</v>
      </c>
      <c r="H57" s="6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1:27" ht="12.75">
      <c r="A58" s="6" t="s">
        <v>119</v>
      </c>
      <c r="B58" s="29" t="s">
        <v>116</v>
      </c>
      <c r="C58" s="59" t="s">
        <v>6</v>
      </c>
      <c r="D58" s="6"/>
      <c r="E58" s="8"/>
      <c r="F58" s="47">
        <v>29</v>
      </c>
      <c r="G58" s="8">
        <v>6000</v>
      </c>
      <c r="H58" s="6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2.75">
      <c r="A59" s="116"/>
      <c r="B59" s="172"/>
      <c r="C59" s="116"/>
      <c r="D59" s="116"/>
      <c r="E59" s="118"/>
      <c r="F59" s="120"/>
      <c r="G59" s="118"/>
      <c r="H59" s="116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1:27" ht="12.75">
      <c r="A60" s="184"/>
      <c r="B60" s="186" t="s">
        <v>123</v>
      </c>
      <c r="C60" s="187"/>
      <c r="D60" s="187"/>
      <c r="E60" s="188"/>
      <c r="F60" s="190" t="s">
        <v>113</v>
      </c>
      <c r="G60" s="188"/>
      <c r="H60" s="187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spans="1:27" ht="12.75">
      <c r="A61" s="2" t="s">
        <v>114</v>
      </c>
      <c r="B61" s="29" t="s">
        <v>125</v>
      </c>
      <c r="C61" s="59" t="s">
        <v>6</v>
      </c>
      <c r="D61" s="6" t="s">
        <v>126</v>
      </c>
      <c r="E61" s="8" t="s">
        <v>127</v>
      </c>
      <c r="F61" s="47">
        <v>29</v>
      </c>
      <c r="G61" s="45">
        <v>10000</v>
      </c>
      <c r="H61" s="6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spans="1:27" ht="12.75">
      <c r="A62" s="2" t="s">
        <v>119</v>
      </c>
      <c r="B62" s="29"/>
      <c r="C62" s="6"/>
      <c r="D62" s="6"/>
      <c r="E62" s="8"/>
      <c r="F62" s="11"/>
      <c r="G62" s="8">
        <v>7000</v>
      </c>
      <c r="H62" s="6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1:27" ht="12.75">
      <c r="A63" s="14"/>
      <c r="B63" s="183"/>
      <c r="C63" s="14"/>
      <c r="D63" s="116"/>
      <c r="E63" s="118"/>
      <c r="F63" s="120"/>
      <c r="G63" s="118"/>
      <c r="H63" s="116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1:27" ht="12.75">
      <c r="A64" s="14"/>
      <c r="B64" s="183"/>
      <c r="C64" s="198"/>
      <c r="D64" s="6"/>
      <c r="E64" s="8"/>
      <c r="F64" s="11"/>
      <c r="G64" s="8"/>
      <c r="H64" s="6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1:27" ht="12.75">
      <c r="A65" s="14"/>
      <c r="B65" s="183"/>
      <c r="C65" s="198"/>
      <c r="D65" s="6"/>
      <c r="E65" s="8"/>
      <c r="F65" s="11"/>
      <c r="G65" s="8"/>
      <c r="H65" s="6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spans="1:27" ht="12.75">
      <c r="A66" s="14"/>
      <c r="B66" s="183"/>
      <c r="C66" s="198"/>
      <c r="D66" s="6"/>
      <c r="E66" s="8"/>
      <c r="F66" s="11"/>
      <c r="G66" s="8"/>
      <c r="H66" s="6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spans="1:27" ht="12.75">
      <c r="A67" s="14"/>
      <c r="B67" s="183"/>
      <c r="C67" s="198"/>
      <c r="D67" s="6"/>
      <c r="E67" s="8"/>
      <c r="F67" s="11"/>
      <c r="G67" s="8"/>
      <c r="H67" s="6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spans="1:27" ht="12.75">
      <c r="A68" s="14"/>
      <c r="B68" s="183"/>
      <c r="C68" s="198"/>
      <c r="D68" s="6"/>
      <c r="E68" s="8"/>
      <c r="F68" s="11"/>
      <c r="G68" s="8"/>
      <c r="H68" s="6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spans="1:27" ht="12.75">
      <c r="A69" s="14"/>
      <c r="B69" s="183"/>
      <c r="C69" s="198"/>
      <c r="D69" s="6"/>
      <c r="E69" s="8"/>
      <c r="F69" s="11"/>
      <c r="G69" s="8"/>
      <c r="H69" s="6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spans="1:27" ht="12.75">
      <c r="A70" s="14"/>
      <c r="B70" s="183"/>
      <c r="C70" s="198"/>
      <c r="D70" s="6"/>
      <c r="E70" s="8"/>
      <c r="F70" s="11"/>
      <c r="G70" s="8"/>
      <c r="H70" s="6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spans="1:27" ht="12.75">
      <c r="A71" s="14"/>
      <c r="B71" s="183"/>
      <c r="C71" s="198"/>
      <c r="D71" s="6"/>
      <c r="E71" s="8"/>
      <c r="F71" s="11"/>
      <c r="G71" s="8"/>
      <c r="H71" s="6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spans="1:27" ht="12.75">
      <c r="A72" s="14"/>
      <c r="B72" s="183"/>
      <c r="C72" s="198"/>
      <c r="D72" s="6"/>
      <c r="E72" s="8"/>
      <c r="F72" s="11"/>
      <c r="G72" s="8"/>
      <c r="H72" s="6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spans="1:27" ht="12.75">
      <c r="A73" s="14"/>
      <c r="B73" s="183"/>
      <c r="C73" s="198"/>
      <c r="D73" s="6"/>
      <c r="E73" s="8"/>
      <c r="F73" s="11"/>
      <c r="G73" s="8"/>
      <c r="H73" s="6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spans="1:27" ht="12.75">
      <c r="A74" s="14"/>
      <c r="B74" s="183"/>
      <c r="C74" s="198"/>
      <c r="D74" s="6"/>
      <c r="E74" s="8"/>
      <c r="F74" s="11"/>
      <c r="G74" s="8"/>
      <c r="H74" s="6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spans="1:27" ht="12.75">
      <c r="A75" s="14"/>
      <c r="B75" s="183"/>
      <c r="C75" s="198"/>
      <c r="D75" s="6"/>
      <c r="E75" s="8"/>
      <c r="F75" s="11"/>
      <c r="G75" s="8"/>
      <c r="H75" s="6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spans="1:27" ht="12.75">
      <c r="A76" s="14"/>
      <c r="B76" s="183"/>
      <c r="C76" s="198"/>
      <c r="D76" s="6"/>
      <c r="E76" s="8"/>
      <c r="F76" s="11"/>
      <c r="G76" s="8"/>
      <c r="H76" s="6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spans="1:27" ht="12.75">
      <c r="A77" s="14"/>
      <c r="B77" s="183"/>
      <c r="C77" s="198"/>
      <c r="D77" s="6"/>
      <c r="E77" s="8"/>
      <c r="F77" s="11"/>
      <c r="G77" s="8"/>
      <c r="H77" s="6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spans="1:27" ht="12.75">
      <c r="A78" s="14"/>
      <c r="B78" s="183"/>
      <c r="C78" s="198"/>
      <c r="D78" s="6"/>
      <c r="E78" s="8"/>
      <c r="F78" s="11"/>
      <c r="G78" s="8"/>
      <c r="H78" s="6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spans="1:27" ht="12.75">
      <c r="A79" s="14"/>
      <c r="B79" s="183"/>
      <c r="C79" s="198"/>
      <c r="D79" s="6"/>
      <c r="E79" s="8"/>
      <c r="F79" s="11"/>
      <c r="G79" s="8"/>
      <c r="H79" s="6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spans="1:27" ht="12.75">
      <c r="A80" s="14"/>
      <c r="B80" s="183"/>
      <c r="C80" s="198"/>
      <c r="D80" s="6"/>
      <c r="E80" s="8"/>
      <c r="F80" s="11"/>
      <c r="G80" s="8"/>
      <c r="H80" s="6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spans="1:27" ht="12.75">
      <c r="A81" s="14"/>
      <c r="B81" s="183"/>
      <c r="C81" s="198"/>
      <c r="D81" s="6"/>
      <c r="E81" s="8"/>
      <c r="F81" s="11"/>
      <c r="G81" s="8"/>
      <c r="H81" s="6"/>
      <c r="I81" s="116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spans="1:27" ht="12.75">
      <c r="A82" s="14"/>
      <c r="B82" s="183"/>
      <c r="C82" s="198"/>
      <c r="D82" s="6"/>
      <c r="E82" s="8"/>
      <c r="F82" s="11"/>
      <c r="G82" s="8"/>
      <c r="H82" s="6"/>
      <c r="I82" s="8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spans="1:27" ht="12.75">
      <c r="A83" s="14"/>
      <c r="B83" s="183"/>
      <c r="C83" s="198"/>
      <c r="D83" s="6"/>
      <c r="E83" s="8"/>
      <c r="F83" s="11"/>
      <c r="G83" s="8"/>
      <c r="H83" s="6"/>
      <c r="I83" s="8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spans="1:27" ht="12.75">
      <c r="A84" s="14"/>
      <c r="B84" s="183"/>
      <c r="C84" s="198"/>
      <c r="D84" s="6"/>
      <c r="E84" s="8"/>
      <c r="F84" s="11"/>
      <c r="G84" s="8"/>
      <c r="H84" s="6"/>
      <c r="I84" s="8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spans="1:27" ht="12.75">
      <c r="A85" s="14"/>
      <c r="B85" s="183"/>
      <c r="C85" s="198"/>
      <c r="D85" s="6"/>
      <c r="E85" s="8"/>
      <c r="F85" s="11"/>
      <c r="G85" s="8"/>
      <c r="H85" s="6"/>
      <c r="I85" s="8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spans="1:27" ht="12.75">
      <c r="A86" s="14"/>
      <c r="B86" s="183"/>
      <c r="C86" s="198"/>
      <c r="D86" s="6"/>
      <c r="E86" s="8"/>
      <c r="F86" s="11"/>
      <c r="G86" s="8"/>
      <c r="H86" s="6"/>
      <c r="I86" s="8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spans="1:27" ht="12.75">
      <c r="A87" s="14"/>
      <c r="B87" s="183"/>
      <c r="C87" s="198"/>
      <c r="D87" s="6"/>
      <c r="E87" s="8"/>
      <c r="F87" s="11"/>
      <c r="G87" s="8"/>
      <c r="H87" s="6"/>
      <c r="I87" s="8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spans="1:27" ht="12.75">
      <c r="A88" s="14"/>
      <c r="B88" s="183"/>
      <c r="C88" s="14"/>
      <c r="D88" s="14"/>
      <c r="E88" s="185"/>
      <c r="F88" s="35"/>
      <c r="G88" s="185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spans="1:27" ht="12.75">
      <c r="A89" s="14"/>
      <c r="B89" s="183"/>
      <c r="C89" s="14"/>
      <c r="D89" s="116"/>
      <c r="E89" s="118"/>
      <c r="F89" s="120"/>
      <c r="G89" s="118"/>
      <c r="H89" s="116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spans="1:27" ht="12.75">
      <c r="A90" s="14"/>
      <c r="B90" s="183"/>
      <c r="C90" s="198"/>
      <c r="D90" s="6"/>
      <c r="E90" s="8"/>
      <c r="F90" s="11"/>
      <c r="G90" s="8"/>
      <c r="H90" s="6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spans="1:27" ht="12.75">
      <c r="A91" s="14"/>
      <c r="B91" s="183"/>
      <c r="C91" s="198"/>
      <c r="D91" s="6"/>
      <c r="E91" s="8"/>
      <c r="F91" s="11"/>
      <c r="G91" s="8"/>
      <c r="H91" s="6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spans="1:27" ht="12.75">
      <c r="A92" s="14"/>
      <c r="B92" s="183"/>
      <c r="C92" s="198"/>
      <c r="D92" s="6"/>
      <c r="E92" s="8"/>
      <c r="F92" s="11"/>
      <c r="G92" s="8"/>
      <c r="H92" s="6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spans="1:27" ht="12.75">
      <c r="A93" s="14"/>
      <c r="B93" s="183"/>
      <c r="C93" s="198"/>
      <c r="D93" s="6"/>
      <c r="E93" s="8"/>
      <c r="F93" s="11"/>
      <c r="G93" s="8"/>
      <c r="H93" s="6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spans="1:27" ht="12.75">
      <c r="A94" s="14"/>
      <c r="B94" s="183"/>
      <c r="C94" s="198"/>
      <c r="D94" s="6"/>
      <c r="E94" s="8"/>
      <c r="F94" s="11"/>
      <c r="G94" s="8"/>
      <c r="H94" s="6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spans="1:27" ht="12.75">
      <c r="A95" s="14"/>
      <c r="B95" s="183"/>
      <c r="C95" s="198"/>
      <c r="D95" s="6"/>
      <c r="E95" s="8"/>
      <c r="F95" s="11"/>
      <c r="G95" s="8"/>
      <c r="H95" s="6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spans="1:27" ht="12.75">
      <c r="A96" s="14"/>
      <c r="B96" s="183"/>
      <c r="C96" s="198"/>
      <c r="D96" s="6"/>
      <c r="E96" s="8"/>
      <c r="F96" s="11"/>
      <c r="G96" s="8"/>
      <c r="H96" s="6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spans="1:27" ht="12.75">
      <c r="A97" s="14"/>
      <c r="B97" s="183"/>
      <c r="C97" s="198"/>
      <c r="D97" s="6"/>
      <c r="E97" s="8"/>
      <c r="F97" s="11"/>
      <c r="G97" s="8"/>
      <c r="H97" s="6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spans="1:27" ht="12.75">
      <c r="A98" s="14"/>
      <c r="B98" s="183"/>
      <c r="C98" s="198"/>
      <c r="D98" s="6"/>
      <c r="E98" s="8"/>
      <c r="F98" s="11"/>
      <c r="G98" s="8"/>
      <c r="H98" s="6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spans="1:27" ht="12.75">
      <c r="A99" s="14"/>
      <c r="B99" s="183"/>
      <c r="C99" s="198"/>
      <c r="D99" s="6"/>
      <c r="E99" s="8"/>
      <c r="F99" s="11"/>
      <c r="G99" s="8"/>
      <c r="H99" s="6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spans="1:27" ht="12.75">
      <c r="A100" s="14"/>
      <c r="B100" s="183"/>
      <c r="C100" s="198"/>
      <c r="D100" s="6"/>
      <c r="E100" s="8"/>
      <c r="F100" s="11"/>
      <c r="G100" s="8"/>
      <c r="H100" s="6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spans="1:27" ht="12.75">
      <c r="A101" s="14"/>
      <c r="B101" s="183"/>
      <c r="C101" s="198"/>
      <c r="D101" s="6"/>
      <c r="E101" s="8"/>
      <c r="F101" s="11"/>
      <c r="G101" s="8"/>
      <c r="H101" s="6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spans="1:27" ht="12.75">
      <c r="A102" s="14"/>
      <c r="B102" s="183"/>
      <c r="C102" s="198"/>
      <c r="D102" s="6"/>
      <c r="E102" s="8"/>
      <c r="F102" s="11"/>
      <c r="G102" s="8"/>
      <c r="H102" s="6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spans="1:27" ht="12.75">
      <c r="A103" s="14"/>
      <c r="B103" s="183"/>
      <c r="C103" s="14"/>
      <c r="D103" s="14"/>
      <c r="E103" s="185">
        <f>SUM(E90:E101)</f>
        <v>0</v>
      </c>
      <c r="F103" s="35"/>
      <c r="G103" s="185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spans="1:27" ht="12.75">
      <c r="A104" s="14"/>
      <c r="B104" s="183"/>
      <c r="C104" s="14"/>
      <c r="D104" s="14"/>
      <c r="E104" s="185"/>
      <c r="F104" s="35"/>
      <c r="G104" s="185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spans="1:27" ht="12.75">
      <c r="A105" s="14"/>
      <c r="B105" s="183"/>
      <c r="C105" s="14"/>
      <c r="D105" s="14"/>
      <c r="E105" s="185"/>
      <c r="F105" s="35"/>
      <c r="G105" s="185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spans="1:27" ht="12.75">
      <c r="A106" s="14"/>
      <c r="B106" s="183"/>
      <c r="C106" s="14"/>
      <c r="D106" s="14"/>
      <c r="E106" s="185"/>
      <c r="F106" s="35"/>
      <c r="G106" s="185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spans="1:27" ht="12.75">
      <c r="A107" s="14"/>
      <c r="B107" s="183"/>
      <c r="C107" s="14"/>
      <c r="D107" s="14"/>
      <c r="E107" s="185"/>
      <c r="F107" s="35"/>
      <c r="G107" s="185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spans="1:27" ht="12.75">
      <c r="A108" s="14"/>
      <c r="B108" s="183"/>
      <c r="C108" s="14"/>
      <c r="D108" s="14"/>
      <c r="E108" s="185"/>
      <c r="F108" s="35"/>
      <c r="G108" s="185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spans="1:27" ht="12.75">
      <c r="A109" s="14"/>
      <c r="B109" s="183"/>
      <c r="C109" s="14"/>
      <c r="D109" s="14"/>
      <c r="E109" s="185"/>
      <c r="F109" s="35"/>
      <c r="G109" s="185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spans="1:27" ht="12.75">
      <c r="A110" s="14"/>
      <c r="B110" s="183"/>
      <c r="C110" s="14"/>
      <c r="D110" s="14"/>
      <c r="E110" s="185"/>
      <c r="F110" s="35"/>
      <c r="G110" s="185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spans="1:27" ht="12.75">
      <c r="A111" s="14"/>
      <c r="B111" s="183"/>
      <c r="C111" s="14"/>
      <c r="D111" s="14"/>
      <c r="E111" s="185"/>
      <c r="F111" s="35"/>
      <c r="G111" s="185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spans="1:27" ht="12.75">
      <c r="A112" s="14"/>
      <c r="B112" s="183"/>
      <c r="C112" s="14"/>
      <c r="D112" s="14"/>
      <c r="E112" s="185"/>
      <c r="F112" s="35"/>
      <c r="G112" s="185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spans="1:27" ht="12.75">
      <c r="A113" s="14"/>
      <c r="B113" s="183"/>
      <c r="C113" s="14"/>
      <c r="D113" s="14"/>
      <c r="E113" s="185"/>
      <c r="F113" s="35"/>
      <c r="G113" s="185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spans="1:27" ht="12.75">
      <c r="A114" s="14"/>
      <c r="B114" s="183"/>
      <c r="C114" s="14"/>
      <c r="D114" s="14"/>
      <c r="E114" s="185"/>
      <c r="F114" s="35"/>
      <c r="G114" s="185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spans="1:27" ht="12.75">
      <c r="A115" s="14"/>
      <c r="B115" s="183"/>
      <c r="C115" s="14"/>
      <c r="D115" s="14"/>
      <c r="E115" s="185"/>
      <c r="F115" s="35"/>
      <c r="G115" s="185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spans="1:27" ht="12.75">
      <c r="A116" s="14"/>
      <c r="B116" s="183"/>
      <c r="C116" s="14"/>
      <c r="D116" s="14"/>
      <c r="E116" s="185"/>
      <c r="F116" s="35"/>
      <c r="G116" s="185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spans="1:27" ht="12.75">
      <c r="A117" s="14"/>
      <c r="B117" s="183"/>
      <c r="C117" s="14"/>
      <c r="D117" s="14"/>
      <c r="E117" s="185"/>
      <c r="F117" s="35"/>
      <c r="G117" s="185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spans="1:27" ht="12.75">
      <c r="A118" s="14"/>
      <c r="B118" s="183"/>
      <c r="C118" s="14"/>
      <c r="D118" s="14"/>
      <c r="E118" s="185"/>
      <c r="F118" s="35"/>
      <c r="G118" s="185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spans="1:27" ht="12.75">
      <c r="A119" s="14"/>
      <c r="B119" s="183"/>
      <c r="C119" s="14"/>
      <c r="D119" s="14"/>
      <c r="E119" s="185"/>
      <c r="F119" s="35"/>
      <c r="G119" s="185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spans="1:27" ht="12.75">
      <c r="A120" s="14"/>
      <c r="B120" s="183"/>
      <c r="C120" s="14"/>
      <c r="D120" s="14"/>
      <c r="E120" s="185"/>
      <c r="F120" s="35"/>
      <c r="G120" s="185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spans="1:27" ht="12.75">
      <c r="A121" s="14"/>
      <c r="B121" s="183"/>
      <c r="C121" s="14"/>
      <c r="D121" s="14"/>
      <c r="E121" s="185"/>
      <c r="F121" s="35"/>
      <c r="G121" s="185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spans="1:27" ht="12.75">
      <c r="A122" s="14"/>
      <c r="B122" s="183"/>
      <c r="C122" s="14"/>
      <c r="D122" s="14"/>
      <c r="E122" s="185"/>
      <c r="F122" s="35"/>
      <c r="G122" s="185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spans="1:27" ht="12.75">
      <c r="A123" s="14"/>
      <c r="B123" s="183"/>
      <c r="C123" s="14"/>
      <c r="D123" s="14"/>
      <c r="E123" s="185"/>
      <c r="F123" s="35"/>
      <c r="G123" s="185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spans="1:27" ht="12.75">
      <c r="A124" s="14"/>
      <c r="B124" s="183"/>
      <c r="C124" s="14"/>
      <c r="D124" s="14"/>
      <c r="E124" s="185"/>
      <c r="F124" s="35"/>
      <c r="G124" s="185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spans="1:27" ht="12.75">
      <c r="A125" s="14"/>
      <c r="B125" s="183"/>
      <c r="C125" s="14"/>
      <c r="D125" s="14"/>
      <c r="E125" s="185"/>
      <c r="F125" s="35"/>
      <c r="G125" s="185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spans="1:27" ht="12.75">
      <c r="A126" s="14"/>
      <c r="B126" s="183"/>
      <c r="C126" s="14"/>
      <c r="D126" s="14"/>
      <c r="E126" s="185"/>
      <c r="F126" s="35"/>
      <c r="G126" s="185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spans="1:27" ht="12.75">
      <c r="A127" s="14"/>
      <c r="B127" s="183"/>
      <c r="C127" s="14"/>
      <c r="D127" s="14"/>
      <c r="E127" s="185"/>
      <c r="F127" s="35"/>
      <c r="G127" s="185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spans="1:27" ht="12.75">
      <c r="A128" s="14"/>
      <c r="B128" s="183"/>
      <c r="C128" s="14"/>
      <c r="D128" s="14"/>
      <c r="E128" s="185"/>
      <c r="F128" s="35"/>
      <c r="G128" s="185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spans="1:27" ht="12.75">
      <c r="A129" s="14"/>
      <c r="B129" s="183"/>
      <c r="C129" s="14"/>
      <c r="D129" s="14"/>
      <c r="E129" s="185"/>
      <c r="F129" s="35"/>
      <c r="G129" s="185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spans="1:27" ht="12.75">
      <c r="A130" s="14"/>
      <c r="B130" s="183"/>
      <c r="C130" s="14"/>
      <c r="D130" s="14"/>
      <c r="E130" s="185"/>
      <c r="F130" s="35"/>
      <c r="G130" s="185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spans="1:27" ht="12.75">
      <c r="A131" s="14"/>
      <c r="B131" s="183"/>
      <c r="C131" s="14"/>
      <c r="D131" s="14"/>
      <c r="E131" s="185"/>
      <c r="F131" s="35"/>
      <c r="G131" s="185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spans="1:27" ht="12.75">
      <c r="A132" s="14"/>
      <c r="B132" s="183"/>
      <c r="C132" s="14"/>
      <c r="D132" s="14"/>
      <c r="E132" s="185"/>
      <c r="F132" s="35"/>
      <c r="G132" s="185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spans="1:27" ht="12.75">
      <c r="A133" s="14"/>
      <c r="B133" s="183"/>
      <c r="C133" s="14"/>
      <c r="D133" s="14"/>
      <c r="E133" s="185"/>
      <c r="F133" s="35"/>
      <c r="G133" s="185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spans="1:27" ht="12.75">
      <c r="A134" s="14"/>
      <c r="B134" s="183"/>
      <c r="C134" s="14"/>
      <c r="D134" s="14"/>
      <c r="E134" s="185"/>
      <c r="F134" s="35"/>
      <c r="G134" s="185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spans="1:27" ht="12.75">
      <c r="A135" s="14"/>
      <c r="B135" s="183"/>
      <c r="C135" s="14"/>
      <c r="D135" s="14"/>
      <c r="E135" s="185"/>
      <c r="F135" s="35"/>
      <c r="G135" s="185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spans="1:27" ht="12.75">
      <c r="A136" s="14"/>
      <c r="B136" s="183"/>
      <c r="C136" s="14"/>
      <c r="D136" s="14"/>
      <c r="E136" s="185"/>
      <c r="F136" s="35"/>
      <c r="G136" s="185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spans="1:27" ht="12.75">
      <c r="A137" s="14"/>
      <c r="B137" s="183"/>
      <c r="C137" s="14"/>
      <c r="D137" s="14"/>
      <c r="E137" s="185"/>
      <c r="F137" s="35"/>
      <c r="G137" s="185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spans="1:27" ht="12.75">
      <c r="A138" s="14"/>
      <c r="B138" s="183"/>
      <c r="C138" s="14"/>
      <c r="D138" s="14"/>
      <c r="E138" s="185"/>
      <c r="F138" s="35"/>
      <c r="G138" s="185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spans="1:27" ht="12.75">
      <c r="A139" s="14"/>
      <c r="B139" s="183"/>
      <c r="C139" s="14"/>
      <c r="D139" s="14"/>
      <c r="E139" s="185"/>
      <c r="F139" s="35"/>
      <c r="G139" s="185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spans="1:27" ht="12.75">
      <c r="A140" s="14"/>
      <c r="B140" s="183"/>
      <c r="C140" s="14"/>
      <c r="D140" s="14"/>
      <c r="E140" s="185"/>
      <c r="F140" s="35"/>
      <c r="G140" s="185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spans="1:27" ht="12.75">
      <c r="A141" s="14"/>
      <c r="B141" s="183"/>
      <c r="C141" s="14"/>
      <c r="D141" s="14"/>
      <c r="E141" s="185"/>
      <c r="F141" s="35"/>
      <c r="G141" s="185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spans="1:27" ht="12.75">
      <c r="A142" s="14"/>
      <c r="B142" s="183"/>
      <c r="C142" s="14"/>
      <c r="D142" s="14"/>
      <c r="E142" s="185"/>
      <c r="F142" s="35"/>
      <c r="G142" s="185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spans="1:27" ht="12.75">
      <c r="A143" s="14"/>
      <c r="B143" s="183"/>
      <c r="C143" s="14"/>
      <c r="D143" s="14"/>
      <c r="E143" s="185"/>
      <c r="F143" s="35"/>
      <c r="G143" s="185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spans="1:27" ht="12.75">
      <c r="A144" s="14"/>
      <c r="B144" s="183"/>
      <c r="C144" s="14"/>
      <c r="D144" s="14"/>
      <c r="E144" s="185"/>
      <c r="F144" s="35"/>
      <c r="G144" s="185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spans="1:27" ht="12.75">
      <c r="A145" s="14"/>
      <c r="B145" s="183"/>
      <c r="C145" s="14"/>
      <c r="D145" s="14"/>
      <c r="E145" s="185"/>
      <c r="F145" s="35"/>
      <c r="G145" s="185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spans="1:27" ht="12.75">
      <c r="A146" s="14"/>
      <c r="B146" s="183"/>
      <c r="C146" s="14"/>
      <c r="D146" s="14"/>
      <c r="E146" s="185"/>
      <c r="F146" s="35"/>
      <c r="G146" s="185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spans="1:27" ht="12.75">
      <c r="A147" s="14"/>
      <c r="B147" s="183"/>
      <c r="C147" s="14"/>
      <c r="D147" s="14"/>
      <c r="E147" s="185"/>
      <c r="F147" s="35"/>
      <c r="G147" s="185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spans="1:27" ht="12.75">
      <c r="A148" s="14"/>
      <c r="B148" s="183"/>
      <c r="C148" s="14"/>
      <c r="D148" s="14"/>
      <c r="E148" s="185"/>
      <c r="F148" s="35"/>
      <c r="G148" s="185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spans="1:27" ht="12.75">
      <c r="A149" s="14"/>
      <c r="B149" s="183"/>
      <c r="C149" s="14"/>
      <c r="D149" s="14"/>
      <c r="E149" s="185"/>
      <c r="F149" s="35"/>
      <c r="G149" s="185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spans="1:27" ht="12.75">
      <c r="A150" s="14"/>
      <c r="B150" s="183"/>
      <c r="C150" s="14"/>
      <c r="D150" s="14"/>
      <c r="E150" s="185"/>
      <c r="F150" s="35"/>
      <c r="G150" s="185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spans="1:27" ht="12.75">
      <c r="A151" s="14"/>
      <c r="B151" s="183"/>
      <c r="C151" s="14"/>
      <c r="D151" s="14"/>
      <c r="E151" s="185"/>
      <c r="F151" s="35"/>
      <c r="G151" s="185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spans="1:27" ht="12.75">
      <c r="A152" s="14"/>
      <c r="B152" s="183"/>
      <c r="C152" s="14"/>
      <c r="D152" s="14"/>
      <c r="E152" s="185"/>
      <c r="F152" s="35"/>
      <c r="G152" s="185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spans="1:27" ht="12.75">
      <c r="A153" s="14"/>
      <c r="B153" s="183"/>
      <c r="C153" s="14"/>
      <c r="D153" s="14"/>
      <c r="E153" s="185"/>
      <c r="F153" s="35"/>
      <c r="G153" s="185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spans="1:27" ht="12.75">
      <c r="A154" s="14"/>
      <c r="B154" s="183"/>
      <c r="C154" s="14"/>
      <c r="D154" s="14"/>
      <c r="E154" s="185"/>
      <c r="F154" s="35"/>
      <c r="G154" s="185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spans="1:27" ht="12.75">
      <c r="A155" s="14"/>
      <c r="B155" s="183"/>
      <c r="C155" s="14"/>
      <c r="D155" s="14"/>
      <c r="E155" s="185"/>
      <c r="F155" s="35"/>
      <c r="G155" s="185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spans="1:27" ht="12.75">
      <c r="A156" s="14"/>
      <c r="B156" s="183"/>
      <c r="C156" s="14"/>
      <c r="D156" s="14"/>
      <c r="E156" s="185"/>
      <c r="F156" s="35"/>
      <c r="G156" s="185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spans="1:27" ht="12.75">
      <c r="A157" s="14"/>
      <c r="B157" s="183"/>
      <c r="C157" s="14"/>
      <c r="D157" s="14"/>
      <c r="E157" s="185"/>
      <c r="F157" s="35"/>
      <c r="G157" s="185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spans="1:27" ht="12.75">
      <c r="A158" s="14"/>
      <c r="B158" s="183"/>
      <c r="C158" s="14"/>
      <c r="D158" s="14"/>
      <c r="E158" s="185"/>
      <c r="F158" s="35"/>
      <c r="G158" s="185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spans="1:27" ht="12.75">
      <c r="A159" s="14"/>
      <c r="B159" s="183"/>
      <c r="C159" s="14"/>
      <c r="D159" s="14"/>
      <c r="E159" s="185"/>
      <c r="F159" s="35"/>
      <c r="G159" s="185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spans="1:27" ht="12.75">
      <c r="A160" s="14"/>
      <c r="B160" s="183"/>
      <c r="C160" s="14"/>
      <c r="D160" s="14"/>
      <c r="E160" s="185"/>
      <c r="F160" s="35"/>
      <c r="G160" s="185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spans="1:27" ht="12.75">
      <c r="A161" s="14"/>
      <c r="B161" s="183"/>
      <c r="C161" s="14"/>
      <c r="D161" s="14"/>
      <c r="E161" s="185"/>
      <c r="F161" s="35"/>
      <c r="G161" s="185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spans="1:27" ht="12.75">
      <c r="A162" s="14"/>
      <c r="B162" s="183"/>
      <c r="C162" s="14"/>
      <c r="D162" s="14"/>
      <c r="E162" s="185"/>
      <c r="F162" s="35"/>
      <c r="G162" s="185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spans="1:27" ht="12.75">
      <c r="A163" s="14"/>
      <c r="B163" s="183"/>
      <c r="C163" s="14"/>
      <c r="D163" s="14"/>
      <c r="E163" s="185"/>
      <c r="F163" s="35"/>
      <c r="G163" s="185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spans="1:27" ht="12.75">
      <c r="A164" s="14"/>
      <c r="B164" s="183"/>
      <c r="C164" s="14"/>
      <c r="D164" s="14"/>
      <c r="E164" s="185"/>
      <c r="F164" s="35"/>
      <c r="G164" s="185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spans="1:27" ht="12.75">
      <c r="A165" s="14"/>
      <c r="B165" s="183"/>
      <c r="C165" s="14"/>
      <c r="D165" s="14"/>
      <c r="E165" s="185"/>
      <c r="F165" s="35"/>
      <c r="G165" s="185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spans="1:27" ht="12.75">
      <c r="A166" s="14"/>
      <c r="B166" s="183"/>
      <c r="C166" s="14"/>
      <c r="D166" s="14"/>
      <c r="E166" s="185"/>
      <c r="F166" s="35"/>
      <c r="G166" s="185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spans="1:27" ht="12.75">
      <c r="A167" s="14"/>
      <c r="B167" s="183"/>
      <c r="C167" s="14"/>
      <c r="D167" s="14"/>
      <c r="E167" s="185"/>
      <c r="F167" s="35"/>
      <c r="G167" s="185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spans="1:27" ht="12.75">
      <c r="A168" s="14"/>
      <c r="B168" s="183"/>
      <c r="C168" s="14"/>
      <c r="D168" s="14"/>
      <c r="E168" s="185"/>
      <c r="F168" s="35"/>
      <c r="G168" s="185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spans="1:27" ht="12.75">
      <c r="A169" s="14"/>
      <c r="B169" s="183"/>
      <c r="C169" s="14"/>
      <c r="D169" s="14"/>
      <c r="E169" s="185"/>
      <c r="F169" s="35"/>
      <c r="G169" s="185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spans="1:27" ht="12.75">
      <c r="A170" s="14"/>
      <c r="B170" s="183"/>
      <c r="C170" s="14"/>
      <c r="D170" s="14"/>
      <c r="E170" s="185"/>
      <c r="F170" s="35"/>
      <c r="G170" s="185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spans="1:27" ht="12.75">
      <c r="A171" s="14"/>
      <c r="B171" s="183"/>
      <c r="C171" s="14"/>
      <c r="D171" s="14"/>
      <c r="E171" s="185"/>
      <c r="F171" s="35"/>
      <c r="G171" s="185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spans="1:27" ht="12.75">
      <c r="A172" s="14"/>
      <c r="B172" s="183"/>
      <c r="C172" s="14"/>
      <c r="D172" s="14"/>
      <c r="E172" s="185"/>
      <c r="F172" s="35"/>
      <c r="G172" s="185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spans="1:27" ht="12.75">
      <c r="A173" s="14"/>
      <c r="B173" s="183"/>
      <c r="C173" s="14"/>
      <c r="D173" s="14"/>
      <c r="E173" s="185"/>
      <c r="F173" s="35"/>
      <c r="G173" s="185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spans="1:27" ht="12.75">
      <c r="A174" s="14"/>
      <c r="B174" s="183"/>
      <c r="C174" s="14"/>
      <c r="D174" s="14"/>
      <c r="E174" s="185"/>
      <c r="F174" s="35"/>
      <c r="G174" s="185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spans="1:27" ht="12.75">
      <c r="A175" s="14"/>
      <c r="B175" s="183"/>
      <c r="C175" s="14"/>
      <c r="D175" s="14"/>
      <c r="E175" s="185"/>
      <c r="F175" s="35"/>
      <c r="G175" s="185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spans="1:27" ht="12.75">
      <c r="A176" s="14"/>
      <c r="B176" s="183"/>
      <c r="C176" s="14"/>
      <c r="D176" s="14"/>
      <c r="E176" s="185"/>
      <c r="F176" s="35"/>
      <c r="G176" s="185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spans="1:27" ht="12.75">
      <c r="A177" s="14"/>
      <c r="B177" s="183"/>
      <c r="C177" s="14"/>
      <c r="D177" s="14"/>
      <c r="E177" s="185"/>
      <c r="F177" s="35"/>
      <c r="G177" s="185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spans="1:27" ht="12.75">
      <c r="A178" s="14"/>
      <c r="B178" s="183"/>
      <c r="C178" s="14"/>
      <c r="D178" s="14"/>
      <c r="E178" s="185"/>
      <c r="F178" s="35"/>
      <c r="G178" s="185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spans="1:27" ht="12.75">
      <c r="A179" s="14"/>
      <c r="B179" s="183"/>
      <c r="C179" s="14"/>
      <c r="D179" s="14"/>
      <c r="E179" s="185"/>
      <c r="F179" s="35"/>
      <c r="G179" s="185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spans="1:27" ht="12.75">
      <c r="A180" s="14"/>
      <c r="B180" s="183"/>
      <c r="C180" s="14"/>
      <c r="D180" s="14"/>
      <c r="E180" s="185"/>
      <c r="F180" s="35"/>
      <c r="G180" s="185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spans="1:27" ht="12.75">
      <c r="A181" s="14"/>
      <c r="B181" s="183"/>
      <c r="C181" s="14"/>
      <c r="D181" s="14"/>
      <c r="E181" s="185"/>
      <c r="F181" s="35"/>
      <c r="G181" s="185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spans="1:27" ht="12.75">
      <c r="A182" s="14"/>
      <c r="B182" s="183"/>
      <c r="C182" s="14"/>
      <c r="D182" s="14"/>
      <c r="E182" s="185"/>
      <c r="F182" s="35"/>
      <c r="G182" s="185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spans="1:27" ht="12.75">
      <c r="A183" s="14"/>
      <c r="B183" s="183"/>
      <c r="C183" s="14"/>
      <c r="D183" s="14"/>
      <c r="E183" s="185"/>
      <c r="F183" s="35"/>
      <c r="G183" s="185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spans="1:27" ht="12.75">
      <c r="A184" s="14"/>
      <c r="B184" s="183"/>
      <c r="C184" s="14"/>
      <c r="D184" s="14"/>
      <c r="E184" s="185"/>
      <c r="F184" s="35"/>
      <c r="G184" s="185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spans="1:27" ht="12.75">
      <c r="A185" s="14"/>
      <c r="B185" s="183"/>
      <c r="C185" s="14"/>
      <c r="D185" s="14"/>
      <c r="E185" s="185"/>
      <c r="F185" s="35"/>
      <c r="G185" s="185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spans="1:27" ht="12.75">
      <c r="A186" s="14"/>
      <c r="B186" s="183"/>
      <c r="C186" s="14"/>
      <c r="D186" s="14"/>
      <c r="E186" s="185"/>
      <c r="F186" s="35"/>
      <c r="G186" s="185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spans="1:27" ht="12.75">
      <c r="A187" s="14"/>
      <c r="B187" s="183"/>
      <c r="C187" s="14"/>
      <c r="D187" s="14"/>
      <c r="E187" s="185"/>
      <c r="F187" s="35"/>
      <c r="G187" s="185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spans="1:27" ht="12.75">
      <c r="A188" s="14"/>
      <c r="B188" s="183"/>
      <c r="C188" s="14"/>
      <c r="D188" s="14"/>
      <c r="E188" s="185"/>
      <c r="F188" s="35"/>
      <c r="G188" s="185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spans="1:27" ht="12.75">
      <c r="A189" s="14"/>
      <c r="B189" s="183"/>
      <c r="C189" s="14"/>
      <c r="D189" s="14"/>
      <c r="E189" s="185"/>
      <c r="F189" s="35"/>
      <c r="G189" s="185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spans="1:27" ht="12.75">
      <c r="A190" s="14"/>
      <c r="B190" s="183"/>
      <c r="C190" s="14"/>
      <c r="D190" s="14"/>
      <c r="E190" s="185"/>
      <c r="F190" s="35"/>
      <c r="G190" s="185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spans="1:27" ht="12.75">
      <c r="A191" s="14"/>
      <c r="B191" s="183"/>
      <c r="C191" s="14"/>
      <c r="D191" s="14"/>
      <c r="E191" s="185"/>
      <c r="F191" s="35"/>
      <c r="G191" s="185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spans="1:27" ht="12.75">
      <c r="A192" s="14"/>
      <c r="B192" s="183"/>
      <c r="C192" s="14"/>
      <c r="D192" s="14"/>
      <c r="E192" s="185"/>
      <c r="F192" s="35"/>
      <c r="G192" s="185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spans="1:27" ht="12.75">
      <c r="A193" s="14"/>
      <c r="B193" s="183"/>
      <c r="C193" s="14"/>
      <c r="D193" s="14"/>
      <c r="E193" s="185"/>
      <c r="F193" s="35"/>
      <c r="G193" s="185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spans="1:27" ht="12.75">
      <c r="A194" s="14"/>
      <c r="B194" s="183"/>
      <c r="C194" s="14"/>
      <c r="D194" s="14"/>
      <c r="E194" s="185"/>
      <c r="F194" s="35"/>
      <c r="G194" s="185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spans="1:27" ht="12.75">
      <c r="A195" s="14"/>
      <c r="B195" s="183"/>
      <c r="C195" s="14"/>
      <c r="D195" s="14"/>
      <c r="E195" s="185"/>
      <c r="F195" s="35"/>
      <c r="G195" s="185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spans="1:27" ht="12.75">
      <c r="A196" s="14"/>
      <c r="B196" s="183"/>
      <c r="C196" s="14"/>
      <c r="D196" s="14"/>
      <c r="E196" s="185"/>
      <c r="F196" s="35"/>
      <c r="G196" s="185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spans="1:27" ht="12.75">
      <c r="A197" s="14"/>
      <c r="B197" s="183"/>
      <c r="C197" s="14"/>
      <c r="D197" s="14"/>
      <c r="E197" s="185"/>
      <c r="F197" s="35"/>
      <c r="G197" s="185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spans="1:27" ht="12.75">
      <c r="A198" s="14"/>
      <c r="B198" s="183"/>
      <c r="C198" s="14"/>
      <c r="D198" s="14"/>
      <c r="E198" s="185"/>
      <c r="F198" s="35"/>
      <c r="G198" s="185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spans="1:27" ht="12.75">
      <c r="A199" s="14"/>
      <c r="B199" s="183"/>
      <c r="C199" s="14"/>
      <c r="D199" s="14"/>
      <c r="E199" s="185"/>
      <c r="F199" s="35"/>
      <c r="G199" s="185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spans="1:27" ht="12.75">
      <c r="A200" s="14"/>
      <c r="B200" s="183"/>
      <c r="C200" s="14"/>
      <c r="D200" s="14"/>
      <c r="E200" s="185"/>
      <c r="F200" s="35"/>
      <c r="G200" s="185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spans="1:27" ht="12.75">
      <c r="A201" s="14"/>
      <c r="B201" s="183"/>
      <c r="C201" s="14"/>
      <c r="D201" s="14"/>
      <c r="E201" s="185"/>
      <c r="F201" s="35"/>
      <c r="G201" s="185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spans="1:27" ht="12.75">
      <c r="A202" s="14"/>
      <c r="B202" s="183"/>
      <c r="C202" s="14"/>
      <c r="D202" s="14"/>
      <c r="E202" s="185"/>
      <c r="F202" s="35"/>
      <c r="G202" s="185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spans="1:27" ht="12.75">
      <c r="A203" s="14"/>
      <c r="B203" s="183"/>
      <c r="C203" s="14"/>
      <c r="D203" s="14"/>
      <c r="E203" s="185"/>
      <c r="F203" s="35"/>
      <c r="G203" s="185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spans="1:27" ht="12.75">
      <c r="A204" s="14"/>
      <c r="B204" s="183"/>
      <c r="C204" s="14"/>
      <c r="D204" s="14"/>
      <c r="E204" s="185"/>
      <c r="F204" s="35"/>
      <c r="G204" s="185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spans="1:27" ht="12.75">
      <c r="A205" s="14"/>
      <c r="B205" s="183"/>
      <c r="C205" s="14"/>
      <c r="D205" s="14"/>
      <c r="E205" s="185"/>
      <c r="F205" s="35"/>
      <c r="G205" s="185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spans="1:27" ht="12.75">
      <c r="A206" s="14"/>
      <c r="B206" s="183"/>
      <c r="C206" s="14"/>
      <c r="D206" s="14"/>
      <c r="E206" s="185"/>
      <c r="F206" s="35"/>
      <c r="G206" s="185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spans="1:27" ht="12.75">
      <c r="A207" s="14"/>
      <c r="B207" s="183"/>
      <c r="C207" s="14"/>
      <c r="D207" s="14"/>
      <c r="E207" s="185"/>
      <c r="F207" s="35"/>
      <c r="G207" s="185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spans="1:27" ht="12.75">
      <c r="A208" s="14"/>
      <c r="B208" s="183"/>
      <c r="C208" s="14"/>
      <c r="D208" s="14"/>
      <c r="E208" s="185"/>
      <c r="F208" s="35"/>
      <c r="G208" s="185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spans="1:27" ht="12.75">
      <c r="A209" s="14"/>
      <c r="B209" s="183"/>
      <c r="C209" s="14"/>
      <c r="D209" s="14"/>
      <c r="E209" s="185"/>
      <c r="F209" s="35"/>
      <c r="G209" s="185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spans="1:27" ht="12.75">
      <c r="A210" s="14"/>
      <c r="B210" s="183"/>
      <c r="C210" s="14"/>
      <c r="D210" s="14"/>
      <c r="E210" s="185"/>
      <c r="F210" s="35"/>
      <c r="G210" s="185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spans="1:27" ht="12.75">
      <c r="A211" s="14"/>
      <c r="B211" s="183"/>
      <c r="C211" s="14"/>
      <c r="D211" s="14"/>
      <c r="E211" s="185"/>
      <c r="F211" s="35"/>
      <c r="G211" s="185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spans="1:27" ht="12.75">
      <c r="A212" s="14"/>
      <c r="B212" s="183"/>
      <c r="C212" s="14"/>
      <c r="D212" s="14"/>
      <c r="E212" s="185"/>
      <c r="F212" s="35"/>
      <c r="G212" s="185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spans="1:27" ht="12.75">
      <c r="A213" s="14"/>
      <c r="B213" s="183"/>
      <c r="C213" s="14"/>
      <c r="D213" s="14"/>
      <c r="E213" s="185"/>
      <c r="F213" s="35"/>
      <c r="G213" s="185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spans="1:27" ht="12.75">
      <c r="A214" s="14"/>
      <c r="B214" s="183"/>
      <c r="C214" s="14"/>
      <c r="D214" s="14"/>
      <c r="E214" s="185"/>
      <c r="F214" s="35"/>
      <c r="G214" s="185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spans="1:27" ht="12.75">
      <c r="A215" s="14"/>
      <c r="B215" s="183"/>
      <c r="C215" s="14"/>
      <c r="D215" s="14"/>
      <c r="E215" s="185"/>
      <c r="F215" s="35"/>
      <c r="G215" s="185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spans="1:27" ht="12.75">
      <c r="A216" s="14"/>
      <c r="B216" s="183"/>
      <c r="C216" s="14"/>
      <c r="D216" s="14"/>
      <c r="E216" s="185"/>
      <c r="F216" s="35"/>
      <c r="G216" s="185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spans="1:27" ht="12.75">
      <c r="A217" s="14"/>
      <c r="B217" s="183"/>
      <c r="C217" s="14"/>
      <c r="D217" s="14"/>
      <c r="E217" s="185"/>
      <c r="F217" s="35"/>
      <c r="G217" s="185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spans="1:27" ht="12.75">
      <c r="A218" s="14"/>
      <c r="B218" s="183"/>
      <c r="C218" s="14"/>
      <c r="D218" s="14"/>
      <c r="E218" s="185"/>
      <c r="F218" s="35"/>
      <c r="G218" s="185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spans="1:27" ht="12.75">
      <c r="A219" s="14"/>
      <c r="B219" s="183"/>
      <c r="C219" s="14"/>
      <c r="D219" s="14"/>
      <c r="E219" s="185"/>
      <c r="F219" s="35"/>
      <c r="G219" s="185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spans="1:27" ht="12.75">
      <c r="A220" s="14"/>
      <c r="B220" s="183"/>
      <c r="C220" s="14"/>
      <c r="D220" s="14"/>
      <c r="E220" s="185"/>
      <c r="F220" s="35"/>
      <c r="G220" s="185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spans="1:27" ht="12.75">
      <c r="A221" s="14"/>
      <c r="B221" s="183"/>
      <c r="C221" s="14"/>
      <c r="D221" s="14"/>
      <c r="E221" s="185"/>
      <c r="F221" s="35"/>
      <c r="G221" s="185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spans="1:27" ht="12.75">
      <c r="A222" s="14"/>
      <c r="B222" s="206"/>
      <c r="C222" s="6"/>
      <c r="D222" s="14"/>
      <c r="E222" s="185"/>
      <c r="F222" s="35"/>
      <c r="G222" s="185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spans="1:27" ht="12.75">
      <c r="A223" s="14"/>
      <c r="B223" s="206"/>
      <c r="C223" s="6"/>
      <c r="D223" s="14"/>
      <c r="E223" s="185"/>
      <c r="F223" s="35"/>
      <c r="G223" s="185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spans="1:27" ht="12.75">
      <c r="A224" s="14"/>
      <c r="B224" s="206"/>
      <c r="C224" s="6"/>
      <c r="D224" s="14"/>
      <c r="E224" s="185"/>
      <c r="F224" s="35"/>
      <c r="G224" s="185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spans="1:27" ht="12.75">
      <c r="A225" s="14"/>
      <c r="B225" s="206"/>
      <c r="C225" s="6"/>
      <c r="D225" s="14"/>
      <c r="E225" s="185"/>
      <c r="F225" s="35"/>
      <c r="G225" s="185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spans="1:27" ht="12.75">
      <c r="A226" s="14"/>
      <c r="B226" s="206"/>
      <c r="C226" s="6"/>
      <c r="D226" s="14"/>
      <c r="E226" s="185"/>
      <c r="F226" s="35"/>
      <c r="G226" s="185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spans="1:27" ht="12.75">
      <c r="A227" s="14"/>
      <c r="B227" s="206"/>
      <c r="C227" s="6"/>
      <c r="D227" s="14"/>
      <c r="E227" s="185"/>
      <c r="F227" s="35"/>
      <c r="G227" s="185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spans="1:27" ht="12.75">
      <c r="A228" s="14"/>
      <c r="B228" s="206"/>
      <c r="C228" s="6"/>
      <c r="D228" s="14"/>
      <c r="E228" s="185"/>
      <c r="F228" s="35"/>
      <c r="G228" s="185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spans="1:27" ht="12.75">
      <c r="A229" s="14"/>
      <c r="B229" s="206"/>
      <c r="C229" s="6"/>
      <c r="D229" s="14"/>
      <c r="E229" s="185"/>
      <c r="F229" s="35"/>
      <c r="G229" s="185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spans="1:27" ht="12.75">
      <c r="A230" s="14"/>
      <c r="B230" s="206"/>
      <c r="C230" s="6"/>
      <c r="D230" s="14"/>
      <c r="E230" s="185"/>
      <c r="F230" s="35"/>
      <c r="G230" s="185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spans="1:27" ht="12.75">
      <c r="A231" s="14"/>
      <c r="B231" s="206"/>
      <c r="C231" s="6"/>
      <c r="D231" s="14"/>
      <c r="E231" s="185"/>
      <c r="F231" s="35"/>
      <c r="G231" s="185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spans="1:27" ht="12.75">
      <c r="A232" s="14"/>
      <c r="B232" s="206"/>
      <c r="C232" s="6"/>
      <c r="D232" s="14"/>
      <c r="E232" s="185"/>
      <c r="F232" s="35"/>
      <c r="G232" s="185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spans="1:27" ht="12.75">
      <c r="A233" s="14"/>
      <c r="B233" s="206"/>
      <c r="C233" s="6"/>
      <c r="D233" s="14"/>
      <c r="E233" s="185"/>
      <c r="F233" s="35"/>
      <c r="G233" s="185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spans="1:27" ht="12.75">
      <c r="A234" s="14"/>
      <c r="B234" s="206"/>
      <c r="C234" s="6"/>
      <c r="D234" s="14"/>
      <c r="E234" s="185"/>
      <c r="F234" s="35"/>
      <c r="G234" s="185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spans="1:27" ht="12.75">
      <c r="A235" s="14"/>
      <c r="B235" s="206"/>
      <c r="C235" s="6"/>
      <c r="D235" s="14"/>
      <c r="E235" s="185"/>
      <c r="F235" s="35"/>
      <c r="G235" s="185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spans="1:27" ht="12.75">
      <c r="A236" s="14"/>
      <c r="B236" s="206"/>
      <c r="C236" s="6"/>
      <c r="D236" s="14"/>
      <c r="E236" s="185"/>
      <c r="F236" s="35"/>
      <c r="G236" s="185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spans="1:27" ht="12.75">
      <c r="A237" s="14"/>
      <c r="B237" s="206"/>
      <c r="C237" s="6"/>
      <c r="D237" s="14"/>
      <c r="E237" s="185"/>
      <c r="F237" s="35"/>
      <c r="G237" s="185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spans="1:27" ht="12.75">
      <c r="A238" s="14"/>
      <c r="B238" s="206"/>
      <c r="C238" s="6"/>
      <c r="D238" s="14"/>
      <c r="E238" s="185"/>
      <c r="F238" s="35"/>
      <c r="G238" s="185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spans="1:27" ht="12.75">
      <c r="A239" s="14"/>
      <c r="B239" s="206"/>
      <c r="C239" s="6"/>
      <c r="D239" s="14"/>
      <c r="E239" s="185"/>
      <c r="F239" s="35"/>
      <c r="G239" s="185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spans="1:27" ht="12.75">
      <c r="A240" s="14"/>
      <c r="B240" s="206"/>
      <c r="C240" s="6"/>
      <c r="D240" s="14"/>
      <c r="E240" s="185"/>
      <c r="F240" s="35"/>
      <c r="G240" s="185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spans="1:27" ht="12.75">
      <c r="A241" s="14"/>
      <c r="B241" s="206"/>
      <c r="C241" s="6"/>
      <c r="D241" s="14"/>
      <c r="E241" s="185"/>
      <c r="F241" s="35"/>
      <c r="G241" s="185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spans="1:27" ht="12.75">
      <c r="A242" s="14"/>
      <c r="B242" s="206"/>
      <c r="C242" s="6"/>
      <c r="D242" s="14"/>
      <c r="E242" s="185"/>
      <c r="F242" s="35"/>
      <c r="G242" s="185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spans="1:27" ht="12.75">
      <c r="A243" s="14"/>
      <c r="B243" s="206"/>
      <c r="C243" s="6"/>
      <c r="D243" s="14"/>
      <c r="E243" s="185"/>
      <c r="F243" s="35"/>
      <c r="G243" s="185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spans="1:27" ht="12.75">
      <c r="A244" s="14"/>
      <c r="B244" s="206"/>
      <c r="C244" s="6"/>
      <c r="D244" s="14"/>
      <c r="E244" s="185"/>
      <c r="F244" s="35"/>
      <c r="G244" s="185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spans="1:27" ht="12.75">
      <c r="A245" s="14"/>
      <c r="B245" s="206"/>
      <c r="C245" s="6"/>
      <c r="D245" s="14"/>
      <c r="E245" s="185"/>
      <c r="F245" s="35"/>
      <c r="G245" s="185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spans="1:27" ht="12.75">
      <c r="A246" s="14"/>
      <c r="B246" s="206"/>
      <c r="C246" s="6"/>
      <c r="D246" s="14"/>
      <c r="E246" s="185"/>
      <c r="F246" s="35"/>
      <c r="G246" s="185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spans="1:27" ht="12.75">
      <c r="A247" s="14"/>
      <c r="B247" s="206"/>
      <c r="C247" s="6"/>
      <c r="D247" s="14"/>
      <c r="E247" s="185"/>
      <c r="F247" s="35"/>
      <c r="G247" s="185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spans="1:27" ht="12.75">
      <c r="A248" s="14"/>
      <c r="B248" s="206"/>
      <c r="C248" s="6"/>
      <c r="D248" s="14"/>
      <c r="E248" s="185"/>
      <c r="F248" s="35"/>
      <c r="G248" s="185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spans="1:27" ht="12.75">
      <c r="A249" s="14"/>
      <c r="B249" s="206"/>
      <c r="C249" s="6"/>
      <c r="D249" s="14"/>
      <c r="E249" s="185"/>
      <c r="F249" s="35"/>
      <c r="G249" s="185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spans="1:27" ht="12.75">
      <c r="A250" s="14"/>
      <c r="B250" s="206"/>
      <c r="C250" s="6"/>
      <c r="D250" s="14"/>
      <c r="E250" s="185"/>
      <c r="F250" s="35"/>
      <c r="G250" s="185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spans="1:27" ht="12.75">
      <c r="A251" s="14"/>
      <c r="B251" s="206"/>
      <c r="C251" s="6"/>
      <c r="D251" s="14"/>
      <c r="E251" s="185"/>
      <c r="F251" s="35"/>
      <c r="G251" s="185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spans="1:27" ht="12.75">
      <c r="A252" s="14"/>
      <c r="B252" s="206"/>
      <c r="C252" s="6"/>
      <c r="D252" s="14"/>
      <c r="E252" s="185"/>
      <c r="F252" s="35"/>
      <c r="G252" s="185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spans="1:27" ht="12.75">
      <c r="A253" s="14"/>
      <c r="B253" s="206"/>
      <c r="C253" s="6"/>
      <c r="D253" s="14"/>
      <c r="E253" s="185"/>
      <c r="F253" s="35"/>
      <c r="G253" s="185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spans="1:27" ht="12.75">
      <c r="A254" s="14"/>
      <c r="B254" s="206"/>
      <c r="C254" s="6"/>
      <c r="D254" s="14"/>
      <c r="E254" s="185"/>
      <c r="F254" s="35"/>
      <c r="G254" s="185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spans="1:27" ht="12.75">
      <c r="A255" s="14"/>
      <c r="B255" s="206"/>
      <c r="C255" s="6"/>
      <c r="D255" s="14"/>
      <c r="E255" s="185"/>
      <c r="F255" s="35"/>
      <c r="G255" s="185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spans="1:27" ht="12.75">
      <c r="A256" s="14"/>
      <c r="B256" s="206"/>
      <c r="C256" s="6"/>
      <c r="D256" s="14"/>
      <c r="E256" s="185"/>
      <c r="F256" s="35"/>
      <c r="G256" s="185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spans="1:27" ht="12.75">
      <c r="A257" s="14"/>
      <c r="B257" s="206"/>
      <c r="C257" s="6"/>
      <c r="D257" s="14"/>
      <c r="E257" s="185"/>
      <c r="F257" s="35"/>
      <c r="G257" s="185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spans="1:27" ht="12.75">
      <c r="A258" s="14"/>
      <c r="B258" s="206"/>
      <c r="C258" s="6"/>
      <c r="D258" s="14"/>
      <c r="E258" s="185"/>
      <c r="F258" s="35"/>
      <c r="G258" s="185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spans="1:27" ht="12.75">
      <c r="A259" s="14"/>
      <c r="B259" s="206"/>
      <c r="C259" s="6"/>
      <c r="D259" s="14"/>
      <c r="E259" s="185"/>
      <c r="F259" s="35"/>
      <c r="G259" s="185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spans="1:27" ht="12.75">
      <c r="A260" s="14"/>
      <c r="B260" s="206"/>
      <c r="C260" s="6"/>
      <c r="D260" s="14"/>
      <c r="E260" s="185"/>
      <c r="F260" s="35"/>
      <c r="G260" s="185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spans="1:27" ht="12.75">
      <c r="A261" s="14"/>
      <c r="B261" s="206"/>
      <c r="C261" s="6"/>
      <c r="D261" s="14"/>
      <c r="E261" s="185"/>
      <c r="F261" s="35"/>
      <c r="G261" s="185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spans="1:27" ht="12.75">
      <c r="A262" s="14"/>
      <c r="B262" s="206"/>
      <c r="C262" s="6"/>
      <c r="D262" s="14"/>
      <c r="E262" s="185"/>
      <c r="F262" s="35"/>
      <c r="G262" s="185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spans="1:27" ht="12.75">
      <c r="A263" s="14"/>
      <c r="B263" s="206"/>
      <c r="C263" s="6"/>
      <c r="D263" s="14"/>
      <c r="E263" s="185"/>
      <c r="F263" s="35"/>
      <c r="G263" s="185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spans="1:27" ht="12.75">
      <c r="A264" s="14"/>
      <c r="B264" s="206"/>
      <c r="C264" s="6"/>
      <c r="D264" s="14"/>
      <c r="E264" s="185"/>
      <c r="F264" s="35"/>
      <c r="G264" s="185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spans="1:27" ht="12.75">
      <c r="A265" s="14"/>
      <c r="B265" s="206"/>
      <c r="C265" s="6"/>
      <c r="D265" s="14"/>
      <c r="E265" s="185"/>
      <c r="F265" s="35"/>
      <c r="G265" s="185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spans="1:27" ht="12.75">
      <c r="A266" s="14"/>
      <c r="B266" s="206"/>
      <c r="C266" s="6"/>
      <c r="D266" s="14"/>
      <c r="E266" s="185"/>
      <c r="F266" s="35"/>
      <c r="G266" s="185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spans="1:27" ht="12.75">
      <c r="A267" s="14"/>
      <c r="B267" s="206"/>
      <c r="C267" s="6"/>
      <c r="D267" s="14"/>
      <c r="E267" s="185"/>
      <c r="F267" s="35"/>
      <c r="G267" s="185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spans="1:27" ht="12.75">
      <c r="A268" s="14"/>
      <c r="B268" s="206"/>
      <c r="C268" s="6"/>
      <c r="D268" s="14"/>
      <c r="E268" s="185"/>
      <c r="F268" s="35"/>
      <c r="G268" s="185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spans="1:27" ht="12.75">
      <c r="A269" s="14"/>
      <c r="B269" s="206"/>
      <c r="C269" s="6"/>
      <c r="D269" s="14"/>
      <c r="E269" s="185"/>
      <c r="F269" s="35"/>
      <c r="G269" s="185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spans="1:27" ht="12.75">
      <c r="A270" s="14"/>
      <c r="B270" s="206"/>
      <c r="C270" s="6"/>
      <c r="D270" s="14"/>
      <c r="E270" s="185"/>
      <c r="F270" s="35"/>
      <c r="G270" s="185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spans="1:27" ht="12.75">
      <c r="A271" s="14"/>
      <c r="B271" s="206"/>
      <c r="C271" s="6"/>
      <c r="D271" s="14"/>
      <c r="E271" s="185"/>
      <c r="F271" s="35"/>
      <c r="G271" s="185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spans="1:27" ht="12.75">
      <c r="A272" s="14"/>
      <c r="B272" s="206"/>
      <c r="C272" s="6"/>
      <c r="D272" s="14"/>
      <c r="E272" s="185"/>
      <c r="F272" s="35"/>
      <c r="G272" s="185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spans="1:27" ht="12.75">
      <c r="A273" s="14"/>
      <c r="B273" s="206"/>
      <c r="C273" s="6"/>
      <c r="D273" s="14"/>
      <c r="E273" s="185"/>
      <c r="F273" s="35"/>
      <c r="G273" s="185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spans="1:27" ht="12.75">
      <c r="A274" s="14"/>
      <c r="B274" s="206"/>
      <c r="C274" s="6"/>
      <c r="D274" s="14"/>
      <c r="E274" s="185"/>
      <c r="F274" s="35"/>
      <c r="G274" s="185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spans="1:27" ht="12.75">
      <c r="A275" s="14"/>
      <c r="B275" s="206"/>
      <c r="C275" s="6"/>
      <c r="D275" s="14"/>
      <c r="E275" s="185"/>
      <c r="F275" s="35"/>
      <c r="G275" s="185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spans="1:27" ht="12.75">
      <c r="A276" s="14"/>
      <c r="B276" s="206"/>
      <c r="C276" s="6"/>
      <c r="D276" s="14"/>
      <c r="E276" s="185"/>
      <c r="F276" s="35"/>
      <c r="G276" s="185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spans="1:27" ht="12.75">
      <c r="A277" s="14"/>
      <c r="B277" s="206"/>
      <c r="C277" s="6"/>
      <c r="D277" s="14"/>
      <c r="E277" s="185"/>
      <c r="F277" s="35"/>
      <c r="G277" s="185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spans="1:27" ht="12.75">
      <c r="A278" s="14"/>
      <c r="B278" s="206"/>
      <c r="C278" s="6"/>
      <c r="D278" s="14"/>
      <c r="E278" s="185"/>
      <c r="F278" s="35"/>
      <c r="G278" s="185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spans="1:27" ht="12.75">
      <c r="A279" s="14"/>
      <c r="B279" s="206"/>
      <c r="C279" s="6"/>
      <c r="D279" s="14"/>
      <c r="E279" s="185"/>
      <c r="F279" s="35"/>
      <c r="G279" s="185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spans="1:27" ht="12.75">
      <c r="A280" s="14"/>
      <c r="B280" s="206"/>
      <c r="C280" s="6"/>
      <c r="D280" s="14"/>
      <c r="E280" s="185"/>
      <c r="F280" s="35"/>
      <c r="G280" s="185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spans="1:27" ht="12.75">
      <c r="A281" s="14"/>
      <c r="B281" s="206"/>
      <c r="C281" s="6"/>
      <c r="D281" s="14"/>
      <c r="E281" s="185"/>
      <c r="F281" s="35"/>
      <c r="G281" s="185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spans="1:27" ht="12.75">
      <c r="A282" s="14"/>
      <c r="B282" s="206"/>
      <c r="C282" s="6"/>
      <c r="D282" s="14"/>
      <c r="E282" s="185"/>
      <c r="F282" s="35"/>
      <c r="G282" s="185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spans="1:27" ht="12.75">
      <c r="A283" s="14"/>
      <c r="B283" s="206"/>
      <c r="C283" s="6"/>
      <c r="D283" s="14"/>
      <c r="E283" s="185"/>
      <c r="F283" s="35"/>
      <c r="G283" s="185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spans="1:27" ht="12.75">
      <c r="A284" s="14"/>
      <c r="B284" s="206"/>
      <c r="C284" s="6"/>
      <c r="D284" s="14"/>
      <c r="E284" s="185"/>
      <c r="F284" s="35"/>
      <c r="G284" s="185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spans="1:27" ht="12.75">
      <c r="A285" s="14"/>
      <c r="B285" s="206"/>
      <c r="C285" s="6"/>
      <c r="D285" s="14"/>
      <c r="E285" s="185"/>
      <c r="F285" s="35"/>
      <c r="G285" s="185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spans="1:27" ht="12.75">
      <c r="A286" s="14"/>
      <c r="B286" s="206"/>
      <c r="C286" s="6"/>
      <c r="D286" s="14"/>
      <c r="E286" s="185"/>
      <c r="F286" s="35"/>
      <c r="G286" s="185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spans="1:27" ht="12.75">
      <c r="A287" s="14"/>
      <c r="B287" s="206"/>
      <c r="C287" s="6"/>
      <c r="D287" s="14"/>
      <c r="E287" s="185"/>
      <c r="F287" s="35"/>
      <c r="G287" s="185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spans="1:27" ht="12.75">
      <c r="A288" s="14"/>
      <c r="B288" s="206"/>
      <c r="C288" s="6"/>
      <c r="D288" s="14"/>
      <c r="E288" s="185"/>
      <c r="F288" s="35"/>
      <c r="G288" s="185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spans="1:27" ht="12.75">
      <c r="A289" s="14"/>
      <c r="B289" s="206"/>
      <c r="C289" s="6"/>
      <c r="D289" s="14"/>
      <c r="E289" s="185"/>
      <c r="F289" s="35"/>
      <c r="G289" s="185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spans="1:27" ht="12.75">
      <c r="A290" s="14"/>
      <c r="B290" s="206"/>
      <c r="C290" s="6"/>
      <c r="D290" s="14"/>
      <c r="E290" s="185"/>
      <c r="F290" s="35"/>
      <c r="G290" s="185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spans="1:27" ht="12.75">
      <c r="A291" s="14"/>
      <c r="B291" s="206"/>
      <c r="C291" s="6"/>
      <c r="D291" s="14"/>
      <c r="E291" s="185"/>
      <c r="F291" s="35"/>
      <c r="G291" s="185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spans="1:27" ht="12.75">
      <c r="A292" s="14"/>
      <c r="B292" s="206"/>
      <c r="C292" s="6"/>
      <c r="D292" s="14"/>
      <c r="E292" s="185"/>
      <c r="F292" s="35"/>
      <c r="G292" s="185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spans="1:27" ht="12.75">
      <c r="A293" s="14"/>
      <c r="B293" s="206"/>
      <c r="C293" s="6"/>
      <c r="D293" s="14"/>
      <c r="E293" s="185"/>
      <c r="F293" s="35"/>
      <c r="G293" s="185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spans="1:27" ht="12.75">
      <c r="A294" s="14"/>
      <c r="B294" s="206"/>
      <c r="C294" s="6"/>
      <c r="D294" s="14"/>
      <c r="E294" s="185"/>
      <c r="F294" s="35"/>
      <c r="G294" s="185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spans="1:27" ht="12.75">
      <c r="A295" s="14"/>
      <c r="B295" s="206"/>
      <c r="C295" s="6"/>
      <c r="D295" s="14"/>
      <c r="E295" s="185"/>
      <c r="F295" s="35"/>
      <c r="G295" s="185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spans="1:27" ht="12.75">
      <c r="A296" s="14"/>
      <c r="B296" s="206"/>
      <c r="C296" s="6"/>
      <c r="D296" s="14"/>
      <c r="E296" s="185"/>
      <c r="F296" s="35"/>
      <c r="G296" s="185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spans="1:27" ht="12.75">
      <c r="A297" s="14"/>
      <c r="B297" s="206"/>
      <c r="C297" s="6"/>
      <c r="D297" s="14"/>
      <c r="E297" s="185"/>
      <c r="F297" s="35"/>
      <c r="G297" s="185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spans="1:27" ht="12.75">
      <c r="A298" s="14"/>
      <c r="B298" s="206"/>
      <c r="C298" s="6"/>
      <c r="D298" s="14"/>
      <c r="E298" s="185"/>
      <c r="F298" s="35"/>
      <c r="G298" s="185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spans="1:27" ht="12.75">
      <c r="A299" s="14"/>
      <c r="B299" s="206"/>
      <c r="C299" s="6"/>
      <c r="D299" s="14"/>
      <c r="E299" s="185"/>
      <c r="F299" s="35"/>
      <c r="G299" s="185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spans="1:27" ht="12.75">
      <c r="A300" s="14"/>
      <c r="B300" s="206"/>
      <c r="C300" s="6"/>
      <c r="D300" s="14"/>
      <c r="E300" s="185"/>
      <c r="F300" s="35"/>
      <c r="G300" s="185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spans="1:27" ht="12.75">
      <c r="A301" s="14"/>
      <c r="B301" s="206"/>
      <c r="C301" s="6"/>
      <c r="D301" s="14"/>
      <c r="E301" s="185"/>
      <c r="F301" s="35"/>
      <c r="G301" s="185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spans="1:27" ht="12.75">
      <c r="A302" s="14"/>
      <c r="B302" s="206"/>
      <c r="C302" s="6"/>
      <c r="D302" s="14"/>
      <c r="E302" s="185"/>
      <c r="F302" s="35"/>
      <c r="G302" s="185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spans="1:27" ht="12.75">
      <c r="A303" s="14"/>
      <c r="B303" s="206"/>
      <c r="C303" s="6"/>
      <c r="D303" s="14"/>
      <c r="E303" s="185"/>
      <c r="F303" s="35"/>
      <c r="G303" s="185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spans="1:27" ht="12.75">
      <c r="A304" s="14"/>
      <c r="B304" s="206"/>
      <c r="C304" s="6"/>
      <c r="D304" s="14"/>
      <c r="E304" s="185"/>
      <c r="F304" s="35"/>
      <c r="G304" s="185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spans="1:27" ht="12.75">
      <c r="A305" s="14"/>
      <c r="B305" s="206"/>
      <c r="C305" s="6"/>
      <c r="D305" s="14"/>
      <c r="E305" s="185"/>
      <c r="F305" s="35"/>
      <c r="G305" s="185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spans="1:27" ht="12.75">
      <c r="A306" s="14"/>
      <c r="B306" s="206"/>
      <c r="C306" s="6"/>
      <c r="D306" s="14"/>
      <c r="E306" s="185"/>
      <c r="F306" s="35"/>
      <c r="G306" s="185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spans="1:27" ht="12.75">
      <c r="A307" s="14"/>
      <c r="B307" s="206"/>
      <c r="C307" s="6"/>
      <c r="D307" s="14"/>
      <c r="E307" s="185"/>
      <c r="F307" s="35"/>
      <c r="G307" s="185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spans="1:27" ht="12.75">
      <c r="A308" s="14"/>
      <c r="B308" s="206"/>
      <c r="C308" s="6"/>
      <c r="D308" s="14"/>
      <c r="E308" s="185"/>
      <c r="F308" s="35"/>
      <c r="G308" s="185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spans="1:27" ht="12.75">
      <c r="A309" s="14"/>
      <c r="B309" s="206"/>
      <c r="C309" s="6"/>
      <c r="D309" s="14"/>
      <c r="E309" s="185"/>
      <c r="F309" s="35"/>
      <c r="G309" s="185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spans="1:27" ht="12.75">
      <c r="A310" s="14"/>
      <c r="B310" s="206"/>
      <c r="C310" s="6"/>
      <c r="D310" s="14"/>
      <c r="E310" s="185"/>
      <c r="F310" s="35"/>
      <c r="G310" s="185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spans="1:27" ht="12.75">
      <c r="A311" s="14"/>
      <c r="B311" s="206"/>
      <c r="C311" s="6"/>
      <c r="D311" s="14"/>
      <c r="E311" s="185"/>
      <c r="F311" s="35"/>
      <c r="G311" s="185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spans="1:27" ht="12.75">
      <c r="A312" s="14"/>
      <c r="B312" s="206"/>
      <c r="C312" s="6"/>
      <c r="D312" s="14"/>
      <c r="E312" s="185"/>
      <c r="F312" s="35"/>
      <c r="G312" s="185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spans="1:27" ht="12.75">
      <c r="A313" s="14"/>
      <c r="B313" s="206"/>
      <c r="C313" s="6"/>
      <c r="D313" s="14"/>
      <c r="E313" s="185"/>
      <c r="F313" s="35"/>
      <c r="G313" s="185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spans="1:27" ht="12.75">
      <c r="A314" s="14"/>
      <c r="B314" s="206"/>
      <c r="C314" s="6"/>
      <c r="D314" s="14"/>
      <c r="E314" s="185"/>
      <c r="F314" s="35"/>
      <c r="G314" s="185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spans="1:27" ht="12.75">
      <c r="A315" s="14"/>
      <c r="B315" s="206"/>
      <c r="C315" s="6"/>
      <c r="D315" s="14"/>
      <c r="E315" s="185"/>
      <c r="F315" s="35"/>
      <c r="G315" s="185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spans="1:27" ht="12.75">
      <c r="A316" s="14"/>
      <c r="B316" s="206"/>
      <c r="C316" s="6"/>
      <c r="D316" s="14"/>
      <c r="E316" s="185"/>
      <c r="F316" s="35"/>
      <c r="G316" s="185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spans="1:27" ht="12.75">
      <c r="A317" s="14"/>
      <c r="B317" s="206"/>
      <c r="C317" s="6"/>
      <c r="D317" s="14"/>
      <c r="E317" s="185"/>
      <c r="F317" s="35"/>
      <c r="G317" s="185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spans="1:27" ht="12.75">
      <c r="A318" s="14"/>
      <c r="B318" s="206"/>
      <c r="C318" s="6"/>
      <c r="D318" s="14"/>
      <c r="E318" s="185"/>
      <c r="F318" s="35"/>
      <c r="G318" s="185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spans="1:27" ht="12.75">
      <c r="A319" s="14"/>
      <c r="B319" s="206"/>
      <c r="C319" s="6"/>
      <c r="D319" s="14"/>
      <c r="E319" s="185"/>
      <c r="F319" s="35"/>
      <c r="G319" s="185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spans="1:27" ht="12.75">
      <c r="A320" s="14"/>
      <c r="B320" s="206"/>
      <c r="C320" s="6"/>
      <c r="D320" s="14"/>
      <c r="E320" s="185"/>
      <c r="F320" s="35"/>
      <c r="G320" s="185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spans="1:27" ht="12.75">
      <c r="A321" s="14"/>
      <c r="B321" s="206"/>
      <c r="C321" s="6"/>
      <c r="D321" s="14"/>
      <c r="E321" s="185"/>
      <c r="F321" s="35"/>
      <c r="G321" s="185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spans="1:27" ht="12.75">
      <c r="A322" s="14"/>
      <c r="B322" s="206"/>
      <c r="C322" s="6"/>
      <c r="D322" s="14"/>
      <c r="E322" s="185"/>
      <c r="F322" s="35"/>
      <c r="G322" s="185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spans="1:27" ht="12.75">
      <c r="A323" s="14"/>
      <c r="B323" s="206"/>
      <c r="C323" s="6"/>
      <c r="D323" s="14"/>
      <c r="E323" s="185"/>
      <c r="F323" s="35"/>
      <c r="G323" s="185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spans="1:27" ht="12.75">
      <c r="A324" s="14"/>
      <c r="B324" s="206"/>
      <c r="C324" s="6"/>
      <c r="D324" s="14"/>
      <c r="E324" s="185"/>
      <c r="F324" s="35"/>
      <c r="G324" s="185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spans="1:27" ht="12.75">
      <c r="A325" s="14"/>
      <c r="B325" s="206"/>
      <c r="C325" s="6"/>
      <c r="D325" s="14"/>
      <c r="E325" s="185"/>
      <c r="F325" s="35"/>
      <c r="G325" s="185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spans="1:27" ht="12.75">
      <c r="A326" s="14"/>
      <c r="B326" s="206"/>
      <c r="C326" s="6"/>
      <c r="D326" s="14"/>
      <c r="E326" s="185"/>
      <c r="F326" s="35"/>
      <c r="G326" s="185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spans="1:27" ht="12.75">
      <c r="A327" s="14"/>
      <c r="B327" s="206"/>
      <c r="C327" s="6"/>
      <c r="D327" s="14"/>
      <c r="E327" s="185"/>
      <c r="F327" s="35"/>
      <c r="G327" s="185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spans="1:27" ht="12.75">
      <c r="A328" s="14"/>
      <c r="B328" s="206"/>
      <c r="C328" s="6"/>
      <c r="D328" s="14"/>
      <c r="E328" s="185"/>
      <c r="F328" s="35"/>
      <c r="G328" s="185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spans="1:27" ht="12.75">
      <c r="A329" s="14"/>
      <c r="B329" s="206"/>
      <c r="C329" s="6"/>
      <c r="D329" s="14"/>
      <c r="E329" s="185"/>
      <c r="F329" s="35"/>
      <c r="G329" s="185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spans="1:27" ht="12.75">
      <c r="A330" s="14"/>
      <c r="B330" s="206"/>
      <c r="C330" s="6"/>
      <c r="D330" s="14"/>
      <c r="E330" s="185"/>
      <c r="F330" s="35"/>
      <c r="G330" s="185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spans="1:27" ht="12.75">
      <c r="A331" s="14"/>
      <c r="B331" s="206"/>
      <c r="C331" s="6"/>
      <c r="D331" s="14"/>
      <c r="E331" s="185"/>
      <c r="F331" s="35"/>
      <c r="G331" s="185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spans="1:27" ht="12.75">
      <c r="A332" s="14"/>
      <c r="B332" s="206"/>
      <c r="C332" s="6"/>
      <c r="D332" s="14"/>
      <c r="E332" s="185"/>
      <c r="F332" s="35"/>
      <c r="G332" s="185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spans="1:27" ht="12.75">
      <c r="A333" s="14"/>
      <c r="B333" s="206"/>
      <c r="C333" s="6"/>
      <c r="D333" s="14"/>
      <c r="E333" s="185"/>
      <c r="F333" s="35"/>
      <c r="G333" s="185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spans="1:27" ht="12.75">
      <c r="A334" s="14"/>
      <c r="B334" s="206"/>
      <c r="C334" s="6"/>
      <c r="D334" s="14"/>
      <c r="E334" s="185"/>
      <c r="F334" s="35"/>
      <c r="G334" s="185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spans="1:27" ht="12.75">
      <c r="A335" s="14"/>
      <c r="B335" s="206"/>
      <c r="C335" s="6"/>
      <c r="D335" s="14"/>
      <c r="E335" s="185"/>
      <c r="F335" s="35"/>
      <c r="G335" s="185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spans="1:27" ht="12.75">
      <c r="A336" s="14"/>
      <c r="B336" s="206"/>
      <c r="C336" s="6"/>
      <c r="D336" s="14"/>
      <c r="E336" s="185"/>
      <c r="F336" s="35"/>
      <c r="G336" s="185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spans="1:27" ht="12.75">
      <c r="A337" s="14"/>
      <c r="B337" s="206"/>
      <c r="C337" s="6"/>
      <c r="D337" s="14"/>
      <c r="E337" s="185"/>
      <c r="F337" s="35"/>
      <c r="G337" s="185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spans="1:27" ht="12.75">
      <c r="A338" s="14"/>
      <c r="B338" s="206"/>
      <c r="C338" s="6"/>
      <c r="D338" s="14"/>
      <c r="E338" s="185"/>
      <c r="F338" s="35"/>
      <c r="G338" s="185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spans="1:27" ht="12.75">
      <c r="A339" s="14"/>
      <c r="B339" s="206"/>
      <c r="C339" s="6"/>
      <c r="D339" s="14"/>
      <c r="E339" s="185"/>
      <c r="F339" s="35"/>
      <c r="G339" s="185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spans="1:27" ht="12.75">
      <c r="A340" s="14"/>
      <c r="B340" s="206"/>
      <c r="C340" s="6"/>
      <c r="D340" s="14"/>
      <c r="E340" s="185"/>
      <c r="F340" s="35"/>
      <c r="G340" s="185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spans="1:27" ht="12.75">
      <c r="A341" s="14"/>
      <c r="B341" s="206"/>
      <c r="C341" s="6"/>
      <c r="D341" s="14"/>
      <c r="E341" s="185"/>
      <c r="F341" s="35"/>
      <c r="G341" s="185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spans="1:27" ht="12.75">
      <c r="A342" s="14"/>
      <c r="B342" s="206"/>
      <c r="C342" s="6"/>
      <c r="D342" s="14"/>
      <c r="E342" s="185"/>
      <c r="F342" s="35"/>
      <c r="G342" s="185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spans="1:27" ht="12.75">
      <c r="A343" s="14"/>
      <c r="B343" s="206"/>
      <c r="C343" s="6"/>
      <c r="D343" s="14"/>
      <c r="E343" s="185"/>
      <c r="F343" s="35"/>
      <c r="G343" s="185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spans="1:27" ht="12.75">
      <c r="A344" s="14"/>
      <c r="B344" s="206"/>
      <c r="C344" s="6"/>
      <c r="D344" s="14"/>
      <c r="E344" s="185"/>
      <c r="F344" s="35"/>
      <c r="G344" s="185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spans="1:27" ht="12.75">
      <c r="A345" s="14"/>
      <c r="B345" s="206"/>
      <c r="C345" s="6"/>
      <c r="D345" s="14"/>
      <c r="E345" s="185"/>
      <c r="F345" s="35"/>
      <c r="G345" s="185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spans="1:27" ht="12.75">
      <c r="A346" s="14"/>
      <c r="B346" s="206"/>
      <c r="C346" s="6"/>
      <c r="D346" s="14"/>
      <c r="E346" s="185"/>
      <c r="F346" s="35"/>
      <c r="G346" s="185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spans="1:27" ht="12.75">
      <c r="A347" s="14"/>
      <c r="B347" s="206"/>
      <c r="C347" s="6"/>
      <c r="D347" s="14"/>
      <c r="E347" s="185"/>
      <c r="F347" s="35"/>
      <c r="G347" s="185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spans="1:27" ht="12.75">
      <c r="A348" s="14"/>
      <c r="B348" s="206"/>
      <c r="C348" s="6"/>
      <c r="D348" s="14"/>
      <c r="E348" s="185"/>
      <c r="F348" s="35"/>
      <c r="G348" s="185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spans="1:27" ht="12.75">
      <c r="A349" s="14"/>
      <c r="B349" s="206"/>
      <c r="C349" s="6"/>
      <c r="D349" s="14"/>
      <c r="E349" s="185"/>
      <c r="F349" s="35"/>
      <c r="G349" s="185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spans="1:27" ht="12.75">
      <c r="A350" s="14"/>
      <c r="B350" s="206"/>
      <c r="C350" s="6"/>
      <c r="D350" s="14"/>
      <c r="E350" s="185"/>
      <c r="F350" s="35"/>
      <c r="G350" s="185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spans="1:27" ht="12.75">
      <c r="A351" s="14"/>
      <c r="B351" s="206"/>
      <c r="C351" s="6"/>
      <c r="D351" s="14"/>
      <c r="E351" s="185"/>
      <c r="F351" s="35"/>
      <c r="G351" s="185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spans="1:27" ht="12.75">
      <c r="A352" s="14"/>
      <c r="B352" s="206"/>
      <c r="C352" s="6"/>
      <c r="D352" s="14"/>
      <c r="E352" s="185"/>
      <c r="F352" s="35"/>
      <c r="G352" s="185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spans="1:27" ht="12.75">
      <c r="A353" s="14"/>
      <c r="B353" s="206"/>
      <c r="C353" s="6"/>
      <c r="D353" s="14"/>
      <c r="E353" s="185"/>
      <c r="F353" s="35"/>
      <c r="G353" s="185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spans="1:27" ht="12.75">
      <c r="A354" s="14"/>
      <c r="B354" s="206"/>
      <c r="C354" s="6"/>
      <c r="D354" s="14"/>
      <c r="E354" s="185"/>
      <c r="F354" s="35"/>
      <c r="G354" s="185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spans="1:27" ht="12.75">
      <c r="A355" s="14"/>
      <c r="B355" s="206"/>
      <c r="C355" s="6"/>
      <c r="D355" s="14"/>
      <c r="E355" s="185"/>
      <c r="F355" s="35"/>
      <c r="G355" s="185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spans="1:27" ht="12.75">
      <c r="A356" s="14"/>
      <c r="B356" s="206"/>
      <c r="C356" s="6"/>
      <c r="D356" s="14"/>
      <c r="E356" s="185"/>
      <c r="F356" s="35"/>
      <c r="G356" s="185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spans="1:27" ht="12.75">
      <c r="A357" s="14"/>
      <c r="B357" s="206"/>
      <c r="C357" s="6"/>
      <c r="D357" s="14"/>
      <c r="E357" s="185"/>
      <c r="F357" s="35"/>
      <c r="G357" s="185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spans="1:27" ht="12.75">
      <c r="A358" s="14"/>
      <c r="B358" s="206"/>
      <c r="C358" s="6"/>
      <c r="D358" s="14"/>
      <c r="E358" s="185"/>
      <c r="F358" s="35"/>
      <c r="G358" s="185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spans="1:27" ht="12.75">
      <c r="A359" s="14"/>
      <c r="B359" s="206"/>
      <c r="C359" s="6"/>
      <c r="D359" s="14"/>
      <c r="E359" s="185"/>
      <c r="F359" s="35"/>
      <c r="G359" s="185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spans="1:27" ht="12.75">
      <c r="A360" s="14"/>
      <c r="B360" s="206"/>
      <c r="C360" s="6"/>
      <c r="D360" s="14"/>
      <c r="E360" s="185"/>
      <c r="F360" s="35"/>
      <c r="G360" s="185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spans="1:27" ht="12.75">
      <c r="A361" s="14"/>
      <c r="B361" s="206"/>
      <c r="C361" s="6"/>
      <c r="D361" s="14"/>
      <c r="E361" s="185"/>
      <c r="F361" s="35"/>
      <c r="G361" s="185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spans="1:27" ht="12.75">
      <c r="A362" s="14"/>
      <c r="B362" s="206"/>
      <c r="C362" s="6"/>
      <c r="D362" s="14"/>
      <c r="E362" s="185"/>
      <c r="F362" s="35"/>
      <c r="G362" s="185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spans="1:27" ht="12.75">
      <c r="A363" s="14"/>
      <c r="B363" s="206"/>
      <c r="C363" s="6"/>
      <c r="D363" s="14"/>
      <c r="E363" s="185"/>
      <c r="F363" s="35"/>
      <c r="G363" s="185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spans="1:27" ht="12.75">
      <c r="A364" s="14"/>
      <c r="B364" s="206"/>
      <c r="C364" s="6"/>
      <c r="D364" s="14"/>
      <c r="E364" s="185"/>
      <c r="F364" s="35"/>
      <c r="G364" s="185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spans="1:27" ht="12.75">
      <c r="A365" s="14"/>
      <c r="B365" s="206"/>
      <c r="C365" s="6"/>
      <c r="D365" s="14"/>
      <c r="E365" s="185"/>
      <c r="F365" s="35"/>
      <c r="G365" s="185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spans="1:27" ht="12.75">
      <c r="A366" s="14"/>
      <c r="B366" s="206"/>
      <c r="C366" s="6"/>
      <c r="D366" s="14"/>
      <c r="E366" s="185"/>
      <c r="F366" s="35"/>
      <c r="G366" s="185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spans="1:27" ht="12.75">
      <c r="A367" s="14"/>
      <c r="B367" s="206"/>
      <c r="C367" s="6"/>
      <c r="D367" s="14"/>
      <c r="E367" s="185"/>
      <c r="F367" s="35"/>
      <c r="G367" s="185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spans="1:27" ht="12.75">
      <c r="A368" s="14"/>
      <c r="B368" s="206"/>
      <c r="C368" s="6"/>
      <c r="D368" s="14"/>
      <c r="E368" s="185"/>
      <c r="F368" s="35"/>
      <c r="G368" s="185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spans="1:27" ht="12.75">
      <c r="A369" s="14"/>
      <c r="B369" s="206"/>
      <c r="C369" s="6"/>
      <c r="D369" s="14"/>
      <c r="E369" s="185"/>
      <c r="F369" s="35"/>
      <c r="G369" s="185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spans="1:27" ht="12.75">
      <c r="A370" s="14"/>
      <c r="B370" s="206"/>
      <c r="C370" s="6"/>
      <c r="D370" s="14"/>
      <c r="E370" s="185"/>
      <c r="F370" s="35"/>
      <c r="G370" s="185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spans="1:27" ht="12.75">
      <c r="A371" s="14"/>
      <c r="B371" s="206"/>
      <c r="C371" s="6"/>
      <c r="D371" s="14"/>
      <c r="E371" s="185"/>
      <c r="F371" s="35"/>
      <c r="G371" s="185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spans="1:27" ht="12.75">
      <c r="A372" s="14"/>
      <c r="B372" s="206"/>
      <c r="C372" s="6"/>
      <c r="D372" s="14"/>
      <c r="E372" s="185"/>
      <c r="F372" s="35"/>
      <c r="G372" s="185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spans="1:27" ht="12.75">
      <c r="A373" s="14"/>
      <c r="B373" s="206"/>
      <c r="C373" s="6"/>
      <c r="D373" s="14"/>
      <c r="E373" s="185"/>
      <c r="F373" s="35"/>
      <c r="G373" s="185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spans="1:27" ht="12.75">
      <c r="A374" s="14"/>
      <c r="B374" s="206"/>
      <c r="C374" s="6"/>
      <c r="D374" s="14"/>
      <c r="E374" s="185"/>
      <c r="F374" s="35"/>
      <c r="G374" s="185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spans="1:27" ht="12.75">
      <c r="A375" s="14"/>
      <c r="B375" s="206"/>
      <c r="C375" s="6"/>
      <c r="D375" s="14"/>
      <c r="E375" s="185"/>
      <c r="F375" s="35"/>
      <c r="G375" s="185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spans="1:27" ht="12.75">
      <c r="A376" s="14"/>
      <c r="B376" s="206"/>
      <c r="C376" s="6"/>
      <c r="D376" s="14"/>
      <c r="E376" s="185"/>
      <c r="F376" s="35"/>
      <c r="G376" s="185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spans="1:27" ht="12.75">
      <c r="A377" s="14"/>
      <c r="B377" s="206"/>
      <c r="C377" s="6"/>
      <c r="D377" s="14"/>
      <c r="E377" s="185"/>
      <c r="F377" s="35"/>
      <c r="G377" s="185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spans="1:27" ht="12.75">
      <c r="A378" s="14"/>
      <c r="B378" s="206"/>
      <c r="C378" s="6"/>
      <c r="D378" s="14"/>
      <c r="E378" s="185"/>
      <c r="F378" s="35"/>
      <c r="G378" s="185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spans="1:27" ht="12.75">
      <c r="A379" s="14"/>
      <c r="B379" s="206"/>
      <c r="C379" s="6"/>
      <c r="D379" s="14"/>
      <c r="E379" s="185"/>
      <c r="F379" s="35"/>
      <c r="G379" s="185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spans="1:27" ht="12.75">
      <c r="A380" s="14"/>
      <c r="B380" s="206"/>
      <c r="C380" s="6"/>
      <c r="D380" s="14"/>
      <c r="E380" s="185"/>
      <c r="F380" s="35"/>
      <c r="G380" s="185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spans="1:27" ht="12.75">
      <c r="A381" s="14"/>
      <c r="B381" s="206"/>
      <c r="C381" s="6"/>
      <c r="D381" s="14"/>
      <c r="E381" s="185"/>
      <c r="F381" s="35"/>
      <c r="G381" s="185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spans="1:27" ht="12.75">
      <c r="A382" s="14"/>
      <c r="B382" s="206"/>
      <c r="C382" s="6"/>
      <c r="D382" s="14"/>
      <c r="E382" s="185"/>
      <c r="F382" s="35"/>
      <c r="G382" s="185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spans="1:27" ht="12.75">
      <c r="A383" s="14"/>
      <c r="B383" s="206"/>
      <c r="C383" s="6"/>
      <c r="D383" s="14"/>
      <c r="E383" s="185"/>
      <c r="F383" s="35"/>
      <c r="G383" s="185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 spans="1:27" ht="12.75">
      <c r="A384" s="14"/>
      <c r="B384" s="206"/>
      <c r="C384" s="6"/>
      <c r="D384" s="14"/>
      <c r="E384" s="185"/>
      <c r="F384" s="35"/>
      <c r="G384" s="185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 spans="1:27" ht="12.75">
      <c r="A385" s="14"/>
      <c r="B385" s="206"/>
      <c r="C385" s="6"/>
      <c r="D385" s="14"/>
      <c r="E385" s="185"/>
      <c r="F385" s="35"/>
      <c r="G385" s="185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 spans="1:27" ht="12.75">
      <c r="A386" s="14"/>
      <c r="B386" s="206"/>
      <c r="C386" s="6"/>
      <c r="D386" s="14"/>
      <c r="E386" s="185"/>
      <c r="F386" s="35"/>
      <c r="G386" s="185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 spans="1:27" ht="12.75">
      <c r="A387" s="14"/>
      <c r="B387" s="206"/>
      <c r="C387" s="6"/>
      <c r="D387" s="14"/>
      <c r="E387" s="185"/>
      <c r="F387" s="35"/>
      <c r="G387" s="185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 spans="1:27" ht="12.75">
      <c r="A388" s="14"/>
      <c r="B388" s="206"/>
      <c r="C388" s="6"/>
      <c r="D388" s="14"/>
      <c r="E388" s="185"/>
      <c r="F388" s="35"/>
      <c r="G388" s="185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 spans="1:27" ht="12.75">
      <c r="A389" s="14"/>
      <c r="B389" s="206"/>
      <c r="C389" s="6"/>
      <c r="D389" s="14"/>
      <c r="E389" s="185"/>
      <c r="F389" s="35"/>
      <c r="G389" s="185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 spans="1:27" ht="12.75">
      <c r="A390" s="14"/>
      <c r="B390" s="206"/>
      <c r="C390" s="6"/>
      <c r="D390" s="14"/>
      <c r="E390" s="185"/>
      <c r="F390" s="35"/>
      <c r="G390" s="185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 spans="1:27" ht="12.75">
      <c r="A391" s="14"/>
      <c r="B391" s="206"/>
      <c r="C391" s="6"/>
      <c r="D391" s="14"/>
      <c r="E391" s="185"/>
      <c r="F391" s="35"/>
      <c r="G391" s="185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spans="1:27" ht="12.75">
      <c r="A392" s="14"/>
      <c r="B392" s="206"/>
      <c r="C392" s="6"/>
      <c r="D392" s="14"/>
      <c r="E392" s="185"/>
      <c r="F392" s="35"/>
      <c r="G392" s="185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spans="1:27" ht="12.75">
      <c r="A393" s="14"/>
      <c r="B393" s="206"/>
      <c r="C393" s="6"/>
      <c r="D393" s="14"/>
      <c r="E393" s="185"/>
      <c r="F393" s="35"/>
      <c r="G393" s="185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spans="1:27" ht="12.75">
      <c r="A394" s="14"/>
      <c r="B394" s="206"/>
      <c r="C394" s="6"/>
      <c r="D394" s="14"/>
      <c r="E394" s="185"/>
      <c r="F394" s="35"/>
      <c r="G394" s="185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spans="1:27" ht="12.75">
      <c r="A395" s="14"/>
      <c r="B395" s="206"/>
      <c r="C395" s="6"/>
      <c r="D395" s="14"/>
      <c r="E395" s="185"/>
      <c r="F395" s="35"/>
      <c r="G395" s="185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spans="1:27" ht="12.75">
      <c r="A396" s="14"/>
      <c r="B396" s="206"/>
      <c r="C396" s="6"/>
      <c r="D396" s="14"/>
      <c r="E396" s="185"/>
      <c r="F396" s="35"/>
      <c r="G396" s="185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spans="1:27" ht="12.75">
      <c r="A397" s="14"/>
      <c r="B397" s="206"/>
      <c r="C397" s="6"/>
      <c r="D397" s="14"/>
      <c r="E397" s="185"/>
      <c r="F397" s="35"/>
      <c r="G397" s="185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spans="1:27" ht="12.75">
      <c r="A398" s="14"/>
      <c r="B398" s="206"/>
      <c r="C398" s="6"/>
      <c r="D398" s="14"/>
      <c r="E398" s="185"/>
      <c r="F398" s="35"/>
      <c r="G398" s="185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spans="1:27" ht="12.75">
      <c r="A399" s="14"/>
      <c r="B399" s="206"/>
      <c r="C399" s="6"/>
      <c r="D399" s="14"/>
      <c r="E399" s="185"/>
      <c r="F399" s="35"/>
      <c r="G399" s="185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spans="1:27" ht="12.75">
      <c r="A400" s="14"/>
      <c r="B400" s="206"/>
      <c r="C400" s="6"/>
      <c r="D400" s="14"/>
      <c r="E400" s="185"/>
      <c r="F400" s="35"/>
      <c r="G400" s="185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spans="1:27" ht="12.75">
      <c r="A401" s="14"/>
      <c r="B401" s="206"/>
      <c r="C401" s="6"/>
      <c r="D401" s="14"/>
      <c r="E401" s="185"/>
      <c r="F401" s="35"/>
      <c r="G401" s="185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spans="1:27" ht="12.75">
      <c r="A402" s="14"/>
      <c r="B402" s="206"/>
      <c r="C402" s="6"/>
      <c r="D402" s="14"/>
      <c r="E402" s="185"/>
      <c r="F402" s="35"/>
      <c r="G402" s="185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spans="1:27" ht="12.75">
      <c r="A403" s="14"/>
      <c r="B403" s="206"/>
      <c r="C403" s="6"/>
      <c r="D403" s="14"/>
      <c r="E403" s="185"/>
      <c r="F403" s="35"/>
      <c r="G403" s="185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spans="1:27" ht="12.75">
      <c r="A404" s="14"/>
      <c r="B404" s="206"/>
      <c r="C404" s="6"/>
      <c r="D404" s="14"/>
      <c r="E404" s="185"/>
      <c r="F404" s="35"/>
      <c r="G404" s="185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spans="1:27" ht="12.75">
      <c r="A405" s="14"/>
      <c r="B405" s="206"/>
      <c r="C405" s="6"/>
      <c r="D405" s="14"/>
      <c r="E405" s="185"/>
      <c r="F405" s="35"/>
      <c r="G405" s="185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spans="1:27" ht="12.75">
      <c r="A406" s="14"/>
      <c r="B406" s="206"/>
      <c r="C406" s="6"/>
      <c r="D406" s="14"/>
      <c r="E406" s="185"/>
      <c r="F406" s="35"/>
      <c r="G406" s="185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spans="1:27" ht="12.75">
      <c r="A407" s="14"/>
      <c r="B407" s="206"/>
      <c r="C407" s="6"/>
      <c r="D407" s="14"/>
      <c r="E407" s="185"/>
      <c r="F407" s="35"/>
      <c r="G407" s="185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spans="1:27" ht="12.75">
      <c r="A408" s="14"/>
      <c r="B408" s="206"/>
      <c r="C408" s="6"/>
      <c r="D408" s="14"/>
      <c r="E408" s="185"/>
      <c r="F408" s="35"/>
      <c r="G408" s="185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spans="1:27" ht="12.75">
      <c r="A409" s="14"/>
      <c r="B409" s="206"/>
      <c r="C409" s="6"/>
      <c r="D409" s="14"/>
      <c r="E409" s="185"/>
      <c r="F409" s="35"/>
      <c r="G409" s="185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spans="1:27" ht="12.75">
      <c r="A410" s="14"/>
      <c r="B410" s="206"/>
      <c r="C410" s="6"/>
      <c r="D410" s="14"/>
      <c r="E410" s="185"/>
      <c r="F410" s="35"/>
      <c r="G410" s="185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spans="1:27" ht="12.75">
      <c r="A411" s="14"/>
      <c r="B411" s="206"/>
      <c r="C411" s="6"/>
      <c r="D411" s="14"/>
      <c r="E411" s="185"/>
      <c r="F411" s="35"/>
      <c r="G411" s="185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spans="1:27" ht="12.75">
      <c r="A412" s="14"/>
      <c r="B412" s="206"/>
      <c r="C412" s="6"/>
      <c r="D412" s="14"/>
      <c r="E412" s="185"/>
      <c r="F412" s="35"/>
      <c r="G412" s="185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spans="1:27" ht="12.75">
      <c r="A413" s="14"/>
      <c r="B413" s="206"/>
      <c r="C413" s="6"/>
      <c r="D413" s="14"/>
      <c r="E413" s="185"/>
      <c r="F413" s="35"/>
      <c r="G413" s="185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spans="1:27" ht="12.75">
      <c r="A414" s="14"/>
      <c r="B414" s="206"/>
      <c r="C414" s="6"/>
      <c r="D414" s="14"/>
      <c r="E414" s="185"/>
      <c r="F414" s="35"/>
      <c r="G414" s="185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spans="1:27" ht="12.75">
      <c r="A415" s="14"/>
      <c r="B415" s="206"/>
      <c r="C415" s="6"/>
      <c r="D415" s="14"/>
      <c r="E415" s="185"/>
      <c r="F415" s="35"/>
      <c r="G415" s="185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spans="1:27" ht="12.75">
      <c r="A416" s="14"/>
      <c r="B416" s="206"/>
      <c r="C416" s="6"/>
      <c r="D416" s="14"/>
      <c r="E416" s="185"/>
      <c r="F416" s="35"/>
      <c r="G416" s="185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spans="1:27" ht="12.75">
      <c r="A417" s="14"/>
      <c r="B417" s="206"/>
      <c r="C417" s="6"/>
      <c r="D417" s="14"/>
      <c r="E417" s="185"/>
      <c r="F417" s="35"/>
      <c r="G417" s="185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spans="1:27" ht="12.75">
      <c r="A418" s="14"/>
      <c r="B418" s="206"/>
      <c r="C418" s="6"/>
      <c r="D418" s="14"/>
      <c r="E418" s="185"/>
      <c r="F418" s="35"/>
      <c r="G418" s="185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spans="1:27" ht="12.75">
      <c r="A419" s="14"/>
      <c r="B419" s="206"/>
      <c r="C419" s="6"/>
      <c r="D419" s="14"/>
      <c r="E419" s="185"/>
      <c r="F419" s="35"/>
      <c r="G419" s="185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spans="1:27" ht="12.75">
      <c r="A420" s="14"/>
      <c r="B420" s="206"/>
      <c r="C420" s="6"/>
      <c r="D420" s="14"/>
      <c r="E420" s="185"/>
      <c r="F420" s="35"/>
      <c r="G420" s="185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 spans="1:27" ht="12.75">
      <c r="A421" s="14"/>
      <c r="B421" s="206"/>
      <c r="C421" s="6"/>
      <c r="D421" s="14"/>
      <c r="E421" s="185"/>
      <c r="F421" s="35"/>
      <c r="G421" s="185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 spans="1:27" ht="12.75">
      <c r="A422" s="14"/>
      <c r="B422" s="206"/>
      <c r="C422" s="6"/>
      <c r="D422" s="14"/>
      <c r="E422" s="185"/>
      <c r="F422" s="35"/>
      <c r="G422" s="185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 spans="1:27" ht="12.75">
      <c r="A423" s="14"/>
      <c r="B423" s="206"/>
      <c r="C423" s="6"/>
      <c r="D423" s="14"/>
      <c r="E423" s="185"/>
      <c r="F423" s="35"/>
      <c r="G423" s="185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 spans="1:27" ht="12.75">
      <c r="A424" s="14"/>
      <c r="B424" s="206"/>
      <c r="C424" s="6"/>
      <c r="D424" s="14"/>
      <c r="E424" s="185"/>
      <c r="F424" s="35"/>
      <c r="G424" s="185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 spans="1:27" ht="12.75">
      <c r="A425" s="14"/>
      <c r="B425" s="206"/>
      <c r="C425" s="6"/>
      <c r="D425" s="14"/>
      <c r="E425" s="185"/>
      <c r="F425" s="35"/>
      <c r="G425" s="185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 spans="1:27" ht="12.75">
      <c r="A426" s="14"/>
      <c r="B426" s="206"/>
      <c r="C426" s="6"/>
      <c r="D426" s="14"/>
      <c r="E426" s="185"/>
      <c r="F426" s="35"/>
      <c r="G426" s="185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spans="1:27" ht="12.75">
      <c r="A427" s="14"/>
      <c r="B427" s="206"/>
      <c r="C427" s="6"/>
      <c r="D427" s="14"/>
      <c r="E427" s="185"/>
      <c r="F427" s="35"/>
      <c r="G427" s="185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 spans="1:27" ht="12.75">
      <c r="A428" s="14"/>
      <c r="B428" s="206"/>
      <c r="C428" s="6"/>
      <c r="D428" s="14"/>
      <c r="E428" s="185"/>
      <c r="F428" s="35"/>
      <c r="G428" s="185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spans="1:27" ht="12.75">
      <c r="A429" s="14"/>
      <c r="B429" s="206"/>
      <c r="C429" s="6"/>
      <c r="D429" s="14"/>
      <c r="E429" s="185"/>
      <c r="F429" s="35"/>
      <c r="G429" s="185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spans="1:27" ht="12.75">
      <c r="A430" s="14"/>
      <c r="B430" s="206"/>
      <c r="C430" s="6"/>
      <c r="D430" s="14"/>
      <c r="E430" s="185"/>
      <c r="F430" s="35"/>
      <c r="G430" s="185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spans="1:27" ht="12.75">
      <c r="A431" s="14"/>
      <c r="B431" s="206"/>
      <c r="C431" s="6"/>
      <c r="D431" s="14"/>
      <c r="E431" s="185"/>
      <c r="F431" s="35"/>
      <c r="G431" s="185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spans="1:27" ht="12.75">
      <c r="A432" s="14"/>
      <c r="B432" s="206"/>
      <c r="C432" s="6"/>
      <c r="D432" s="14"/>
      <c r="E432" s="185"/>
      <c r="F432" s="35"/>
      <c r="G432" s="185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spans="1:27" ht="12.75">
      <c r="A433" s="14"/>
      <c r="B433" s="206"/>
      <c r="C433" s="6"/>
      <c r="D433" s="14"/>
      <c r="E433" s="185"/>
      <c r="F433" s="35"/>
      <c r="G433" s="185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spans="1:27" ht="12.75">
      <c r="A434" s="14"/>
      <c r="B434" s="206"/>
      <c r="C434" s="6"/>
      <c r="D434" s="14"/>
      <c r="E434" s="185"/>
      <c r="F434" s="35"/>
      <c r="G434" s="185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spans="1:27" ht="12.75">
      <c r="A435" s="14"/>
      <c r="B435" s="206"/>
      <c r="C435" s="6"/>
      <c r="D435" s="14"/>
      <c r="E435" s="185"/>
      <c r="F435" s="35"/>
      <c r="G435" s="185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spans="1:27" ht="12.75">
      <c r="A436" s="14"/>
      <c r="B436" s="206"/>
      <c r="C436" s="6"/>
      <c r="D436" s="14"/>
      <c r="E436" s="185"/>
      <c r="F436" s="35"/>
      <c r="G436" s="185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spans="1:27" ht="12.75">
      <c r="A437" s="14"/>
      <c r="B437" s="206"/>
      <c r="C437" s="6"/>
      <c r="D437" s="14"/>
      <c r="E437" s="185"/>
      <c r="F437" s="35"/>
      <c r="G437" s="185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spans="1:27" ht="12.75">
      <c r="A438" s="14"/>
      <c r="B438" s="206"/>
      <c r="C438" s="6"/>
      <c r="D438" s="14"/>
      <c r="E438" s="185"/>
      <c r="F438" s="35"/>
      <c r="G438" s="185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spans="1:27" ht="12.75">
      <c r="A439" s="14"/>
      <c r="B439" s="206"/>
      <c r="C439" s="6"/>
      <c r="D439" s="14"/>
      <c r="E439" s="185"/>
      <c r="F439" s="35"/>
      <c r="G439" s="185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spans="1:27" ht="12.75">
      <c r="A440" s="14"/>
      <c r="B440" s="206"/>
      <c r="C440" s="6"/>
      <c r="D440" s="14"/>
      <c r="E440" s="185"/>
      <c r="F440" s="35"/>
      <c r="G440" s="185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spans="1:27" ht="12.75">
      <c r="A441" s="14"/>
      <c r="B441" s="206"/>
      <c r="C441" s="6"/>
      <c r="D441" s="14"/>
      <c r="E441" s="185"/>
      <c r="F441" s="35"/>
      <c r="G441" s="185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spans="1:27" ht="12.75">
      <c r="A442" s="14"/>
      <c r="B442" s="206"/>
      <c r="C442" s="6"/>
      <c r="D442" s="14"/>
      <c r="E442" s="185"/>
      <c r="F442" s="35"/>
      <c r="G442" s="185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spans="1:27" ht="12.75">
      <c r="A443" s="14"/>
      <c r="B443" s="206"/>
      <c r="C443" s="6"/>
      <c r="D443" s="14"/>
      <c r="E443" s="185"/>
      <c r="F443" s="35"/>
      <c r="G443" s="185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spans="1:27" ht="12.75">
      <c r="A444" s="14"/>
      <c r="B444" s="206"/>
      <c r="C444" s="6"/>
      <c r="D444" s="14"/>
      <c r="E444" s="185"/>
      <c r="F444" s="35"/>
      <c r="G444" s="185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spans="1:27" ht="12.75">
      <c r="A445" s="14"/>
      <c r="B445" s="206"/>
      <c r="C445" s="6"/>
      <c r="D445" s="14"/>
      <c r="E445" s="185"/>
      <c r="F445" s="35"/>
      <c r="G445" s="185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spans="1:27" ht="12.75">
      <c r="A446" s="14"/>
      <c r="B446" s="206"/>
      <c r="C446" s="6"/>
      <c r="D446" s="14"/>
      <c r="E446" s="185"/>
      <c r="F446" s="35"/>
      <c r="G446" s="185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spans="1:27" ht="12.75">
      <c r="A447" s="14"/>
      <c r="B447" s="206"/>
      <c r="C447" s="6"/>
      <c r="D447" s="14"/>
      <c r="E447" s="185"/>
      <c r="F447" s="35"/>
      <c r="G447" s="185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spans="1:27" ht="12.75">
      <c r="A448" s="14"/>
      <c r="B448" s="206"/>
      <c r="C448" s="6"/>
      <c r="D448" s="14"/>
      <c r="E448" s="185"/>
      <c r="F448" s="35"/>
      <c r="G448" s="185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spans="1:27" ht="12.75">
      <c r="A449" s="14"/>
      <c r="B449" s="206"/>
      <c r="C449" s="6"/>
      <c r="D449" s="14"/>
      <c r="E449" s="185"/>
      <c r="F449" s="35"/>
      <c r="G449" s="185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spans="1:27" ht="12.75">
      <c r="A450" s="14"/>
      <c r="B450" s="206"/>
      <c r="C450" s="6"/>
      <c r="D450" s="14"/>
      <c r="E450" s="185"/>
      <c r="F450" s="35"/>
      <c r="G450" s="185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spans="1:27" ht="12.75">
      <c r="A451" s="14"/>
      <c r="B451" s="206"/>
      <c r="C451" s="6"/>
      <c r="D451" s="14"/>
      <c r="E451" s="185"/>
      <c r="F451" s="35"/>
      <c r="G451" s="185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spans="1:27" ht="12.75">
      <c r="A452" s="14"/>
      <c r="B452" s="206"/>
      <c r="C452" s="6"/>
      <c r="D452" s="14"/>
      <c r="E452" s="185"/>
      <c r="F452" s="35"/>
      <c r="G452" s="185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spans="1:27" ht="12.75">
      <c r="A453" s="14"/>
      <c r="B453" s="206"/>
      <c r="C453" s="6"/>
      <c r="D453" s="14"/>
      <c r="E453" s="185"/>
      <c r="F453" s="35"/>
      <c r="G453" s="185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spans="1:27" ht="12.75">
      <c r="A454" s="14"/>
      <c r="B454" s="206"/>
      <c r="C454" s="6"/>
      <c r="D454" s="14"/>
      <c r="E454" s="185"/>
      <c r="F454" s="35"/>
      <c r="G454" s="185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spans="1:27" ht="12.75">
      <c r="A455" s="14"/>
      <c r="B455" s="206"/>
      <c r="C455" s="6"/>
      <c r="D455" s="14"/>
      <c r="E455" s="185"/>
      <c r="F455" s="35"/>
      <c r="G455" s="185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spans="1:27" ht="12.75">
      <c r="A456" s="14"/>
      <c r="B456" s="206"/>
      <c r="C456" s="6"/>
      <c r="D456" s="14"/>
      <c r="E456" s="185"/>
      <c r="F456" s="35"/>
      <c r="G456" s="185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 spans="1:27" ht="12.75">
      <c r="A457" s="14"/>
      <c r="B457" s="206"/>
      <c r="C457" s="6"/>
      <c r="D457" s="14"/>
      <c r="E457" s="185"/>
      <c r="F457" s="35"/>
      <c r="G457" s="185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 spans="1:27" ht="12.75">
      <c r="A458" s="14"/>
      <c r="B458" s="206"/>
      <c r="C458" s="6"/>
      <c r="D458" s="14"/>
      <c r="E458" s="185"/>
      <c r="F458" s="35"/>
      <c r="G458" s="185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 spans="1:27" ht="12.75">
      <c r="A459" s="14"/>
      <c r="B459" s="206"/>
      <c r="C459" s="6"/>
      <c r="D459" s="14"/>
      <c r="E459" s="185"/>
      <c r="F459" s="35"/>
      <c r="G459" s="185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 spans="1:27" ht="12.75">
      <c r="A460" s="14"/>
      <c r="B460" s="206"/>
      <c r="C460" s="6"/>
      <c r="D460" s="14"/>
      <c r="E460" s="185"/>
      <c r="F460" s="35"/>
      <c r="G460" s="185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 spans="1:27" ht="12.75">
      <c r="A461" s="14"/>
      <c r="B461" s="206"/>
      <c r="C461" s="6"/>
      <c r="D461" s="14"/>
      <c r="E461" s="185"/>
      <c r="F461" s="35"/>
      <c r="G461" s="185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 spans="1:27" ht="12.75">
      <c r="A462" s="14"/>
      <c r="B462" s="206"/>
      <c r="C462" s="6"/>
      <c r="D462" s="14"/>
      <c r="E462" s="185"/>
      <c r="F462" s="35"/>
      <c r="G462" s="185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 spans="1:27" ht="12.75">
      <c r="A463" s="14"/>
      <c r="B463" s="206"/>
      <c r="C463" s="6"/>
      <c r="D463" s="14"/>
      <c r="E463" s="185"/>
      <c r="F463" s="35"/>
      <c r="G463" s="185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 spans="1:27" ht="12.75">
      <c r="A464" s="14"/>
      <c r="B464" s="206"/>
      <c r="C464" s="6"/>
      <c r="D464" s="14"/>
      <c r="E464" s="185"/>
      <c r="F464" s="35"/>
      <c r="G464" s="185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 spans="1:27" ht="12.75">
      <c r="A465" s="14"/>
      <c r="B465" s="206"/>
      <c r="C465" s="6"/>
      <c r="D465" s="14"/>
      <c r="E465" s="185"/>
      <c r="F465" s="35"/>
      <c r="G465" s="185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 spans="1:27" ht="12.75">
      <c r="A466" s="14"/>
      <c r="B466" s="206"/>
      <c r="C466" s="6"/>
      <c r="D466" s="14"/>
      <c r="E466" s="185"/>
      <c r="F466" s="35"/>
      <c r="G466" s="185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spans="1:27" ht="12.75">
      <c r="A467" s="14"/>
      <c r="B467" s="206"/>
      <c r="C467" s="6"/>
      <c r="D467" s="14"/>
      <c r="E467" s="185"/>
      <c r="F467" s="35"/>
      <c r="G467" s="185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spans="1:27" ht="12.75">
      <c r="A468" s="14"/>
      <c r="B468" s="206"/>
      <c r="C468" s="6"/>
      <c r="D468" s="14"/>
      <c r="E468" s="185"/>
      <c r="F468" s="35"/>
      <c r="G468" s="185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spans="1:27" ht="12.75">
      <c r="A469" s="14"/>
      <c r="B469" s="206"/>
      <c r="C469" s="6"/>
      <c r="D469" s="14"/>
      <c r="E469" s="185"/>
      <c r="F469" s="35"/>
      <c r="G469" s="185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spans="1:27" ht="12.75">
      <c r="A470" s="14"/>
      <c r="B470" s="206"/>
      <c r="C470" s="6"/>
      <c r="D470" s="14"/>
      <c r="E470" s="185"/>
      <c r="F470" s="35"/>
      <c r="G470" s="185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spans="1:27" ht="12.75">
      <c r="A471" s="14"/>
      <c r="B471" s="206"/>
      <c r="C471" s="6"/>
      <c r="D471" s="14"/>
      <c r="E471" s="185"/>
      <c r="F471" s="35"/>
      <c r="G471" s="185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spans="1:27" ht="12.75">
      <c r="A472" s="14"/>
      <c r="B472" s="206"/>
      <c r="C472" s="6"/>
      <c r="D472" s="14"/>
      <c r="E472" s="185"/>
      <c r="F472" s="35"/>
      <c r="G472" s="185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 spans="1:27" ht="12.75">
      <c r="A473" s="14"/>
      <c r="B473" s="206"/>
      <c r="C473" s="6"/>
      <c r="D473" s="14"/>
      <c r="E473" s="185"/>
      <c r="F473" s="35"/>
      <c r="G473" s="185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spans="1:27" ht="12.75">
      <c r="A474" s="14"/>
      <c r="B474" s="206"/>
      <c r="C474" s="6"/>
      <c r="D474" s="14"/>
      <c r="E474" s="185"/>
      <c r="F474" s="35"/>
      <c r="G474" s="185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spans="1:27" ht="12.75">
      <c r="A475" s="14"/>
      <c r="B475" s="206"/>
      <c r="C475" s="6"/>
      <c r="D475" s="14"/>
      <c r="E475" s="185"/>
      <c r="F475" s="35"/>
      <c r="G475" s="185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spans="1:27" ht="12.75">
      <c r="A476" s="14"/>
      <c r="B476" s="206"/>
      <c r="C476" s="6"/>
      <c r="D476" s="14"/>
      <c r="E476" s="185"/>
      <c r="F476" s="35"/>
      <c r="G476" s="185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spans="1:27" ht="12.75">
      <c r="A477" s="14"/>
      <c r="B477" s="206"/>
      <c r="C477" s="6"/>
      <c r="D477" s="14"/>
      <c r="E477" s="185"/>
      <c r="F477" s="35"/>
      <c r="G477" s="185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spans="1:27" ht="12.75">
      <c r="A478" s="14"/>
      <c r="B478" s="206"/>
      <c r="C478" s="6"/>
      <c r="D478" s="14"/>
      <c r="E478" s="185"/>
      <c r="F478" s="35"/>
      <c r="G478" s="185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spans="1:27" ht="12.75">
      <c r="A479" s="14"/>
      <c r="B479" s="206"/>
      <c r="C479" s="6"/>
      <c r="D479" s="14"/>
      <c r="E479" s="185"/>
      <c r="F479" s="35"/>
      <c r="G479" s="185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spans="1:27" ht="12.75">
      <c r="A480" s="14"/>
      <c r="B480" s="206"/>
      <c r="C480" s="6"/>
      <c r="D480" s="14"/>
      <c r="E480" s="185"/>
      <c r="F480" s="35"/>
      <c r="G480" s="185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spans="1:27" ht="12.75">
      <c r="A481" s="14"/>
      <c r="B481" s="206"/>
      <c r="C481" s="6"/>
      <c r="D481" s="14"/>
      <c r="E481" s="185"/>
      <c r="F481" s="35"/>
      <c r="G481" s="185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spans="1:27" ht="12.75">
      <c r="A482" s="14"/>
      <c r="B482" s="206"/>
      <c r="C482" s="6"/>
      <c r="D482" s="14"/>
      <c r="E482" s="185"/>
      <c r="F482" s="35"/>
      <c r="G482" s="185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spans="1:27" ht="12.75">
      <c r="A483" s="14"/>
      <c r="B483" s="206"/>
      <c r="C483" s="6"/>
      <c r="D483" s="14"/>
      <c r="E483" s="185"/>
      <c r="F483" s="35"/>
      <c r="G483" s="185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spans="1:27" ht="12.75">
      <c r="A484" s="14"/>
      <c r="B484" s="206"/>
      <c r="C484" s="6"/>
      <c r="D484" s="14"/>
      <c r="E484" s="185"/>
      <c r="F484" s="35"/>
      <c r="G484" s="185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spans="1:27" ht="12.75">
      <c r="A485" s="14"/>
      <c r="B485" s="206"/>
      <c r="C485" s="6"/>
      <c r="D485" s="14"/>
      <c r="E485" s="185"/>
      <c r="F485" s="35"/>
      <c r="G485" s="185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spans="1:27" ht="12.75">
      <c r="A486" s="14"/>
      <c r="B486" s="206"/>
      <c r="C486" s="6"/>
      <c r="D486" s="14"/>
      <c r="E486" s="185"/>
      <c r="F486" s="35"/>
      <c r="G486" s="185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spans="1:27" ht="12.75">
      <c r="A487" s="14"/>
      <c r="B487" s="206"/>
      <c r="C487" s="6"/>
      <c r="D487" s="14"/>
      <c r="E487" s="185"/>
      <c r="F487" s="35"/>
      <c r="G487" s="185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spans="1:27" ht="12.75">
      <c r="A488" s="14"/>
      <c r="B488" s="206"/>
      <c r="C488" s="6"/>
      <c r="D488" s="14"/>
      <c r="E488" s="185"/>
      <c r="F488" s="35"/>
      <c r="G488" s="185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spans="1:27" ht="12.75">
      <c r="A489" s="14"/>
      <c r="B489" s="206"/>
      <c r="C489" s="6"/>
      <c r="D489" s="14"/>
      <c r="E489" s="185"/>
      <c r="F489" s="35"/>
      <c r="G489" s="185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spans="1:27" ht="12.75">
      <c r="A490" s="14"/>
      <c r="B490" s="206"/>
      <c r="C490" s="6"/>
      <c r="D490" s="14"/>
      <c r="E490" s="185"/>
      <c r="F490" s="35"/>
      <c r="G490" s="185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spans="1:27" ht="12.75">
      <c r="A491" s="14"/>
      <c r="B491" s="206"/>
      <c r="C491" s="6"/>
      <c r="D491" s="14"/>
      <c r="E491" s="185"/>
      <c r="F491" s="35"/>
      <c r="G491" s="185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spans="1:27" ht="12.75">
      <c r="A492" s="14"/>
      <c r="B492" s="206"/>
      <c r="C492" s="6"/>
      <c r="D492" s="14"/>
      <c r="E492" s="185"/>
      <c r="F492" s="35"/>
      <c r="G492" s="185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spans="1:27" ht="12.75">
      <c r="A493" s="14"/>
      <c r="B493" s="206"/>
      <c r="C493" s="6"/>
      <c r="D493" s="14"/>
      <c r="E493" s="185"/>
      <c r="F493" s="35"/>
      <c r="G493" s="185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spans="1:27" ht="12.75">
      <c r="A494" s="14"/>
      <c r="B494" s="206"/>
      <c r="C494" s="6"/>
      <c r="D494" s="14"/>
      <c r="E494" s="185"/>
      <c r="F494" s="35"/>
      <c r="G494" s="185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spans="1:27" ht="12.75">
      <c r="A495" s="14"/>
      <c r="B495" s="206"/>
      <c r="C495" s="6"/>
      <c r="D495" s="14"/>
      <c r="E495" s="185"/>
      <c r="F495" s="35"/>
      <c r="G495" s="185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spans="1:27" ht="12.75">
      <c r="A496" s="14"/>
      <c r="B496" s="206"/>
      <c r="C496" s="6"/>
      <c r="D496" s="14"/>
      <c r="E496" s="185"/>
      <c r="F496" s="35"/>
      <c r="G496" s="185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spans="1:27" ht="12.75">
      <c r="A497" s="14"/>
      <c r="B497" s="206"/>
      <c r="C497" s="6"/>
      <c r="D497" s="14"/>
      <c r="E497" s="185"/>
      <c r="F497" s="35"/>
      <c r="G497" s="185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spans="1:27" ht="12.75">
      <c r="A498" s="14"/>
      <c r="B498" s="206"/>
      <c r="C498" s="6"/>
      <c r="D498" s="14"/>
      <c r="E498" s="185"/>
      <c r="F498" s="35"/>
      <c r="G498" s="185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spans="1:27" ht="12.75">
      <c r="A499" s="14"/>
      <c r="B499" s="206"/>
      <c r="C499" s="6"/>
      <c r="D499" s="14"/>
      <c r="E499" s="185"/>
      <c r="F499" s="35"/>
      <c r="G499" s="185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spans="1:27" ht="12.75">
      <c r="A500" s="14"/>
      <c r="B500" s="206"/>
      <c r="C500" s="6"/>
      <c r="D500" s="14"/>
      <c r="E500" s="185"/>
      <c r="F500" s="35"/>
      <c r="G500" s="185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spans="1:27" ht="12.75">
      <c r="A501" s="14"/>
      <c r="B501" s="206"/>
      <c r="C501" s="6"/>
      <c r="D501" s="14"/>
      <c r="E501" s="185"/>
      <c r="F501" s="35"/>
      <c r="G501" s="185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spans="1:27" ht="12.75">
      <c r="A502" s="14"/>
      <c r="B502" s="206"/>
      <c r="C502" s="6"/>
      <c r="D502" s="14"/>
      <c r="E502" s="185"/>
      <c r="F502" s="35"/>
      <c r="G502" s="185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spans="1:27" ht="12.75">
      <c r="A503" s="14"/>
      <c r="B503" s="206"/>
      <c r="C503" s="6"/>
      <c r="D503" s="14"/>
      <c r="E503" s="185"/>
      <c r="F503" s="35"/>
      <c r="G503" s="185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spans="1:27" ht="12.75">
      <c r="A504" s="14"/>
      <c r="B504" s="206"/>
      <c r="C504" s="6"/>
      <c r="D504" s="14"/>
      <c r="E504" s="185"/>
      <c r="F504" s="35"/>
      <c r="G504" s="185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spans="1:27" ht="12.75">
      <c r="A505" s="14"/>
      <c r="B505" s="206"/>
      <c r="C505" s="6"/>
      <c r="D505" s="14"/>
      <c r="E505" s="185"/>
      <c r="F505" s="35"/>
      <c r="G505" s="185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spans="1:27" ht="12.75">
      <c r="A506" s="14"/>
      <c r="B506" s="206"/>
      <c r="C506" s="6"/>
      <c r="D506" s="14"/>
      <c r="E506" s="185"/>
      <c r="F506" s="35"/>
      <c r="G506" s="185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spans="1:27" ht="12.75">
      <c r="A507" s="14"/>
      <c r="B507" s="206"/>
      <c r="C507" s="6"/>
      <c r="D507" s="14"/>
      <c r="E507" s="185"/>
      <c r="F507" s="35"/>
      <c r="G507" s="185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spans="1:27" ht="12.75">
      <c r="A508" s="14"/>
      <c r="B508" s="206"/>
      <c r="C508" s="6"/>
      <c r="D508" s="14"/>
      <c r="E508" s="185"/>
      <c r="F508" s="35"/>
      <c r="G508" s="185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spans="1:27" ht="12.75">
      <c r="A509" s="14"/>
      <c r="B509" s="206"/>
      <c r="C509" s="6"/>
      <c r="D509" s="14"/>
      <c r="E509" s="185"/>
      <c r="F509" s="35"/>
      <c r="G509" s="185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spans="1:27" ht="12.75">
      <c r="A510" s="14"/>
      <c r="B510" s="206"/>
      <c r="C510" s="6"/>
      <c r="D510" s="14"/>
      <c r="E510" s="185"/>
      <c r="F510" s="35"/>
      <c r="G510" s="185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spans="1:27" ht="12.75">
      <c r="A511" s="14"/>
      <c r="B511" s="206"/>
      <c r="C511" s="6"/>
      <c r="D511" s="14"/>
      <c r="E511" s="185"/>
      <c r="F511" s="35"/>
      <c r="G511" s="185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spans="1:27" ht="12.75">
      <c r="A512" s="14"/>
      <c r="B512" s="206"/>
      <c r="C512" s="6"/>
      <c r="D512" s="14"/>
      <c r="E512" s="185"/>
      <c r="F512" s="35"/>
      <c r="G512" s="185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spans="1:27" ht="12.75">
      <c r="A513" s="14"/>
      <c r="B513" s="206"/>
      <c r="C513" s="6"/>
      <c r="D513" s="14"/>
      <c r="E513" s="185"/>
      <c r="F513" s="35"/>
      <c r="G513" s="185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spans="1:27" ht="12.75">
      <c r="A514" s="14"/>
      <c r="B514" s="206"/>
      <c r="C514" s="6"/>
      <c r="D514" s="14"/>
      <c r="E514" s="185"/>
      <c r="F514" s="35"/>
      <c r="G514" s="185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spans="1:27" ht="12.75">
      <c r="A515" s="14"/>
      <c r="B515" s="206"/>
      <c r="C515" s="6"/>
      <c r="D515" s="14"/>
      <c r="E515" s="185"/>
      <c r="F515" s="35"/>
      <c r="G515" s="185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spans="1:27" ht="12.75">
      <c r="A516" s="14"/>
      <c r="B516" s="206"/>
      <c r="C516" s="6"/>
      <c r="D516" s="14"/>
      <c r="E516" s="185"/>
      <c r="F516" s="35"/>
      <c r="G516" s="185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spans="1:27" ht="12.75">
      <c r="A517" s="14"/>
      <c r="B517" s="206"/>
      <c r="C517" s="6"/>
      <c r="D517" s="14"/>
      <c r="E517" s="185"/>
      <c r="F517" s="35"/>
      <c r="G517" s="185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spans="1:27" ht="12.75">
      <c r="A518" s="14"/>
      <c r="B518" s="206"/>
      <c r="C518" s="6"/>
      <c r="D518" s="14"/>
      <c r="E518" s="185"/>
      <c r="F518" s="35"/>
      <c r="G518" s="185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spans="1:27" ht="12.75">
      <c r="A519" s="14"/>
      <c r="B519" s="206"/>
      <c r="C519" s="6"/>
      <c r="D519" s="14"/>
      <c r="E519" s="185"/>
      <c r="F519" s="35"/>
      <c r="G519" s="185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spans="1:27" ht="12.75">
      <c r="A520" s="14"/>
      <c r="B520" s="206"/>
      <c r="C520" s="6"/>
      <c r="D520" s="14"/>
      <c r="E520" s="185"/>
      <c r="F520" s="35"/>
      <c r="G520" s="185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 spans="1:27" ht="12.75">
      <c r="A521" s="14"/>
      <c r="B521" s="206"/>
      <c r="C521" s="6"/>
      <c r="D521" s="14"/>
      <c r="E521" s="185"/>
      <c r="F521" s="35"/>
      <c r="G521" s="185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 spans="1:27" ht="12.75">
      <c r="A522" s="14"/>
      <c r="B522" s="206"/>
      <c r="C522" s="6"/>
      <c r="D522" s="14"/>
      <c r="E522" s="185"/>
      <c r="F522" s="35"/>
      <c r="G522" s="185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 spans="1:27" ht="12.75">
      <c r="A523" s="14"/>
      <c r="B523" s="206"/>
      <c r="C523" s="6"/>
      <c r="D523" s="14"/>
      <c r="E523" s="185"/>
      <c r="F523" s="35"/>
      <c r="G523" s="185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 spans="1:27" ht="12.75">
      <c r="A524" s="14"/>
      <c r="B524" s="206"/>
      <c r="C524" s="6"/>
      <c r="D524" s="14"/>
      <c r="E524" s="185"/>
      <c r="F524" s="35"/>
      <c r="G524" s="185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 spans="1:27" ht="12.75">
      <c r="A525" s="14"/>
      <c r="B525" s="206"/>
      <c r="C525" s="6"/>
      <c r="D525" s="14"/>
      <c r="E525" s="185"/>
      <c r="F525" s="35"/>
      <c r="G525" s="185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 spans="1:27" ht="12.75">
      <c r="A526" s="14"/>
      <c r="B526" s="206"/>
      <c r="C526" s="6"/>
      <c r="D526" s="14"/>
      <c r="E526" s="185"/>
      <c r="F526" s="35"/>
      <c r="G526" s="185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 spans="1:27" ht="12.75">
      <c r="A527" s="14"/>
      <c r="B527" s="206"/>
      <c r="C527" s="6"/>
      <c r="D527" s="14"/>
      <c r="E527" s="185"/>
      <c r="F527" s="35"/>
      <c r="G527" s="185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 spans="1:27" ht="12.75">
      <c r="A528" s="14"/>
      <c r="B528" s="206"/>
      <c r="C528" s="6"/>
      <c r="D528" s="14"/>
      <c r="E528" s="185"/>
      <c r="F528" s="35"/>
      <c r="G528" s="185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 spans="1:27" ht="12.75">
      <c r="A529" s="14"/>
      <c r="B529" s="206"/>
      <c r="C529" s="6"/>
      <c r="D529" s="14"/>
      <c r="E529" s="185"/>
      <c r="F529" s="35"/>
      <c r="G529" s="185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spans="1:27" ht="12.75">
      <c r="A530" s="14"/>
      <c r="B530" s="206"/>
      <c r="C530" s="6"/>
      <c r="D530" s="14"/>
      <c r="E530" s="185"/>
      <c r="F530" s="35"/>
      <c r="G530" s="185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spans="1:27" ht="12.75">
      <c r="A531" s="14"/>
      <c r="B531" s="206"/>
      <c r="C531" s="6"/>
      <c r="D531" s="14"/>
      <c r="E531" s="185"/>
      <c r="F531" s="35"/>
      <c r="G531" s="185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spans="1:27" ht="12.75">
      <c r="A532" s="14"/>
      <c r="B532" s="206"/>
      <c r="C532" s="6"/>
      <c r="D532" s="14"/>
      <c r="E532" s="185"/>
      <c r="F532" s="35"/>
      <c r="G532" s="185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spans="1:27" ht="12.75">
      <c r="A533" s="14"/>
      <c r="B533" s="206"/>
      <c r="C533" s="6"/>
      <c r="D533" s="14"/>
      <c r="E533" s="185"/>
      <c r="F533" s="35"/>
      <c r="G533" s="185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spans="1:27" ht="12.75">
      <c r="A534" s="14"/>
      <c r="B534" s="206"/>
      <c r="C534" s="6"/>
      <c r="D534" s="14"/>
      <c r="E534" s="185"/>
      <c r="F534" s="35"/>
      <c r="G534" s="185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spans="1:27" ht="12.75">
      <c r="A535" s="14"/>
      <c r="B535" s="206"/>
      <c r="C535" s="6"/>
      <c r="D535" s="14"/>
      <c r="E535" s="185"/>
      <c r="F535" s="35"/>
      <c r="G535" s="185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spans="1:27" ht="12.75">
      <c r="A536" s="14"/>
      <c r="B536" s="206"/>
      <c r="C536" s="6"/>
      <c r="D536" s="14"/>
      <c r="E536" s="185"/>
      <c r="F536" s="35"/>
      <c r="G536" s="185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spans="1:27" ht="12.75">
      <c r="A537" s="14"/>
      <c r="B537" s="206"/>
      <c r="C537" s="6"/>
      <c r="D537" s="14"/>
      <c r="E537" s="185"/>
      <c r="F537" s="35"/>
      <c r="G537" s="185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spans="1:27" ht="12.75">
      <c r="A538" s="14"/>
      <c r="B538" s="206"/>
      <c r="C538" s="6"/>
      <c r="D538" s="14"/>
      <c r="E538" s="185"/>
      <c r="F538" s="35"/>
      <c r="G538" s="185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 spans="1:27" ht="12.75">
      <c r="A539" s="14"/>
      <c r="B539" s="206"/>
      <c r="C539" s="6"/>
      <c r="D539" s="14"/>
      <c r="E539" s="185"/>
      <c r="F539" s="35"/>
      <c r="G539" s="185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spans="1:27" ht="12.75">
      <c r="A540" s="14"/>
      <c r="B540" s="206"/>
      <c r="C540" s="6"/>
      <c r="D540" s="14"/>
      <c r="E540" s="185"/>
      <c r="F540" s="35"/>
      <c r="G540" s="185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spans="1:27" ht="12.75">
      <c r="A541" s="14"/>
      <c r="B541" s="206"/>
      <c r="C541" s="6"/>
      <c r="D541" s="14"/>
      <c r="E541" s="185"/>
      <c r="F541" s="35"/>
      <c r="G541" s="185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spans="1:27" ht="12.75">
      <c r="A542" s="14"/>
      <c r="B542" s="206"/>
      <c r="C542" s="6"/>
      <c r="D542" s="14"/>
      <c r="E542" s="185"/>
      <c r="F542" s="35"/>
      <c r="G542" s="185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 spans="1:27" ht="12.75">
      <c r="A543" s="14"/>
      <c r="B543" s="206"/>
      <c r="C543" s="6"/>
      <c r="D543" s="14"/>
      <c r="E543" s="185"/>
      <c r="F543" s="35"/>
      <c r="G543" s="185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spans="1:27" ht="12.75">
      <c r="A544" s="14"/>
      <c r="B544" s="206"/>
      <c r="C544" s="6"/>
      <c r="D544" s="14"/>
      <c r="E544" s="185"/>
      <c r="F544" s="35"/>
      <c r="G544" s="185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spans="1:27" ht="12.75">
      <c r="A545" s="14"/>
      <c r="B545" s="206"/>
      <c r="C545" s="6"/>
      <c r="D545" s="14"/>
      <c r="E545" s="185"/>
      <c r="F545" s="35"/>
      <c r="G545" s="185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spans="1:27" ht="12.75">
      <c r="A546" s="14"/>
      <c r="B546" s="206"/>
      <c r="C546" s="6"/>
      <c r="D546" s="14"/>
      <c r="E546" s="185"/>
      <c r="F546" s="35"/>
      <c r="G546" s="185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spans="1:27" ht="12.75">
      <c r="A547" s="14"/>
      <c r="B547" s="206"/>
      <c r="C547" s="6"/>
      <c r="D547" s="14"/>
      <c r="E547" s="185"/>
      <c r="F547" s="35"/>
      <c r="G547" s="185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spans="1:27" ht="12.75">
      <c r="A548" s="14"/>
      <c r="B548" s="206"/>
      <c r="C548" s="6"/>
      <c r="D548" s="14"/>
      <c r="E548" s="185"/>
      <c r="F548" s="35"/>
      <c r="G548" s="185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spans="1:27" ht="12.75">
      <c r="A549" s="14"/>
      <c r="B549" s="206"/>
      <c r="C549" s="6"/>
      <c r="D549" s="14"/>
      <c r="E549" s="185"/>
      <c r="F549" s="35"/>
      <c r="G549" s="185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spans="1:27" ht="12.75">
      <c r="A550" s="14"/>
      <c r="B550" s="206"/>
      <c r="C550" s="6"/>
      <c r="D550" s="14"/>
      <c r="E550" s="185"/>
      <c r="F550" s="35"/>
      <c r="G550" s="185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spans="1:27" ht="12.75">
      <c r="A551" s="14"/>
      <c r="B551" s="206"/>
      <c r="C551" s="6"/>
      <c r="D551" s="14"/>
      <c r="E551" s="185"/>
      <c r="F551" s="35"/>
      <c r="G551" s="185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spans="1:27" ht="12.75">
      <c r="A552" s="14"/>
      <c r="B552" s="206"/>
      <c r="C552" s="6"/>
      <c r="D552" s="14"/>
      <c r="E552" s="185"/>
      <c r="F552" s="35"/>
      <c r="G552" s="185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 spans="1:27" ht="12.75">
      <c r="A553" s="14"/>
      <c r="B553" s="206"/>
      <c r="C553" s="6"/>
      <c r="D553" s="14"/>
      <c r="E553" s="185"/>
      <c r="F553" s="35"/>
      <c r="G553" s="185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 spans="1:27" ht="12.75">
      <c r="A554" s="14"/>
      <c r="B554" s="206"/>
      <c r="C554" s="6"/>
      <c r="D554" s="14"/>
      <c r="E554" s="185"/>
      <c r="F554" s="35"/>
      <c r="G554" s="185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spans="1:27" ht="12.75">
      <c r="A555" s="14"/>
      <c r="B555" s="206"/>
      <c r="C555" s="6"/>
      <c r="D555" s="14"/>
      <c r="E555" s="185"/>
      <c r="F555" s="35"/>
      <c r="G555" s="185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 spans="1:27" ht="12.75">
      <c r="A556" s="14"/>
      <c r="B556" s="206"/>
      <c r="C556" s="6"/>
      <c r="D556" s="14"/>
      <c r="E556" s="185"/>
      <c r="F556" s="35"/>
      <c r="G556" s="185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 spans="1:27" ht="12.75">
      <c r="A557" s="14"/>
      <c r="B557" s="206"/>
      <c r="C557" s="6"/>
      <c r="D557" s="14"/>
      <c r="E557" s="185"/>
      <c r="F557" s="35"/>
      <c r="G557" s="185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 spans="1:27" ht="12.75">
      <c r="A558" s="14"/>
      <c r="B558" s="206"/>
      <c r="C558" s="6"/>
      <c r="D558" s="14"/>
      <c r="E558" s="185"/>
      <c r="F558" s="35"/>
      <c r="G558" s="185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 spans="1:27" ht="12.75">
      <c r="A559" s="14"/>
      <c r="B559" s="206"/>
      <c r="C559" s="6"/>
      <c r="D559" s="14"/>
      <c r="E559" s="185"/>
      <c r="F559" s="35"/>
      <c r="G559" s="185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 spans="1:27" ht="12.75">
      <c r="A560" s="14"/>
      <c r="B560" s="206"/>
      <c r="C560" s="6"/>
      <c r="D560" s="14"/>
      <c r="E560" s="185"/>
      <c r="F560" s="35"/>
      <c r="G560" s="185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 spans="1:27" ht="12.75">
      <c r="A561" s="14"/>
      <c r="B561" s="206"/>
      <c r="C561" s="6"/>
      <c r="D561" s="14"/>
      <c r="E561" s="185"/>
      <c r="F561" s="35"/>
      <c r="G561" s="185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 spans="1:27" ht="12.75">
      <c r="A562" s="14"/>
      <c r="B562" s="206"/>
      <c r="C562" s="6"/>
      <c r="D562" s="14"/>
      <c r="E562" s="185"/>
      <c r="F562" s="35"/>
      <c r="G562" s="185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 spans="1:27" ht="12.75">
      <c r="A563" s="14"/>
      <c r="B563" s="206"/>
      <c r="C563" s="6"/>
      <c r="D563" s="14"/>
      <c r="E563" s="185"/>
      <c r="F563" s="35"/>
      <c r="G563" s="185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 spans="1:27" ht="12.75">
      <c r="A564" s="14"/>
      <c r="B564" s="206"/>
      <c r="C564" s="6"/>
      <c r="D564" s="14"/>
      <c r="E564" s="185"/>
      <c r="F564" s="35"/>
      <c r="G564" s="185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 spans="1:27" ht="12.75">
      <c r="A565" s="14"/>
      <c r="B565" s="206"/>
      <c r="C565" s="6"/>
      <c r="D565" s="14"/>
      <c r="E565" s="185"/>
      <c r="F565" s="35"/>
      <c r="G565" s="185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 spans="1:27" ht="12.75">
      <c r="A566" s="14"/>
      <c r="B566" s="206"/>
      <c r="C566" s="6"/>
      <c r="D566" s="14"/>
      <c r="E566" s="185"/>
      <c r="F566" s="35"/>
      <c r="G566" s="185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 spans="1:27" ht="12.75">
      <c r="A567" s="14"/>
      <c r="B567" s="206"/>
      <c r="C567" s="6"/>
      <c r="D567" s="14"/>
      <c r="E567" s="185"/>
      <c r="F567" s="35"/>
      <c r="G567" s="185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 spans="1:27" ht="12.75">
      <c r="A568" s="14"/>
      <c r="B568" s="206"/>
      <c r="C568" s="6"/>
      <c r="D568" s="14"/>
      <c r="E568" s="185"/>
      <c r="F568" s="35"/>
      <c r="G568" s="185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 spans="1:27" ht="12.75">
      <c r="A569" s="14"/>
      <c r="B569" s="206"/>
      <c r="C569" s="6"/>
      <c r="D569" s="14"/>
      <c r="E569" s="185"/>
      <c r="F569" s="35"/>
      <c r="G569" s="185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 spans="1:27" ht="12.75">
      <c r="A570" s="14"/>
      <c r="B570" s="206"/>
      <c r="C570" s="6"/>
      <c r="D570" s="14"/>
      <c r="E570" s="185"/>
      <c r="F570" s="35"/>
      <c r="G570" s="185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 spans="1:27" ht="12.75">
      <c r="A571" s="14"/>
      <c r="B571" s="206"/>
      <c r="C571" s="6"/>
      <c r="D571" s="14"/>
      <c r="E571" s="185"/>
      <c r="F571" s="35"/>
      <c r="G571" s="185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 spans="1:27" ht="12.75">
      <c r="A572" s="14"/>
      <c r="B572" s="206"/>
      <c r="C572" s="6"/>
      <c r="D572" s="14"/>
      <c r="E572" s="185"/>
      <c r="F572" s="35"/>
      <c r="G572" s="185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 spans="1:27" ht="12.75">
      <c r="A573" s="14"/>
      <c r="B573" s="206"/>
      <c r="C573" s="6"/>
      <c r="D573" s="14"/>
      <c r="E573" s="185"/>
      <c r="F573" s="35"/>
      <c r="G573" s="185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 spans="1:27" ht="12.75">
      <c r="A574" s="14"/>
      <c r="B574" s="206"/>
      <c r="C574" s="6"/>
      <c r="D574" s="14"/>
      <c r="E574" s="185"/>
      <c r="F574" s="35"/>
      <c r="G574" s="185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 spans="1:27" ht="12.75">
      <c r="A575" s="14"/>
      <c r="B575" s="206"/>
      <c r="C575" s="6"/>
      <c r="D575" s="14"/>
      <c r="E575" s="185"/>
      <c r="F575" s="35"/>
      <c r="G575" s="185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 spans="1:27" ht="12.75">
      <c r="A576" s="14"/>
      <c r="B576" s="206"/>
      <c r="C576" s="6"/>
      <c r="D576" s="14"/>
      <c r="E576" s="185"/>
      <c r="F576" s="35"/>
      <c r="G576" s="185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spans="1:27" ht="12.75">
      <c r="A577" s="14"/>
      <c r="B577" s="206"/>
      <c r="C577" s="6"/>
      <c r="D577" s="14"/>
      <c r="E577" s="185"/>
      <c r="F577" s="35"/>
      <c r="G577" s="185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 spans="1:27" ht="12.75">
      <c r="A578" s="14"/>
      <c r="B578" s="206"/>
      <c r="C578" s="6"/>
      <c r="D578" s="14"/>
      <c r="E578" s="185"/>
      <c r="F578" s="35"/>
      <c r="G578" s="185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 spans="1:27" ht="12.75">
      <c r="A579" s="14"/>
      <c r="B579" s="206"/>
      <c r="C579" s="6"/>
      <c r="D579" s="14"/>
      <c r="E579" s="185"/>
      <c r="F579" s="35"/>
      <c r="G579" s="185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 spans="1:27" ht="12.75">
      <c r="A580" s="14"/>
      <c r="B580" s="206"/>
      <c r="C580" s="6"/>
      <c r="D580" s="14"/>
      <c r="E580" s="185"/>
      <c r="F580" s="35"/>
      <c r="G580" s="185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 spans="1:27" ht="12.75">
      <c r="A581" s="14"/>
      <c r="B581" s="206"/>
      <c r="C581" s="6"/>
      <c r="D581" s="14"/>
      <c r="E581" s="185"/>
      <c r="F581" s="35"/>
      <c r="G581" s="185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 spans="1:27" ht="12.75">
      <c r="A582" s="14"/>
      <c r="B582" s="206"/>
      <c r="C582" s="6"/>
      <c r="D582" s="14"/>
      <c r="E582" s="185"/>
      <c r="F582" s="35"/>
      <c r="G582" s="185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 spans="1:27" ht="12.75">
      <c r="A583" s="14"/>
      <c r="B583" s="206"/>
      <c r="C583" s="6"/>
      <c r="D583" s="14"/>
      <c r="E583" s="185"/>
      <c r="F583" s="35"/>
      <c r="G583" s="185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 spans="1:27" ht="12.75">
      <c r="A584" s="14"/>
      <c r="B584" s="206"/>
      <c r="C584" s="6"/>
      <c r="D584" s="14"/>
      <c r="E584" s="185"/>
      <c r="F584" s="35"/>
      <c r="G584" s="185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 spans="1:27" ht="12.75">
      <c r="A585" s="14"/>
      <c r="B585" s="206"/>
      <c r="C585" s="6"/>
      <c r="D585" s="14"/>
      <c r="E585" s="185"/>
      <c r="F585" s="35"/>
      <c r="G585" s="185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 spans="1:27" ht="12.75">
      <c r="A586" s="14"/>
      <c r="B586" s="206"/>
      <c r="C586" s="6"/>
      <c r="D586" s="14"/>
      <c r="E586" s="185"/>
      <c r="F586" s="35"/>
      <c r="G586" s="185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 spans="1:27" ht="12.75">
      <c r="A587" s="14"/>
      <c r="B587" s="206"/>
      <c r="C587" s="6"/>
      <c r="D587" s="14"/>
      <c r="E587" s="185"/>
      <c r="F587" s="35"/>
      <c r="G587" s="185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 spans="1:27" ht="12.75">
      <c r="A588" s="14"/>
      <c r="B588" s="206"/>
      <c r="C588" s="6"/>
      <c r="D588" s="14"/>
      <c r="E588" s="185"/>
      <c r="F588" s="35"/>
      <c r="G588" s="185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 spans="1:27" ht="12.75">
      <c r="A589" s="14"/>
      <c r="B589" s="206"/>
      <c r="C589" s="6"/>
      <c r="D589" s="14"/>
      <c r="E589" s="185"/>
      <c r="F589" s="35"/>
      <c r="G589" s="185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 spans="1:27" ht="12.75">
      <c r="A590" s="14"/>
      <c r="B590" s="206"/>
      <c r="C590" s="6"/>
      <c r="D590" s="14"/>
      <c r="E590" s="185"/>
      <c r="F590" s="35"/>
      <c r="G590" s="185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 spans="1:27" ht="12.75">
      <c r="A591" s="14"/>
      <c r="B591" s="206"/>
      <c r="C591" s="6"/>
      <c r="D591" s="14"/>
      <c r="E591" s="185"/>
      <c r="F591" s="35"/>
      <c r="G591" s="185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 spans="1:27" ht="12.75">
      <c r="A592" s="14"/>
      <c r="B592" s="206"/>
      <c r="C592" s="6"/>
      <c r="D592" s="14"/>
      <c r="E592" s="185"/>
      <c r="F592" s="35"/>
      <c r="G592" s="185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 spans="1:27" ht="12.75">
      <c r="A593" s="14"/>
      <c r="B593" s="206"/>
      <c r="C593" s="6"/>
      <c r="D593" s="14"/>
      <c r="E593" s="185"/>
      <c r="F593" s="35"/>
      <c r="G593" s="185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 spans="1:27" ht="12.75">
      <c r="A594" s="14"/>
      <c r="B594" s="206"/>
      <c r="C594" s="6"/>
      <c r="D594" s="14"/>
      <c r="E594" s="185"/>
      <c r="F594" s="35"/>
      <c r="G594" s="185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 spans="1:27" ht="12.75">
      <c r="A595" s="14"/>
      <c r="B595" s="206"/>
      <c r="C595" s="6"/>
      <c r="D595" s="14"/>
      <c r="E595" s="185"/>
      <c r="F595" s="35"/>
      <c r="G595" s="185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 spans="1:27" ht="12.75">
      <c r="A596" s="14"/>
      <c r="B596" s="206"/>
      <c r="C596" s="6"/>
      <c r="D596" s="14"/>
      <c r="E596" s="185"/>
      <c r="F596" s="35"/>
      <c r="G596" s="185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 spans="1:27" ht="12.75">
      <c r="A597" s="14"/>
      <c r="B597" s="206"/>
      <c r="C597" s="6"/>
      <c r="D597" s="14"/>
      <c r="E597" s="185"/>
      <c r="F597" s="35"/>
      <c r="G597" s="185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 spans="1:27" ht="12.75">
      <c r="A598" s="14"/>
      <c r="B598" s="206"/>
      <c r="C598" s="6"/>
      <c r="D598" s="14"/>
      <c r="E598" s="185"/>
      <c r="F598" s="35"/>
      <c r="G598" s="185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 spans="1:27" ht="12.75">
      <c r="A599" s="14"/>
      <c r="B599" s="206"/>
      <c r="C599" s="6"/>
      <c r="D599" s="14"/>
      <c r="E599" s="185"/>
      <c r="F599" s="35"/>
      <c r="G599" s="185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 spans="1:27" ht="12.75">
      <c r="A600" s="14"/>
      <c r="B600" s="206"/>
      <c r="C600" s="6"/>
      <c r="D600" s="14"/>
      <c r="E600" s="185"/>
      <c r="F600" s="35"/>
      <c r="G600" s="185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 spans="1:27" ht="12.75">
      <c r="A601" s="14"/>
      <c r="B601" s="206"/>
      <c r="C601" s="6"/>
      <c r="D601" s="14"/>
      <c r="E601" s="185"/>
      <c r="F601" s="35"/>
      <c r="G601" s="185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 spans="1:27" ht="12.75">
      <c r="A602" s="14"/>
      <c r="B602" s="206"/>
      <c r="C602" s="6"/>
      <c r="D602" s="14"/>
      <c r="E602" s="185"/>
      <c r="F602" s="35"/>
      <c r="G602" s="185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 spans="1:27" ht="12.75">
      <c r="A603" s="14"/>
      <c r="B603" s="206"/>
      <c r="C603" s="6"/>
      <c r="D603" s="14"/>
      <c r="E603" s="185"/>
      <c r="F603" s="35"/>
      <c r="G603" s="185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 spans="1:27" ht="12.75">
      <c r="A604" s="14"/>
      <c r="B604" s="206"/>
      <c r="C604" s="6"/>
      <c r="D604" s="14"/>
      <c r="E604" s="185"/>
      <c r="F604" s="35"/>
      <c r="G604" s="185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 spans="1:27" ht="12.75">
      <c r="A605" s="14"/>
      <c r="B605" s="206"/>
      <c r="C605" s="6"/>
      <c r="D605" s="14"/>
      <c r="E605" s="185"/>
      <c r="F605" s="35"/>
      <c r="G605" s="185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 spans="1:27" ht="12.75">
      <c r="A606" s="14"/>
      <c r="B606" s="206"/>
      <c r="C606" s="6"/>
      <c r="D606" s="14"/>
      <c r="E606" s="185"/>
      <c r="F606" s="35"/>
      <c r="G606" s="185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 spans="1:27" ht="12.75">
      <c r="A607" s="14"/>
      <c r="B607" s="206"/>
      <c r="C607" s="6"/>
      <c r="D607" s="14"/>
      <c r="E607" s="185"/>
      <c r="F607" s="35"/>
      <c r="G607" s="185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 spans="1:27" ht="12.75">
      <c r="A608" s="14"/>
      <c r="B608" s="206"/>
      <c r="C608" s="6"/>
      <c r="D608" s="14"/>
      <c r="E608" s="185"/>
      <c r="F608" s="35"/>
      <c r="G608" s="185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 spans="1:27" ht="12.75">
      <c r="A609" s="14"/>
      <c r="B609" s="206"/>
      <c r="C609" s="6"/>
      <c r="D609" s="14"/>
      <c r="E609" s="185"/>
      <c r="F609" s="35"/>
      <c r="G609" s="185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 spans="1:27" ht="12.75">
      <c r="A610" s="14"/>
      <c r="B610" s="206"/>
      <c r="C610" s="6"/>
      <c r="D610" s="14"/>
      <c r="E610" s="185"/>
      <c r="F610" s="35"/>
      <c r="G610" s="185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 spans="1:27" ht="12.75">
      <c r="A611" s="14"/>
      <c r="B611" s="206"/>
      <c r="C611" s="6"/>
      <c r="D611" s="14"/>
      <c r="E611" s="185"/>
      <c r="F611" s="35"/>
      <c r="G611" s="185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 spans="1:27" ht="12.75">
      <c r="A612" s="14"/>
      <c r="B612" s="206"/>
      <c r="C612" s="6"/>
      <c r="D612" s="14"/>
      <c r="E612" s="185"/>
      <c r="F612" s="35"/>
      <c r="G612" s="185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 spans="1:27" ht="12.75">
      <c r="A613" s="14"/>
      <c r="B613" s="206"/>
      <c r="C613" s="6"/>
      <c r="D613" s="14"/>
      <c r="E613" s="185"/>
      <c r="F613" s="35"/>
      <c r="G613" s="185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 spans="1:27" ht="12.75">
      <c r="A614" s="14"/>
      <c r="B614" s="206"/>
      <c r="C614" s="6"/>
      <c r="D614" s="14"/>
      <c r="E614" s="185"/>
      <c r="F614" s="35"/>
      <c r="G614" s="185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 spans="1:27" ht="12.75">
      <c r="A615" s="14"/>
      <c r="B615" s="206"/>
      <c r="C615" s="6"/>
      <c r="D615" s="14"/>
      <c r="E615" s="185"/>
      <c r="F615" s="35"/>
      <c r="G615" s="185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 spans="1:27" ht="12.75">
      <c r="A616" s="14"/>
      <c r="B616" s="206"/>
      <c r="C616" s="6"/>
      <c r="D616" s="14"/>
      <c r="E616" s="185"/>
      <c r="F616" s="35"/>
      <c r="G616" s="185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 spans="1:27" ht="12.75">
      <c r="A617" s="14"/>
      <c r="B617" s="206"/>
      <c r="C617" s="6"/>
      <c r="D617" s="14"/>
      <c r="E617" s="185"/>
      <c r="F617" s="35"/>
      <c r="G617" s="185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 spans="1:27" ht="12.75">
      <c r="A618" s="14"/>
      <c r="B618" s="206"/>
      <c r="C618" s="6"/>
      <c r="D618" s="14"/>
      <c r="E618" s="185"/>
      <c r="F618" s="35"/>
      <c r="G618" s="185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 spans="1:27" ht="12.75">
      <c r="A619" s="14"/>
      <c r="B619" s="206"/>
      <c r="C619" s="6"/>
      <c r="D619" s="14"/>
      <c r="E619" s="185"/>
      <c r="F619" s="35"/>
      <c r="G619" s="185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 spans="1:27" ht="12.75">
      <c r="A620" s="14"/>
      <c r="B620" s="206"/>
      <c r="C620" s="6"/>
      <c r="D620" s="14"/>
      <c r="E620" s="185"/>
      <c r="F620" s="35"/>
      <c r="G620" s="185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 spans="1:27" ht="12.75">
      <c r="A621" s="14"/>
      <c r="B621" s="206"/>
      <c r="C621" s="6"/>
      <c r="D621" s="14"/>
      <c r="E621" s="185"/>
      <c r="F621" s="35"/>
      <c r="G621" s="185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 spans="1:27" ht="12.75">
      <c r="A622" s="14"/>
      <c r="B622" s="206"/>
      <c r="C622" s="6"/>
      <c r="D622" s="14"/>
      <c r="E622" s="185"/>
      <c r="F622" s="35"/>
      <c r="G622" s="185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 spans="1:27" ht="12.75">
      <c r="A623" s="14"/>
      <c r="B623" s="206"/>
      <c r="C623" s="6"/>
      <c r="D623" s="14"/>
      <c r="E623" s="185"/>
      <c r="F623" s="35"/>
      <c r="G623" s="185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 spans="1:27" ht="12.75">
      <c r="A624" s="14"/>
      <c r="B624" s="206"/>
      <c r="C624" s="6"/>
      <c r="D624" s="14"/>
      <c r="E624" s="185"/>
      <c r="F624" s="35"/>
      <c r="G624" s="185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 spans="1:27" ht="12.75">
      <c r="A625" s="14"/>
      <c r="B625" s="206"/>
      <c r="C625" s="6"/>
      <c r="D625" s="14"/>
      <c r="E625" s="185"/>
      <c r="F625" s="35"/>
      <c r="G625" s="185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 spans="1:27" ht="12.75">
      <c r="A626" s="14"/>
      <c r="B626" s="206"/>
      <c r="C626" s="6"/>
      <c r="D626" s="14"/>
      <c r="E626" s="185"/>
      <c r="F626" s="35"/>
      <c r="G626" s="185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 spans="1:27" ht="12.75">
      <c r="A627" s="14"/>
      <c r="B627" s="206"/>
      <c r="C627" s="6"/>
      <c r="D627" s="14"/>
      <c r="E627" s="185"/>
      <c r="F627" s="35"/>
      <c r="G627" s="185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 spans="1:27" ht="12.75">
      <c r="A628" s="14"/>
      <c r="B628" s="206"/>
      <c r="C628" s="6"/>
      <c r="D628" s="14"/>
      <c r="E628" s="185"/>
      <c r="F628" s="35"/>
      <c r="G628" s="185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 spans="1:27" ht="12.75">
      <c r="A629" s="14"/>
      <c r="B629" s="206"/>
      <c r="C629" s="6"/>
      <c r="D629" s="14"/>
      <c r="E629" s="185"/>
      <c r="F629" s="35"/>
      <c r="G629" s="185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 spans="1:27" ht="12.75">
      <c r="A630" s="14"/>
      <c r="B630" s="206"/>
      <c r="C630" s="6"/>
      <c r="D630" s="14"/>
      <c r="E630" s="185"/>
      <c r="F630" s="35"/>
      <c r="G630" s="185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 spans="1:27" ht="12.75">
      <c r="A631" s="14"/>
      <c r="B631" s="206"/>
      <c r="C631" s="6"/>
      <c r="D631" s="14"/>
      <c r="E631" s="185"/>
      <c r="F631" s="35"/>
      <c r="G631" s="185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 spans="1:27" ht="12.75">
      <c r="A632" s="14"/>
      <c r="B632" s="206"/>
      <c r="C632" s="6"/>
      <c r="D632" s="14"/>
      <c r="E632" s="185"/>
      <c r="F632" s="35"/>
      <c r="G632" s="185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 spans="1:27" ht="12.75">
      <c r="A633" s="14"/>
      <c r="B633" s="206"/>
      <c r="C633" s="6"/>
      <c r="D633" s="14"/>
      <c r="E633" s="185"/>
      <c r="F633" s="35"/>
      <c r="G633" s="185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 spans="1:27" ht="12.75">
      <c r="A634" s="14"/>
      <c r="B634" s="206"/>
      <c r="C634" s="6"/>
      <c r="D634" s="14"/>
      <c r="E634" s="185"/>
      <c r="F634" s="35"/>
      <c r="G634" s="185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 spans="1:27" ht="12.75">
      <c r="A635" s="14"/>
      <c r="B635" s="206"/>
      <c r="C635" s="6"/>
      <c r="D635" s="14"/>
      <c r="E635" s="185"/>
      <c r="F635" s="35"/>
      <c r="G635" s="185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 spans="1:27" ht="12.75">
      <c r="A636" s="14"/>
      <c r="B636" s="206"/>
      <c r="C636" s="6"/>
      <c r="D636" s="14"/>
      <c r="E636" s="185"/>
      <c r="F636" s="35"/>
      <c r="G636" s="185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 spans="1:27" ht="12.75">
      <c r="A637" s="14"/>
      <c r="B637" s="206"/>
      <c r="C637" s="6"/>
      <c r="D637" s="14"/>
      <c r="E637" s="185"/>
      <c r="F637" s="35"/>
      <c r="G637" s="185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 spans="1:27" ht="12.75">
      <c r="A638" s="14"/>
      <c r="B638" s="206"/>
      <c r="C638" s="6"/>
      <c r="D638" s="14"/>
      <c r="E638" s="185"/>
      <c r="F638" s="35"/>
      <c r="G638" s="185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 spans="1:27" ht="12.75">
      <c r="A639" s="14"/>
      <c r="B639" s="206"/>
      <c r="C639" s="6"/>
      <c r="D639" s="14"/>
      <c r="E639" s="185"/>
      <c r="F639" s="35"/>
      <c r="G639" s="185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 spans="1:27" ht="12.75">
      <c r="A640" s="14"/>
      <c r="B640" s="206"/>
      <c r="C640" s="6"/>
      <c r="D640" s="14"/>
      <c r="E640" s="185"/>
      <c r="F640" s="35"/>
      <c r="G640" s="185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 spans="1:27" ht="12.75">
      <c r="A641" s="14"/>
      <c r="B641" s="206"/>
      <c r="C641" s="6"/>
      <c r="D641" s="14"/>
      <c r="E641" s="185"/>
      <c r="F641" s="35"/>
      <c r="G641" s="185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 spans="1:27" ht="12.75">
      <c r="A642" s="14"/>
      <c r="B642" s="206"/>
      <c r="C642" s="6"/>
      <c r="D642" s="14"/>
      <c r="E642" s="185"/>
      <c r="F642" s="35"/>
      <c r="G642" s="185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 spans="1:27" ht="12.75">
      <c r="A643" s="14"/>
      <c r="B643" s="206"/>
      <c r="C643" s="6"/>
      <c r="D643" s="14"/>
      <c r="E643" s="185"/>
      <c r="F643" s="35"/>
      <c r="G643" s="185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 spans="1:27" ht="12.75">
      <c r="A644" s="14"/>
      <c r="B644" s="206"/>
      <c r="C644" s="6"/>
      <c r="D644" s="14"/>
      <c r="E644" s="185"/>
      <c r="F644" s="35"/>
      <c r="G644" s="185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 spans="1:27" ht="12.75">
      <c r="A645" s="14"/>
      <c r="B645" s="206"/>
      <c r="C645" s="6"/>
      <c r="D645" s="14"/>
      <c r="E645" s="185"/>
      <c r="F645" s="35"/>
      <c r="G645" s="185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 spans="1:27" ht="12.75">
      <c r="A646" s="14"/>
      <c r="B646" s="206"/>
      <c r="C646" s="6"/>
      <c r="D646" s="14"/>
      <c r="E646" s="185"/>
      <c r="F646" s="35"/>
      <c r="G646" s="185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 spans="1:27" ht="12.75">
      <c r="A647" s="14"/>
      <c r="B647" s="206"/>
      <c r="C647" s="6"/>
      <c r="D647" s="14"/>
      <c r="E647" s="185"/>
      <c r="F647" s="35"/>
      <c r="G647" s="185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 spans="1:27" ht="12.75">
      <c r="A648" s="14"/>
      <c r="B648" s="206"/>
      <c r="C648" s="6"/>
      <c r="D648" s="14"/>
      <c r="E648" s="185"/>
      <c r="F648" s="35"/>
      <c r="G648" s="185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 spans="1:27" ht="12.75">
      <c r="A649" s="14"/>
      <c r="B649" s="206"/>
      <c r="C649" s="6"/>
      <c r="D649" s="14"/>
      <c r="E649" s="185"/>
      <c r="F649" s="35"/>
      <c r="G649" s="185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 spans="1:27" ht="12.75">
      <c r="A650" s="14"/>
      <c r="B650" s="206"/>
      <c r="C650" s="6"/>
      <c r="D650" s="14"/>
      <c r="E650" s="185"/>
      <c r="F650" s="35"/>
      <c r="G650" s="185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 spans="1:27" ht="12.75">
      <c r="A651" s="14"/>
      <c r="B651" s="206"/>
      <c r="C651" s="6"/>
      <c r="D651" s="14"/>
      <c r="E651" s="185"/>
      <c r="F651" s="35"/>
      <c r="G651" s="185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 spans="1:27" ht="12.75">
      <c r="A652" s="14"/>
      <c r="B652" s="206"/>
      <c r="C652" s="6"/>
      <c r="D652" s="14"/>
      <c r="E652" s="185"/>
      <c r="F652" s="35"/>
      <c r="G652" s="185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 spans="1:27" ht="12.75">
      <c r="A653" s="14"/>
      <c r="B653" s="206"/>
      <c r="C653" s="6"/>
      <c r="D653" s="14"/>
      <c r="E653" s="185"/>
      <c r="F653" s="35"/>
      <c r="G653" s="185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 spans="1:27" ht="12.75">
      <c r="A654" s="14"/>
      <c r="B654" s="206"/>
      <c r="C654" s="6"/>
      <c r="D654" s="14"/>
      <c r="E654" s="185"/>
      <c r="F654" s="35"/>
      <c r="G654" s="185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 spans="1:27" ht="12.75">
      <c r="A655" s="14"/>
      <c r="B655" s="206"/>
      <c r="C655" s="6"/>
      <c r="D655" s="14"/>
      <c r="E655" s="185"/>
      <c r="F655" s="35"/>
      <c r="G655" s="185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 spans="1:27" ht="12.75">
      <c r="A656" s="14"/>
      <c r="B656" s="206"/>
      <c r="C656" s="6"/>
      <c r="D656" s="14"/>
      <c r="E656" s="185"/>
      <c r="F656" s="35"/>
      <c r="G656" s="185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 spans="1:27" ht="12.75">
      <c r="A657" s="14"/>
      <c r="B657" s="206"/>
      <c r="C657" s="6"/>
      <c r="D657" s="14"/>
      <c r="E657" s="185"/>
      <c r="F657" s="35"/>
      <c r="G657" s="185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 spans="1:27" ht="12.75">
      <c r="A658" s="14"/>
      <c r="B658" s="206"/>
      <c r="C658" s="6"/>
      <c r="D658" s="14"/>
      <c r="E658" s="185"/>
      <c r="F658" s="35"/>
      <c r="G658" s="185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 spans="1:27" ht="12.75">
      <c r="A659" s="14"/>
      <c r="B659" s="206"/>
      <c r="C659" s="6"/>
      <c r="D659" s="14"/>
      <c r="E659" s="185"/>
      <c r="F659" s="35"/>
      <c r="G659" s="185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 spans="1:27" ht="12.75">
      <c r="A660" s="14"/>
      <c r="B660" s="206"/>
      <c r="C660" s="6"/>
      <c r="D660" s="14"/>
      <c r="E660" s="185"/>
      <c r="F660" s="35"/>
      <c r="G660" s="185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 spans="1:27" ht="12.75">
      <c r="A661" s="14"/>
      <c r="B661" s="206"/>
      <c r="C661" s="6"/>
      <c r="D661" s="14"/>
      <c r="E661" s="185"/>
      <c r="F661" s="35"/>
      <c r="G661" s="185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 spans="1:27" ht="12.75">
      <c r="A662" s="14"/>
      <c r="B662" s="206"/>
      <c r="C662" s="6"/>
      <c r="D662" s="14"/>
      <c r="E662" s="185"/>
      <c r="F662" s="35"/>
      <c r="G662" s="185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 spans="1:27" ht="12.75">
      <c r="A663" s="14"/>
      <c r="B663" s="206"/>
      <c r="C663" s="6"/>
      <c r="D663" s="14"/>
      <c r="E663" s="185"/>
      <c r="F663" s="35"/>
      <c r="G663" s="185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 spans="1:27" ht="12.75">
      <c r="A664" s="14"/>
      <c r="B664" s="206"/>
      <c r="C664" s="6"/>
      <c r="D664" s="14"/>
      <c r="E664" s="185"/>
      <c r="F664" s="35"/>
      <c r="G664" s="185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 spans="1:27" ht="12.75">
      <c r="A665" s="14"/>
      <c r="B665" s="206"/>
      <c r="C665" s="6"/>
      <c r="D665" s="14"/>
      <c r="E665" s="185"/>
      <c r="F665" s="35"/>
      <c r="G665" s="185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 spans="1:27" ht="12.75">
      <c r="A666" s="14"/>
      <c r="B666" s="206"/>
      <c r="C666" s="6"/>
      <c r="D666" s="14"/>
      <c r="E666" s="185"/>
      <c r="F666" s="35"/>
      <c r="G666" s="185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 spans="1:27" ht="12.75">
      <c r="A667" s="14"/>
      <c r="B667" s="206"/>
      <c r="C667" s="6"/>
      <c r="D667" s="14"/>
      <c r="E667" s="185"/>
      <c r="F667" s="35"/>
      <c r="G667" s="185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 spans="1:27" ht="12.75">
      <c r="A668" s="14"/>
      <c r="B668" s="206"/>
      <c r="C668" s="6"/>
      <c r="D668" s="14"/>
      <c r="E668" s="185"/>
      <c r="F668" s="35"/>
      <c r="G668" s="185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 spans="1:27" ht="12.75">
      <c r="A669" s="14"/>
      <c r="B669" s="206"/>
      <c r="C669" s="6"/>
      <c r="D669" s="14"/>
      <c r="E669" s="185"/>
      <c r="F669" s="35"/>
      <c r="G669" s="185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 spans="1:27" ht="12.75">
      <c r="A670" s="14"/>
      <c r="B670" s="206"/>
      <c r="C670" s="6"/>
      <c r="D670" s="14"/>
      <c r="E670" s="185"/>
      <c r="F670" s="35"/>
      <c r="G670" s="185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 spans="1:27" ht="12.75">
      <c r="A671" s="14"/>
      <c r="B671" s="206"/>
      <c r="C671" s="6"/>
      <c r="D671" s="14"/>
      <c r="E671" s="185"/>
      <c r="F671" s="35"/>
      <c r="G671" s="185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 spans="1:27" ht="12.75">
      <c r="A672" s="14"/>
      <c r="B672" s="206"/>
      <c r="C672" s="6"/>
      <c r="D672" s="14"/>
      <c r="E672" s="185"/>
      <c r="F672" s="35"/>
      <c r="G672" s="185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 spans="1:27" ht="12.75">
      <c r="A673" s="14"/>
      <c r="B673" s="206"/>
      <c r="C673" s="6"/>
      <c r="D673" s="14"/>
      <c r="E673" s="185"/>
      <c r="F673" s="35"/>
      <c r="G673" s="185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 spans="1:27" ht="12.75">
      <c r="A674" s="14"/>
      <c r="B674" s="206"/>
      <c r="C674" s="6"/>
      <c r="D674" s="14"/>
      <c r="E674" s="185"/>
      <c r="F674" s="35"/>
      <c r="G674" s="185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 spans="1:27" ht="12.75">
      <c r="A675" s="14"/>
      <c r="B675" s="206"/>
      <c r="C675" s="6"/>
      <c r="D675" s="14"/>
      <c r="E675" s="185"/>
      <c r="F675" s="35"/>
      <c r="G675" s="185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 spans="1:27" ht="12.75">
      <c r="A676" s="14"/>
      <c r="B676" s="206"/>
      <c r="C676" s="6"/>
      <c r="D676" s="14"/>
      <c r="E676" s="185"/>
      <c r="F676" s="35"/>
      <c r="G676" s="185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 spans="1:27" ht="12.75">
      <c r="A677" s="14"/>
      <c r="B677" s="206"/>
      <c r="C677" s="6"/>
      <c r="D677" s="14"/>
      <c r="E677" s="185"/>
      <c r="F677" s="35"/>
      <c r="G677" s="185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 spans="1:27" ht="12.75">
      <c r="A678" s="14"/>
      <c r="B678" s="206"/>
      <c r="C678" s="6"/>
      <c r="D678" s="14"/>
      <c r="E678" s="185"/>
      <c r="F678" s="35"/>
      <c r="G678" s="185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 spans="1:27" ht="12.75">
      <c r="A679" s="14"/>
      <c r="B679" s="206"/>
      <c r="C679" s="6"/>
      <c r="D679" s="14"/>
      <c r="E679" s="185"/>
      <c r="F679" s="35"/>
      <c r="G679" s="185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 spans="1:27" ht="12.75">
      <c r="A680" s="14"/>
      <c r="B680" s="206"/>
      <c r="C680" s="6"/>
      <c r="D680" s="14"/>
      <c r="E680" s="185"/>
      <c r="F680" s="35"/>
      <c r="G680" s="185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 spans="1:27" ht="12.75">
      <c r="A681" s="14"/>
      <c r="B681" s="206"/>
      <c r="C681" s="6"/>
      <c r="D681" s="14"/>
      <c r="E681" s="185"/>
      <c r="F681" s="35"/>
      <c r="G681" s="185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 spans="1:27" ht="12.75">
      <c r="A682" s="14"/>
      <c r="B682" s="206"/>
      <c r="C682" s="6"/>
      <c r="D682" s="14"/>
      <c r="E682" s="185"/>
      <c r="F682" s="35"/>
      <c r="G682" s="185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 spans="1:27" ht="12.75">
      <c r="A683" s="14"/>
      <c r="B683" s="206"/>
      <c r="C683" s="6"/>
      <c r="D683" s="14"/>
      <c r="E683" s="185"/>
      <c r="F683" s="35"/>
      <c r="G683" s="185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 spans="1:27" ht="12.75">
      <c r="A684" s="14"/>
      <c r="B684" s="206"/>
      <c r="C684" s="6"/>
      <c r="D684" s="14"/>
      <c r="E684" s="185"/>
      <c r="F684" s="35"/>
      <c r="G684" s="185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 spans="1:27" ht="12.75">
      <c r="A685" s="14"/>
      <c r="B685" s="206"/>
      <c r="C685" s="6"/>
      <c r="D685" s="14"/>
      <c r="E685" s="185"/>
      <c r="F685" s="35"/>
      <c r="G685" s="185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 spans="1:27" ht="12.75">
      <c r="A686" s="14"/>
      <c r="B686" s="206"/>
      <c r="C686" s="6"/>
      <c r="D686" s="14"/>
      <c r="E686" s="185"/>
      <c r="F686" s="35"/>
      <c r="G686" s="185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 spans="1:27" ht="12.75">
      <c r="A687" s="14"/>
      <c r="B687" s="206"/>
      <c r="C687" s="6"/>
      <c r="D687" s="14"/>
      <c r="E687" s="185"/>
      <c r="F687" s="35"/>
      <c r="G687" s="185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 spans="1:27" ht="12.75">
      <c r="A688" s="14"/>
      <c r="B688" s="206"/>
      <c r="C688" s="6"/>
      <c r="D688" s="14"/>
      <c r="E688" s="185"/>
      <c r="F688" s="35"/>
      <c r="G688" s="185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 spans="1:27" ht="12.75">
      <c r="A689" s="14"/>
      <c r="B689" s="206"/>
      <c r="C689" s="6"/>
      <c r="D689" s="14"/>
      <c r="E689" s="185"/>
      <c r="F689" s="35"/>
      <c r="G689" s="185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 spans="1:27" ht="12.75">
      <c r="A690" s="14"/>
      <c r="B690" s="206"/>
      <c r="C690" s="6"/>
      <c r="D690" s="14"/>
      <c r="E690" s="185"/>
      <c r="F690" s="35"/>
      <c r="G690" s="185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 spans="1:27" ht="12.75">
      <c r="A691" s="14"/>
      <c r="B691" s="206"/>
      <c r="C691" s="6"/>
      <c r="D691" s="14"/>
      <c r="E691" s="185"/>
      <c r="F691" s="35"/>
      <c r="G691" s="185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 spans="1:27" ht="12.75">
      <c r="A692" s="14"/>
      <c r="B692" s="206"/>
      <c r="C692" s="6"/>
      <c r="D692" s="14"/>
      <c r="E692" s="185"/>
      <c r="F692" s="35"/>
      <c r="G692" s="185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 spans="1:27" ht="12.75">
      <c r="A693" s="14"/>
      <c r="B693" s="206"/>
      <c r="C693" s="6"/>
      <c r="D693" s="14"/>
      <c r="E693" s="185"/>
      <c r="F693" s="35"/>
      <c r="G693" s="185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 spans="1:27" ht="12.75">
      <c r="A694" s="14"/>
      <c r="B694" s="206"/>
      <c r="C694" s="6"/>
      <c r="D694" s="14"/>
      <c r="E694" s="185"/>
      <c r="F694" s="35"/>
      <c r="G694" s="185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 spans="1:27" ht="12.75">
      <c r="A695" s="14"/>
      <c r="B695" s="206"/>
      <c r="C695" s="6"/>
      <c r="D695" s="14"/>
      <c r="E695" s="185"/>
      <c r="F695" s="35"/>
      <c r="G695" s="185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 spans="1:27" ht="12.75">
      <c r="A696" s="14"/>
      <c r="B696" s="206"/>
      <c r="C696" s="6"/>
      <c r="D696" s="14"/>
      <c r="E696" s="185"/>
      <c r="F696" s="35"/>
      <c r="G696" s="185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 spans="1:27" ht="12.75">
      <c r="A697" s="14"/>
      <c r="B697" s="206"/>
      <c r="C697" s="6"/>
      <c r="D697" s="14"/>
      <c r="E697" s="185"/>
      <c r="F697" s="35"/>
      <c r="G697" s="185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 spans="1:27" ht="12.75">
      <c r="A698" s="14"/>
      <c r="B698" s="206"/>
      <c r="C698" s="6"/>
      <c r="D698" s="14"/>
      <c r="E698" s="185"/>
      <c r="F698" s="35"/>
      <c r="G698" s="185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 spans="1:27" ht="12.75">
      <c r="A699" s="14"/>
      <c r="B699" s="206"/>
      <c r="C699" s="6"/>
      <c r="D699" s="14"/>
      <c r="E699" s="185"/>
      <c r="F699" s="35"/>
      <c r="G699" s="185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 spans="1:27" ht="12.75">
      <c r="A700" s="14"/>
      <c r="B700" s="206"/>
      <c r="C700" s="6"/>
      <c r="D700" s="14"/>
      <c r="E700" s="185"/>
      <c r="F700" s="35"/>
      <c r="G700" s="185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 spans="1:27" ht="12.75">
      <c r="A701" s="14"/>
      <c r="B701" s="206"/>
      <c r="C701" s="6"/>
      <c r="D701" s="14"/>
      <c r="E701" s="185"/>
      <c r="F701" s="35"/>
      <c r="G701" s="185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 spans="1:27" ht="12.75">
      <c r="A702" s="14"/>
      <c r="B702" s="206"/>
      <c r="C702" s="6"/>
      <c r="D702" s="14"/>
      <c r="E702" s="185"/>
      <c r="F702" s="35"/>
      <c r="G702" s="185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 spans="1:27" ht="12.75">
      <c r="A703" s="14"/>
      <c r="B703" s="206"/>
      <c r="C703" s="6"/>
      <c r="D703" s="14"/>
      <c r="E703" s="185"/>
      <c r="F703" s="35"/>
      <c r="G703" s="185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 spans="1:27" ht="12.75">
      <c r="A704" s="14"/>
      <c r="B704" s="206"/>
      <c r="C704" s="6"/>
      <c r="D704" s="14"/>
      <c r="E704" s="185"/>
      <c r="F704" s="35"/>
      <c r="G704" s="185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 spans="1:27" ht="12.75">
      <c r="A705" s="14"/>
      <c r="B705" s="206"/>
      <c r="C705" s="6"/>
      <c r="D705" s="14"/>
      <c r="E705" s="185"/>
      <c r="F705" s="35"/>
      <c r="G705" s="185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 spans="1:27" ht="12.75">
      <c r="A706" s="14"/>
      <c r="B706" s="206"/>
      <c r="C706" s="6"/>
      <c r="D706" s="14"/>
      <c r="E706" s="185"/>
      <c r="F706" s="35"/>
      <c r="G706" s="185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 spans="1:27" ht="12.75">
      <c r="A707" s="14"/>
      <c r="B707" s="206"/>
      <c r="C707" s="6"/>
      <c r="D707" s="14"/>
      <c r="E707" s="185"/>
      <c r="F707" s="35"/>
      <c r="G707" s="185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 spans="1:27" ht="12.75">
      <c r="A708" s="14"/>
      <c r="B708" s="206"/>
      <c r="C708" s="6"/>
      <c r="D708" s="14"/>
      <c r="E708" s="185"/>
      <c r="F708" s="35"/>
      <c r="G708" s="185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 spans="1:27" ht="12.75">
      <c r="A709" s="14"/>
      <c r="B709" s="206"/>
      <c r="C709" s="6"/>
      <c r="D709" s="14"/>
      <c r="E709" s="185"/>
      <c r="F709" s="35"/>
      <c r="G709" s="185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 spans="1:27" ht="12.75">
      <c r="A710" s="14"/>
      <c r="B710" s="206"/>
      <c r="C710" s="6"/>
      <c r="D710" s="14"/>
      <c r="E710" s="185"/>
      <c r="F710" s="35"/>
      <c r="G710" s="185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 spans="1:27" ht="12.75">
      <c r="A711" s="14"/>
      <c r="B711" s="206"/>
      <c r="C711" s="6"/>
      <c r="D711" s="14"/>
      <c r="E711" s="185"/>
      <c r="F711" s="35"/>
      <c r="G711" s="185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 spans="1:27" ht="12.75">
      <c r="A712" s="14"/>
      <c r="B712" s="206"/>
      <c r="C712" s="6"/>
      <c r="D712" s="14"/>
      <c r="E712" s="185"/>
      <c r="F712" s="35"/>
      <c r="G712" s="185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 spans="1:27" ht="12.75">
      <c r="A713" s="14"/>
      <c r="B713" s="206"/>
      <c r="C713" s="6"/>
      <c r="D713" s="14"/>
      <c r="E713" s="185"/>
      <c r="F713" s="35"/>
      <c r="G713" s="185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 spans="1:27" ht="12.75">
      <c r="A714" s="14"/>
      <c r="B714" s="206"/>
      <c r="C714" s="6"/>
      <c r="D714" s="14"/>
      <c r="E714" s="185"/>
      <c r="F714" s="35"/>
      <c r="G714" s="185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 spans="1:27" ht="12.75">
      <c r="A715" s="14"/>
      <c r="B715" s="206"/>
      <c r="C715" s="6"/>
      <c r="D715" s="14"/>
      <c r="E715" s="185"/>
      <c r="F715" s="35"/>
      <c r="G715" s="185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 spans="1:27" ht="12.75">
      <c r="A716" s="14"/>
      <c r="B716" s="206"/>
      <c r="C716" s="6"/>
      <c r="D716" s="14"/>
      <c r="E716" s="185"/>
      <c r="F716" s="35"/>
      <c r="G716" s="185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 spans="1:27" ht="12.75">
      <c r="A717" s="14"/>
      <c r="B717" s="206"/>
      <c r="C717" s="6"/>
      <c r="D717" s="14"/>
      <c r="E717" s="185"/>
      <c r="F717" s="35"/>
      <c r="G717" s="185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 spans="1:27" ht="12.75">
      <c r="A718" s="14"/>
      <c r="B718" s="206"/>
      <c r="C718" s="6"/>
      <c r="D718" s="14"/>
      <c r="E718" s="185"/>
      <c r="F718" s="35"/>
      <c r="G718" s="185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 spans="1:27" ht="12.75">
      <c r="A719" s="14"/>
      <c r="B719" s="206"/>
      <c r="C719" s="6"/>
      <c r="D719" s="14"/>
      <c r="E719" s="185"/>
      <c r="F719" s="35"/>
      <c r="G719" s="185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 spans="1:27" ht="12.75">
      <c r="A720" s="14"/>
      <c r="B720" s="206"/>
      <c r="C720" s="6"/>
      <c r="D720" s="14"/>
      <c r="E720" s="185"/>
      <c r="F720" s="35"/>
      <c r="G720" s="185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 spans="1:27" ht="12.75">
      <c r="A721" s="14"/>
      <c r="B721" s="206"/>
      <c r="C721" s="6"/>
      <c r="D721" s="14"/>
      <c r="E721" s="185"/>
      <c r="F721" s="35"/>
      <c r="G721" s="185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 spans="1:27" ht="12.75">
      <c r="A722" s="14"/>
      <c r="B722" s="206"/>
      <c r="C722" s="6"/>
      <c r="D722" s="14"/>
      <c r="E722" s="185"/>
      <c r="F722" s="35"/>
      <c r="G722" s="185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 spans="1:27" ht="12.75">
      <c r="A723" s="14"/>
      <c r="B723" s="206"/>
      <c r="C723" s="6"/>
      <c r="D723" s="14"/>
      <c r="E723" s="185"/>
      <c r="F723" s="35"/>
      <c r="G723" s="185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 spans="1:27" ht="12.75">
      <c r="A724" s="14"/>
      <c r="B724" s="206"/>
      <c r="C724" s="6"/>
      <c r="D724" s="14"/>
      <c r="E724" s="185"/>
      <c r="F724" s="35"/>
      <c r="G724" s="185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 spans="1:27" ht="12.75">
      <c r="A725" s="14"/>
      <c r="B725" s="206"/>
      <c r="C725" s="6"/>
      <c r="D725" s="14"/>
      <c r="E725" s="185"/>
      <c r="F725" s="35"/>
      <c r="G725" s="185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 spans="1:27" ht="12.75">
      <c r="A726" s="14"/>
      <c r="B726" s="206"/>
      <c r="C726" s="6"/>
      <c r="D726" s="14"/>
      <c r="E726" s="185"/>
      <c r="F726" s="35"/>
      <c r="G726" s="185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 spans="1:27" ht="12.75">
      <c r="A727" s="14"/>
      <c r="B727" s="206"/>
      <c r="C727" s="6"/>
      <c r="D727" s="14"/>
      <c r="E727" s="185"/>
      <c r="F727" s="35"/>
      <c r="G727" s="185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 spans="1:27" ht="12.75">
      <c r="A728" s="14"/>
      <c r="B728" s="206"/>
      <c r="C728" s="6"/>
      <c r="D728" s="14"/>
      <c r="E728" s="185"/>
      <c r="F728" s="35"/>
      <c r="G728" s="185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 spans="1:27" ht="12.75">
      <c r="A729" s="14"/>
      <c r="B729" s="206"/>
      <c r="C729" s="6"/>
      <c r="D729" s="14"/>
      <c r="E729" s="185"/>
      <c r="F729" s="35"/>
      <c r="G729" s="185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 spans="1:27" ht="12.75">
      <c r="A730" s="14"/>
      <c r="B730" s="206"/>
      <c r="C730" s="6"/>
      <c r="D730" s="14"/>
      <c r="E730" s="185"/>
      <c r="F730" s="35"/>
      <c r="G730" s="185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 spans="1:27" ht="12.75">
      <c r="A731" s="14"/>
      <c r="B731" s="206"/>
      <c r="C731" s="6"/>
      <c r="D731" s="14"/>
      <c r="E731" s="185"/>
      <c r="F731" s="35"/>
      <c r="G731" s="185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 spans="1:27" ht="12.75">
      <c r="A732" s="14"/>
      <c r="B732" s="206"/>
      <c r="C732" s="6"/>
      <c r="D732" s="14"/>
      <c r="E732" s="185"/>
      <c r="F732" s="35"/>
      <c r="G732" s="185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 spans="1:27" ht="12.75">
      <c r="A733" s="14"/>
      <c r="B733" s="206"/>
      <c r="C733" s="6"/>
      <c r="D733" s="14"/>
      <c r="E733" s="185"/>
      <c r="F733" s="35"/>
      <c r="G733" s="185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 spans="1:27" ht="12.75">
      <c r="A734" s="14"/>
      <c r="B734" s="206"/>
      <c r="C734" s="6"/>
      <c r="D734" s="14"/>
      <c r="E734" s="185"/>
      <c r="F734" s="35"/>
      <c r="G734" s="185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 spans="1:27" ht="12.75">
      <c r="A735" s="14"/>
      <c r="B735" s="206"/>
      <c r="C735" s="6"/>
      <c r="D735" s="14"/>
      <c r="E735" s="185"/>
      <c r="F735" s="35"/>
      <c r="G735" s="185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 spans="1:27" ht="12.75">
      <c r="A736" s="14"/>
      <c r="B736" s="206"/>
      <c r="C736" s="6"/>
      <c r="D736" s="14"/>
      <c r="E736" s="185"/>
      <c r="F736" s="35"/>
      <c r="G736" s="185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 spans="1:27" ht="12.75">
      <c r="A737" s="14"/>
      <c r="B737" s="206"/>
      <c r="C737" s="6"/>
      <c r="D737" s="14"/>
      <c r="E737" s="185"/>
      <c r="F737" s="35"/>
      <c r="G737" s="185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 spans="1:27" ht="12.75">
      <c r="A738" s="14"/>
      <c r="B738" s="206"/>
      <c r="C738" s="6"/>
      <c r="D738" s="14"/>
      <c r="E738" s="185"/>
      <c r="F738" s="35"/>
      <c r="G738" s="185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 spans="1:27" ht="12.75">
      <c r="A739" s="14"/>
      <c r="B739" s="206"/>
      <c r="C739" s="6"/>
      <c r="D739" s="14"/>
      <c r="E739" s="185"/>
      <c r="F739" s="35"/>
      <c r="G739" s="185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 spans="1:27" ht="12.75">
      <c r="A740" s="14"/>
      <c r="B740" s="206"/>
      <c r="C740" s="6"/>
      <c r="D740" s="14"/>
      <c r="E740" s="185"/>
      <c r="F740" s="35"/>
      <c r="G740" s="185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 spans="1:27" ht="12.75">
      <c r="A741" s="14"/>
      <c r="B741" s="206"/>
      <c r="C741" s="6"/>
      <c r="D741" s="14"/>
      <c r="E741" s="185"/>
      <c r="F741" s="35"/>
      <c r="G741" s="185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 spans="1:27" ht="12.75">
      <c r="A742" s="14"/>
      <c r="B742" s="206"/>
      <c r="C742" s="6"/>
      <c r="D742" s="14"/>
      <c r="E742" s="185"/>
      <c r="F742" s="35"/>
      <c r="G742" s="185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 spans="1:27" ht="12.75">
      <c r="A743" s="14"/>
      <c r="B743" s="206"/>
      <c r="C743" s="6"/>
      <c r="D743" s="14"/>
      <c r="E743" s="185"/>
      <c r="F743" s="35"/>
      <c r="G743" s="185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 spans="1:27" ht="12.75">
      <c r="A744" s="14"/>
      <c r="B744" s="206"/>
      <c r="C744" s="6"/>
      <c r="D744" s="14"/>
      <c r="E744" s="185"/>
      <c r="F744" s="35"/>
      <c r="G744" s="185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 spans="1:27" ht="12.75">
      <c r="A745" s="14"/>
      <c r="B745" s="206"/>
      <c r="C745" s="6"/>
      <c r="D745" s="14"/>
      <c r="E745" s="185"/>
      <c r="F745" s="35"/>
      <c r="G745" s="185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 spans="1:27" ht="12.75">
      <c r="A746" s="14"/>
      <c r="B746" s="206"/>
      <c r="C746" s="6"/>
      <c r="D746" s="14"/>
      <c r="E746" s="185"/>
      <c r="F746" s="35"/>
      <c r="G746" s="185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 spans="1:27" ht="12.75">
      <c r="A747" s="14"/>
      <c r="B747" s="206"/>
      <c r="C747" s="6"/>
      <c r="D747" s="14"/>
      <c r="E747" s="185"/>
      <c r="F747" s="35"/>
      <c r="G747" s="185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 spans="1:27" ht="12.75">
      <c r="A748" s="14"/>
      <c r="B748" s="206"/>
      <c r="C748" s="6"/>
      <c r="D748" s="14"/>
      <c r="E748" s="185"/>
      <c r="F748" s="35"/>
      <c r="G748" s="185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 spans="1:27" ht="12.75">
      <c r="A749" s="14"/>
      <c r="B749" s="206"/>
      <c r="C749" s="6"/>
      <c r="D749" s="14"/>
      <c r="E749" s="185"/>
      <c r="F749" s="35"/>
      <c r="G749" s="185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 spans="1:27" ht="12.75">
      <c r="A750" s="14"/>
      <c r="B750" s="206"/>
      <c r="C750" s="6"/>
      <c r="D750" s="14"/>
      <c r="E750" s="185"/>
      <c r="F750" s="35"/>
      <c r="G750" s="185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 spans="1:27" ht="12.75">
      <c r="A751" s="14"/>
      <c r="B751" s="206"/>
      <c r="C751" s="6"/>
      <c r="D751" s="14"/>
      <c r="E751" s="185"/>
      <c r="F751" s="35"/>
      <c r="G751" s="185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 spans="1:27" ht="12.75">
      <c r="A752" s="14"/>
      <c r="B752" s="206"/>
      <c r="C752" s="6"/>
      <c r="D752" s="14"/>
      <c r="E752" s="185"/>
      <c r="F752" s="35"/>
      <c r="G752" s="185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 spans="1:27" ht="12.75">
      <c r="A753" s="14"/>
      <c r="B753" s="206"/>
      <c r="C753" s="6"/>
      <c r="D753" s="14"/>
      <c r="E753" s="185"/>
      <c r="F753" s="35"/>
      <c r="G753" s="185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 spans="1:27" ht="12.75">
      <c r="A754" s="14"/>
      <c r="B754" s="206"/>
      <c r="C754" s="6"/>
      <c r="D754" s="14"/>
      <c r="E754" s="185"/>
      <c r="F754" s="35"/>
      <c r="G754" s="185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 spans="1:27" ht="12.75">
      <c r="A755" s="14"/>
      <c r="B755" s="206"/>
      <c r="C755" s="6"/>
      <c r="D755" s="14"/>
      <c r="E755" s="185"/>
      <c r="F755" s="35"/>
      <c r="G755" s="185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 spans="1:27" ht="12.75">
      <c r="A756" s="14"/>
      <c r="B756" s="206"/>
      <c r="C756" s="6"/>
      <c r="D756" s="14"/>
      <c r="E756" s="185"/>
      <c r="F756" s="35"/>
      <c r="G756" s="185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 spans="1:27" ht="12.75">
      <c r="A757" s="14"/>
      <c r="B757" s="206"/>
      <c r="C757" s="6"/>
      <c r="D757" s="14"/>
      <c r="E757" s="185"/>
      <c r="F757" s="35"/>
      <c r="G757" s="185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 spans="1:27" ht="12.75">
      <c r="A758" s="14"/>
      <c r="B758" s="206"/>
      <c r="C758" s="6"/>
      <c r="D758" s="14"/>
      <c r="E758" s="185"/>
      <c r="F758" s="35"/>
      <c r="G758" s="185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 spans="1:27" ht="12.75">
      <c r="A759" s="14"/>
      <c r="B759" s="206"/>
      <c r="C759" s="6"/>
      <c r="D759" s="14"/>
      <c r="E759" s="185"/>
      <c r="F759" s="35"/>
      <c r="G759" s="185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 spans="1:27" ht="12.75">
      <c r="A760" s="14"/>
      <c r="B760" s="206"/>
      <c r="C760" s="6"/>
      <c r="D760" s="14"/>
      <c r="E760" s="185"/>
      <c r="F760" s="35"/>
      <c r="G760" s="185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spans="1:27" ht="12.75">
      <c r="A761" s="14"/>
      <c r="B761" s="206"/>
      <c r="C761" s="6"/>
      <c r="D761" s="14"/>
      <c r="E761" s="185"/>
      <c r="F761" s="35"/>
      <c r="G761" s="185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 spans="1:27" ht="12.75">
      <c r="A762" s="14"/>
      <c r="B762" s="206"/>
      <c r="C762" s="6"/>
      <c r="D762" s="14"/>
      <c r="E762" s="185"/>
      <c r="F762" s="35"/>
      <c r="G762" s="185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 spans="1:27" ht="12.75">
      <c r="A763" s="14"/>
      <c r="B763" s="206"/>
      <c r="C763" s="6"/>
      <c r="D763" s="14"/>
      <c r="E763" s="185"/>
      <c r="F763" s="35"/>
      <c r="G763" s="185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 spans="1:27" ht="12.75">
      <c r="A764" s="14"/>
      <c r="B764" s="206"/>
      <c r="C764" s="6"/>
      <c r="D764" s="14"/>
      <c r="E764" s="185"/>
      <c r="F764" s="35"/>
      <c r="G764" s="185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 spans="1:27" ht="12.75">
      <c r="A765" s="14"/>
      <c r="B765" s="206"/>
      <c r="C765" s="6"/>
      <c r="D765" s="14"/>
      <c r="E765" s="185"/>
      <c r="F765" s="35"/>
      <c r="G765" s="185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 spans="1:27" ht="12.75">
      <c r="A766" s="14"/>
      <c r="B766" s="206"/>
      <c r="C766" s="6"/>
      <c r="D766" s="14"/>
      <c r="E766" s="185"/>
      <c r="F766" s="35"/>
      <c r="G766" s="185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 spans="1:27" ht="12.75">
      <c r="A767" s="14"/>
      <c r="B767" s="206"/>
      <c r="C767" s="6"/>
      <c r="D767" s="14"/>
      <c r="E767" s="185"/>
      <c r="F767" s="35"/>
      <c r="G767" s="185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 spans="1:27" ht="12.75">
      <c r="A768" s="14"/>
      <c r="B768" s="206"/>
      <c r="C768" s="6"/>
      <c r="D768" s="14"/>
      <c r="E768" s="185"/>
      <c r="F768" s="35"/>
      <c r="G768" s="185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 spans="1:27" ht="12.75">
      <c r="A769" s="14"/>
      <c r="B769" s="206"/>
      <c r="C769" s="6"/>
      <c r="D769" s="14"/>
      <c r="E769" s="185"/>
      <c r="F769" s="35"/>
      <c r="G769" s="185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spans="1:27" ht="12.75">
      <c r="A770" s="14"/>
      <c r="B770" s="206"/>
      <c r="C770" s="6"/>
      <c r="D770" s="14"/>
      <c r="E770" s="185"/>
      <c r="F770" s="35"/>
      <c r="G770" s="185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 spans="1:27" ht="12.75">
      <c r="A771" s="14"/>
      <c r="B771" s="206"/>
      <c r="C771" s="6"/>
      <c r="D771" s="14"/>
      <c r="E771" s="185"/>
      <c r="F771" s="35"/>
      <c r="G771" s="185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 spans="1:27" ht="12.75">
      <c r="A772" s="14"/>
      <c r="B772" s="206"/>
      <c r="C772" s="6"/>
      <c r="D772" s="14"/>
      <c r="E772" s="185"/>
      <c r="F772" s="35"/>
      <c r="G772" s="185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 spans="1:27" ht="12.75">
      <c r="A773" s="14"/>
      <c r="B773" s="206"/>
      <c r="C773" s="6"/>
      <c r="D773" s="14"/>
      <c r="E773" s="185"/>
      <c r="F773" s="35"/>
      <c r="G773" s="185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 spans="1:27" ht="12.75">
      <c r="A774" s="14"/>
      <c r="B774" s="206"/>
      <c r="C774" s="6"/>
      <c r="D774" s="14"/>
      <c r="E774" s="185"/>
      <c r="F774" s="35"/>
      <c r="G774" s="185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 spans="1:27" ht="12.75">
      <c r="A775" s="14"/>
      <c r="B775" s="206"/>
      <c r="C775" s="6"/>
      <c r="D775" s="14"/>
      <c r="E775" s="185"/>
      <c r="F775" s="35"/>
      <c r="G775" s="185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 spans="1:27" ht="12.75">
      <c r="A776" s="14"/>
      <c r="B776" s="206"/>
      <c r="C776" s="6"/>
      <c r="D776" s="14"/>
      <c r="E776" s="185"/>
      <c r="F776" s="35"/>
      <c r="G776" s="185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 spans="1:27" ht="12.75">
      <c r="A777" s="14"/>
      <c r="B777" s="206"/>
      <c r="C777" s="6"/>
      <c r="D777" s="14"/>
      <c r="E777" s="185"/>
      <c r="F777" s="35"/>
      <c r="G777" s="185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 spans="1:27" ht="12.75">
      <c r="A778" s="14"/>
      <c r="B778" s="206"/>
      <c r="C778" s="6"/>
      <c r="D778" s="14"/>
      <c r="E778" s="185"/>
      <c r="F778" s="35"/>
      <c r="G778" s="185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 spans="1:27" ht="12.75">
      <c r="A779" s="14"/>
      <c r="B779" s="206"/>
      <c r="C779" s="6"/>
      <c r="D779" s="14"/>
      <c r="E779" s="185"/>
      <c r="F779" s="35"/>
      <c r="G779" s="185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 spans="1:27" ht="12.75">
      <c r="A780" s="14"/>
      <c r="B780" s="206"/>
      <c r="C780" s="6"/>
      <c r="D780" s="14"/>
      <c r="E780" s="185"/>
      <c r="F780" s="35"/>
      <c r="G780" s="185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 spans="1:27" ht="12.75">
      <c r="A781" s="14"/>
      <c r="B781" s="206"/>
      <c r="C781" s="6"/>
      <c r="D781" s="14"/>
      <c r="E781" s="185"/>
      <c r="F781" s="35"/>
      <c r="G781" s="185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 spans="1:27" ht="12.75">
      <c r="A782" s="14"/>
      <c r="B782" s="206"/>
      <c r="C782" s="6"/>
      <c r="D782" s="14"/>
      <c r="E782" s="185"/>
      <c r="F782" s="35"/>
      <c r="G782" s="185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 spans="1:27" ht="12.75">
      <c r="A783" s="14"/>
      <c r="B783" s="206"/>
      <c r="C783" s="6"/>
      <c r="D783" s="14"/>
      <c r="E783" s="185"/>
      <c r="F783" s="35"/>
      <c r="G783" s="185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 spans="1:27" ht="12.75">
      <c r="A784" s="14"/>
      <c r="B784" s="206"/>
      <c r="C784" s="6"/>
      <c r="D784" s="14"/>
      <c r="E784" s="185"/>
      <c r="F784" s="35"/>
      <c r="G784" s="185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 spans="1:27" ht="12.75">
      <c r="A785" s="14"/>
      <c r="B785" s="206"/>
      <c r="C785" s="6"/>
      <c r="D785" s="14"/>
      <c r="E785" s="185"/>
      <c r="F785" s="35"/>
      <c r="G785" s="185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 spans="1:27" ht="12.75">
      <c r="A786" s="14"/>
      <c r="B786" s="206"/>
      <c r="C786" s="6"/>
      <c r="D786" s="14"/>
      <c r="E786" s="185"/>
      <c r="F786" s="35"/>
      <c r="G786" s="185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 spans="1:27" ht="12.75">
      <c r="A787" s="14"/>
      <c r="B787" s="206"/>
      <c r="C787" s="6"/>
      <c r="D787" s="14"/>
      <c r="E787" s="185"/>
      <c r="F787" s="35"/>
      <c r="G787" s="185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 spans="1:27" ht="12.75">
      <c r="A788" s="14"/>
      <c r="B788" s="206"/>
      <c r="C788" s="6"/>
      <c r="D788" s="14"/>
      <c r="E788" s="185"/>
      <c r="F788" s="35"/>
      <c r="G788" s="185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 spans="1:27" ht="12.75">
      <c r="A789" s="14"/>
      <c r="B789" s="206"/>
      <c r="C789" s="6"/>
      <c r="D789" s="14"/>
      <c r="E789" s="185"/>
      <c r="F789" s="35"/>
      <c r="G789" s="185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 spans="1:27" ht="12.75">
      <c r="A790" s="14"/>
      <c r="B790" s="206"/>
      <c r="C790" s="6"/>
      <c r="D790" s="14"/>
      <c r="E790" s="185"/>
      <c r="F790" s="35"/>
      <c r="G790" s="185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 spans="1:27" ht="12.75">
      <c r="A791" s="14"/>
      <c r="B791" s="206"/>
      <c r="C791" s="6"/>
      <c r="D791" s="14"/>
      <c r="E791" s="185"/>
      <c r="F791" s="35"/>
      <c r="G791" s="185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 spans="1:27" ht="12.75">
      <c r="A792" s="14"/>
      <c r="B792" s="206"/>
      <c r="C792" s="6"/>
      <c r="D792" s="14"/>
      <c r="E792" s="185"/>
      <c r="F792" s="35"/>
      <c r="G792" s="185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 spans="1:27" ht="12.75">
      <c r="A793" s="14"/>
      <c r="B793" s="206"/>
      <c r="C793" s="6"/>
      <c r="D793" s="14"/>
      <c r="E793" s="185"/>
      <c r="F793" s="35"/>
      <c r="G793" s="185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 spans="1:27" ht="12.75">
      <c r="A794" s="14"/>
      <c r="B794" s="206"/>
      <c r="C794" s="6"/>
      <c r="D794" s="14"/>
      <c r="E794" s="185"/>
      <c r="F794" s="35"/>
      <c r="G794" s="185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 spans="1:27" ht="12.75">
      <c r="A795" s="14"/>
      <c r="B795" s="206"/>
      <c r="C795" s="6"/>
      <c r="D795" s="14"/>
      <c r="E795" s="185"/>
      <c r="F795" s="35"/>
      <c r="G795" s="185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 spans="1:27" ht="12.75">
      <c r="A796" s="14"/>
      <c r="B796" s="206"/>
      <c r="C796" s="6"/>
      <c r="D796" s="14"/>
      <c r="E796" s="185"/>
      <c r="F796" s="35"/>
      <c r="G796" s="185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 spans="1:27" ht="12.75">
      <c r="A797" s="14"/>
      <c r="B797" s="206"/>
      <c r="C797" s="6"/>
      <c r="D797" s="14"/>
      <c r="E797" s="185"/>
      <c r="F797" s="35"/>
      <c r="G797" s="185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 spans="1:27" ht="12.75">
      <c r="A798" s="14"/>
      <c r="B798" s="206"/>
      <c r="C798" s="6"/>
      <c r="D798" s="14"/>
      <c r="E798" s="185"/>
      <c r="F798" s="35"/>
      <c r="G798" s="185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 spans="1:27" ht="12.75">
      <c r="A799" s="14"/>
      <c r="B799" s="206"/>
      <c r="C799" s="6"/>
      <c r="D799" s="14"/>
      <c r="E799" s="185"/>
      <c r="F799" s="35"/>
      <c r="G799" s="185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 spans="1:27" ht="12.75">
      <c r="A800" s="14"/>
      <c r="B800" s="206"/>
      <c r="C800" s="6"/>
      <c r="D800" s="14"/>
      <c r="E800" s="185"/>
      <c r="F800" s="35"/>
      <c r="G800" s="185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 spans="1:27" ht="12.75">
      <c r="A801" s="14"/>
      <c r="B801" s="206"/>
      <c r="C801" s="6"/>
      <c r="D801" s="14"/>
      <c r="E801" s="185"/>
      <c r="F801" s="35"/>
      <c r="G801" s="185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 spans="1:27" ht="12.75">
      <c r="A802" s="14"/>
      <c r="B802" s="206"/>
      <c r="C802" s="6"/>
      <c r="D802" s="14"/>
      <c r="E802" s="185"/>
      <c r="F802" s="35"/>
      <c r="G802" s="185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 spans="1:27" ht="12.75">
      <c r="A803" s="14"/>
      <c r="B803" s="206"/>
      <c r="C803" s="6"/>
      <c r="D803" s="14"/>
      <c r="E803" s="185"/>
      <c r="F803" s="35"/>
      <c r="G803" s="185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 spans="1:27" ht="12.75">
      <c r="A804" s="14"/>
      <c r="B804" s="206"/>
      <c r="C804" s="6"/>
      <c r="D804" s="14"/>
      <c r="E804" s="185"/>
      <c r="F804" s="35"/>
      <c r="G804" s="185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 spans="1:27" ht="12.75">
      <c r="A805" s="14"/>
      <c r="B805" s="206"/>
      <c r="C805" s="6"/>
      <c r="D805" s="14"/>
      <c r="E805" s="185"/>
      <c r="F805" s="35"/>
      <c r="G805" s="185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 spans="1:27" ht="12.75">
      <c r="A806" s="14"/>
      <c r="B806" s="206"/>
      <c r="C806" s="6"/>
      <c r="D806" s="14"/>
      <c r="E806" s="185"/>
      <c r="F806" s="35"/>
      <c r="G806" s="185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 spans="1:27" ht="12.75">
      <c r="A807" s="14"/>
      <c r="B807" s="206"/>
      <c r="C807" s="6"/>
      <c r="D807" s="14"/>
      <c r="E807" s="185"/>
      <c r="F807" s="35"/>
      <c r="G807" s="185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 spans="1:27" ht="12.75">
      <c r="A808" s="14"/>
      <c r="B808" s="206"/>
      <c r="C808" s="6"/>
      <c r="D808" s="14"/>
      <c r="E808" s="185"/>
      <c r="F808" s="35"/>
      <c r="G808" s="185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 spans="1:27" ht="12.75">
      <c r="A809" s="14"/>
      <c r="B809" s="206"/>
      <c r="C809" s="6"/>
      <c r="D809" s="14"/>
      <c r="E809" s="185"/>
      <c r="F809" s="35"/>
      <c r="G809" s="185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 spans="1:27" ht="12.75">
      <c r="A810" s="14"/>
      <c r="B810" s="206"/>
      <c r="C810" s="6"/>
      <c r="D810" s="14"/>
      <c r="E810" s="185"/>
      <c r="F810" s="35"/>
      <c r="G810" s="185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 spans="1:27" ht="12.75">
      <c r="A811" s="14"/>
      <c r="B811" s="206"/>
      <c r="C811" s="6"/>
      <c r="D811" s="14"/>
      <c r="E811" s="185"/>
      <c r="F811" s="35"/>
      <c r="G811" s="185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 spans="1:27" ht="12.75">
      <c r="A812" s="14"/>
      <c r="B812" s="206"/>
      <c r="C812" s="6"/>
      <c r="D812" s="14"/>
      <c r="E812" s="185"/>
      <c r="F812" s="35"/>
      <c r="G812" s="185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 spans="1:27" ht="12.75">
      <c r="A813" s="14"/>
      <c r="B813" s="206"/>
      <c r="C813" s="6"/>
      <c r="D813" s="14"/>
      <c r="E813" s="185"/>
      <c r="F813" s="35"/>
      <c r="G813" s="185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 spans="1:27" ht="12.75">
      <c r="A814" s="14"/>
      <c r="B814" s="206"/>
      <c r="C814" s="6"/>
      <c r="D814" s="14"/>
      <c r="E814" s="185"/>
      <c r="F814" s="35"/>
      <c r="G814" s="185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 spans="1:27" ht="12.75">
      <c r="A815" s="14"/>
      <c r="B815" s="206"/>
      <c r="C815" s="6"/>
      <c r="D815" s="14"/>
      <c r="E815" s="185"/>
      <c r="F815" s="35"/>
      <c r="G815" s="185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 spans="1:27" ht="12.75">
      <c r="A816" s="14"/>
      <c r="B816" s="206"/>
      <c r="C816" s="6"/>
      <c r="D816" s="14"/>
      <c r="E816" s="185"/>
      <c r="F816" s="35"/>
      <c r="G816" s="185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 spans="1:27" ht="12.75">
      <c r="A817" s="14"/>
      <c r="B817" s="206"/>
      <c r="C817" s="6"/>
      <c r="D817" s="14"/>
      <c r="E817" s="185"/>
      <c r="F817" s="35"/>
      <c r="G817" s="185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 spans="1:27" ht="12.75">
      <c r="A818" s="14"/>
      <c r="B818" s="206"/>
      <c r="C818" s="6"/>
      <c r="D818" s="14"/>
      <c r="E818" s="185"/>
      <c r="F818" s="35"/>
      <c r="G818" s="185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 spans="1:27" ht="12.75">
      <c r="A819" s="14"/>
      <c r="B819" s="206"/>
      <c r="C819" s="6"/>
      <c r="D819" s="14"/>
      <c r="E819" s="185"/>
      <c r="F819" s="35"/>
      <c r="G819" s="185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 spans="1:27" ht="12.75">
      <c r="A820" s="14"/>
      <c r="B820" s="206"/>
      <c r="C820" s="6"/>
      <c r="D820" s="14"/>
      <c r="E820" s="185"/>
      <c r="F820" s="35"/>
      <c r="G820" s="185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 spans="1:27" ht="12.75">
      <c r="A821" s="14"/>
      <c r="B821" s="206"/>
      <c r="C821" s="6"/>
      <c r="D821" s="14"/>
      <c r="E821" s="185"/>
      <c r="F821" s="35"/>
      <c r="G821" s="185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 spans="1:27" ht="12.75">
      <c r="A822" s="14"/>
      <c r="B822" s="206"/>
      <c r="C822" s="6"/>
      <c r="D822" s="14"/>
      <c r="E822" s="185"/>
      <c r="F822" s="35"/>
      <c r="G822" s="185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 spans="1:27" ht="12.75">
      <c r="A823" s="14"/>
      <c r="B823" s="206"/>
      <c r="C823" s="6"/>
      <c r="D823" s="14"/>
      <c r="E823" s="185"/>
      <c r="F823" s="35"/>
      <c r="G823" s="185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 spans="1:27" ht="12.75">
      <c r="A824" s="14"/>
      <c r="B824" s="206"/>
      <c r="C824" s="6"/>
      <c r="D824" s="14"/>
      <c r="E824" s="185"/>
      <c r="F824" s="35"/>
      <c r="G824" s="185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 spans="1:27" ht="12.75">
      <c r="A825" s="14"/>
      <c r="B825" s="206"/>
      <c r="C825" s="6"/>
      <c r="D825" s="14"/>
      <c r="E825" s="185"/>
      <c r="F825" s="35"/>
      <c r="G825" s="185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 spans="1:27" ht="12.75">
      <c r="A826" s="14"/>
      <c r="B826" s="206"/>
      <c r="C826" s="6"/>
      <c r="D826" s="14"/>
      <c r="E826" s="185"/>
      <c r="F826" s="35"/>
      <c r="G826" s="185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 spans="1:27" ht="12.75">
      <c r="A827" s="14"/>
      <c r="B827" s="206"/>
      <c r="C827" s="6"/>
      <c r="D827" s="14"/>
      <c r="E827" s="185"/>
      <c r="F827" s="35"/>
      <c r="G827" s="185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 spans="1:27" ht="12.75">
      <c r="A828" s="14"/>
      <c r="B828" s="206"/>
      <c r="C828" s="6"/>
      <c r="D828" s="14"/>
      <c r="E828" s="185"/>
      <c r="F828" s="35"/>
      <c r="G828" s="185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 spans="1:27" ht="12.75">
      <c r="A829" s="14"/>
      <c r="B829" s="206"/>
      <c r="C829" s="6"/>
      <c r="D829" s="14"/>
      <c r="E829" s="185"/>
      <c r="F829" s="35"/>
      <c r="G829" s="185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 spans="1:27" ht="12.75">
      <c r="A830" s="14"/>
      <c r="B830" s="206"/>
      <c r="C830" s="6"/>
      <c r="D830" s="14"/>
      <c r="E830" s="185"/>
      <c r="F830" s="35"/>
      <c r="G830" s="185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 spans="1:27" ht="12.75">
      <c r="A831" s="14"/>
      <c r="B831" s="206"/>
      <c r="C831" s="6"/>
      <c r="D831" s="14"/>
      <c r="E831" s="185"/>
      <c r="F831" s="35"/>
      <c r="G831" s="185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 spans="1:27" ht="12.75">
      <c r="A832" s="14"/>
      <c r="B832" s="206"/>
      <c r="C832" s="6"/>
      <c r="D832" s="14"/>
      <c r="E832" s="185"/>
      <c r="F832" s="35"/>
      <c r="G832" s="185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 spans="1:27" ht="12.75">
      <c r="A833" s="14"/>
      <c r="B833" s="206"/>
      <c r="C833" s="6"/>
      <c r="D833" s="14"/>
      <c r="E833" s="185"/>
      <c r="F833" s="35"/>
      <c r="G833" s="185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 spans="1:27" ht="12.75">
      <c r="A834" s="14"/>
      <c r="B834" s="206"/>
      <c r="C834" s="6"/>
      <c r="D834" s="14"/>
      <c r="E834" s="185"/>
      <c r="F834" s="35"/>
      <c r="G834" s="185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 spans="1:27" ht="12.75">
      <c r="A835" s="14"/>
      <c r="B835" s="206"/>
      <c r="C835" s="6"/>
      <c r="D835" s="14"/>
      <c r="E835" s="185"/>
      <c r="F835" s="35"/>
      <c r="G835" s="185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 spans="1:27" ht="12.75">
      <c r="A836" s="14"/>
      <c r="B836" s="206"/>
      <c r="C836" s="6"/>
      <c r="D836" s="14"/>
      <c r="E836" s="185"/>
      <c r="F836" s="35"/>
      <c r="G836" s="185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 spans="1:27" ht="12.75">
      <c r="A837" s="14"/>
      <c r="B837" s="206"/>
      <c r="C837" s="6"/>
      <c r="D837" s="14"/>
      <c r="E837" s="185"/>
      <c r="F837" s="35"/>
      <c r="G837" s="185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 spans="1:27" ht="12.75">
      <c r="A838" s="14"/>
      <c r="B838" s="206"/>
      <c r="C838" s="6"/>
      <c r="D838" s="14"/>
      <c r="E838" s="185"/>
      <c r="F838" s="35"/>
      <c r="G838" s="185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 spans="1:27" ht="12.75">
      <c r="A839" s="14"/>
      <c r="B839" s="206"/>
      <c r="C839" s="6"/>
      <c r="D839" s="14"/>
      <c r="E839" s="185"/>
      <c r="F839" s="35"/>
      <c r="G839" s="185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 spans="1:27" ht="12.75">
      <c r="A840" s="14"/>
      <c r="B840" s="206"/>
      <c r="C840" s="6"/>
      <c r="D840" s="14"/>
      <c r="E840" s="185"/>
      <c r="F840" s="35"/>
      <c r="G840" s="185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 spans="1:27" ht="12.75">
      <c r="A841" s="14"/>
      <c r="B841" s="206"/>
      <c r="C841" s="6"/>
      <c r="D841" s="14"/>
      <c r="E841" s="185"/>
      <c r="F841" s="35"/>
      <c r="G841" s="185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 spans="1:27" ht="12.75">
      <c r="A842" s="14"/>
      <c r="B842" s="206"/>
      <c r="C842" s="6"/>
      <c r="D842" s="14"/>
      <c r="E842" s="185"/>
      <c r="F842" s="35"/>
      <c r="G842" s="185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 spans="1:27" ht="12.75">
      <c r="A843" s="14"/>
      <c r="B843" s="206"/>
      <c r="C843" s="6"/>
      <c r="D843" s="14"/>
      <c r="E843" s="185"/>
      <c r="F843" s="35"/>
      <c r="G843" s="185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 spans="1:27" ht="12.75">
      <c r="A844" s="14"/>
      <c r="B844" s="206"/>
      <c r="C844" s="6"/>
      <c r="D844" s="14"/>
      <c r="E844" s="185"/>
      <c r="F844" s="35"/>
      <c r="G844" s="185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 spans="1:27" ht="12.75">
      <c r="A845" s="14"/>
      <c r="B845" s="206"/>
      <c r="C845" s="6"/>
      <c r="D845" s="14"/>
      <c r="E845" s="185"/>
      <c r="F845" s="35"/>
      <c r="G845" s="185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 spans="1:27" ht="12.75">
      <c r="A846" s="14"/>
      <c r="B846" s="206"/>
      <c r="C846" s="6"/>
      <c r="D846" s="14"/>
      <c r="E846" s="185"/>
      <c r="F846" s="35"/>
      <c r="G846" s="185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 spans="1:27" ht="12.75">
      <c r="A847" s="14"/>
      <c r="B847" s="206"/>
      <c r="C847" s="6"/>
      <c r="D847" s="14"/>
      <c r="E847" s="185"/>
      <c r="F847" s="35"/>
      <c r="G847" s="185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 spans="1:27" ht="12.75">
      <c r="A848" s="14"/>
      <c r="B848" s="206"/>
      <c r="C848" s="6"/>
      <c r="D848" s="14"/>
      <c r="E848" s="185"/>
      <c r="F848" s="35"/>
      <c r="G848" s="185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 spans="1:27" ht="12.75">
      <c r="A849" s="14"/>
      <c r="B849" s="206"/>
      <c r="C849" s="6"/>
      <c r="D849" s="14"/>
      <c r="E849" s="185"/>
      <c r="F849" s="35"/>
      <c r="G849" s="185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 spans="1:27" ht="12.75">
      <c r="A850" s="14"/>
      <c r="B850" s="206"/>
      <c r="C850" s="6"/>
      <c r="D850" s="14"/>
      <c r="E850" s="185"/>
      <c r="F850" s="35"/>
      <c r="G850" s="185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 spans="1:27" ht="12.75">
      <c r="A851" s="14"/>
      <c r="B851" s="206"/>
      <c r="C851" s="6"/>
      <c r="D851" s="14"/>
      <c r="E851" s="185"/>
      <c r="F851" s="35"/>
      <c r="G851" s="185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 spans="1:27" ht="12.75">
      <c r="A852" s="14"/>
      <c r="B852" s="206"/>
      <c r="C852" s="6"/>
      <c r="D852" s="14"/>
      <c r="E852" s="185"/>
      <c r="F852" s="35"/>
      <c r="G852" s="185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 spans="1:27" ht="12.75">
      <c r="A853" s="14"/>
      <c r="B853" s="206"/>
      <c r="C853" s="6"/>
      <c r="D853" s="14"/>
      <c r="E853" s="185"/>
      <c r="F853" s="35"/>
      <c r="G853" s="185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 spans="1:27" ht="12.75">
      <c r="A854" s="14"/>
      <c r="B854" s="206"/>
      <c r="C854" s="6"/>
      <c r="D854" s="14"/>
      <c r="E854" s="185"/>
      <c r="F854" s="35"/>
      <c r="G854" s="185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 spans="1:27" ht="12.75">
      <c r="A855" s="14"/>
      <c r="B855" s="206"/>
      <c r="C855" s="6"/>
      <c r="D855" s="14"/>
      <c r="E855" s="185"/>
      <c r="F855" s="35"/>
      <c r="G855" s="185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 spans="1:27" ht="12.75">
      <c r="A856" s="14"/>
      <c r="B856" s="206"/>
      <c r="C856" s="6"/>
      <c r="D856" s="14"/>
      <c r="E856" s="185"/>
      <c r="F856" s="35"/>
      <c r="G856" s="185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 spans="1:27" ht="12.75">
      <c r="A857" s="14"/>
      <c r="B857" s="206"/>
      <c r="C857" s="6"/>
      <c r="D857" s="14"/>
      <c r="E857" s="185"/>
      <c r="F857" s="35"/>
      <c r="G857" s="185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 spans="1:27" ht="12.75">
      <c r="A858" s="14"/>
      <c r="B858" s="206"/>
      <c r="C858" s="6"/>
      <c r="D858" s="14"/>
      <c r="E858" s="185"/>
      <c r="F858" s="35"/>
      <c r="G858" s="185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 spans="1:27" ht="12.75">
      <c r="A859" s="14"/>
      <c r="B859" s="206"/>
      <c r="C859" s="6"/>
      <c r="D859" s="14"/>
      <c r="E859" s="185"/>
      <c r="F859" s="35"/>
      <c r="G859" s="185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 spans="1:27" ht="12.75">
      <c r="A860" s="14"/>
      <c r="B860" s="206"/>
      <c r="C860" s="6"/>
      <c r="D860" s="14"/>
      <c r="E860" s="185"/>
      <c r="F860" s="35"/>
      <c r="G860" s="185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 spans="1:27" ht="12.75">
      <c r="A861" s="14"/>
      <c r="B861" s="206"/>
      <c r="C861" s="6"/>
      <c r="D861" s="14"/>
      <c r="E861" s="185"/>
      <c r="F861" s="35"/>
      <c r="G861" s="185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 spans="1:27" ht="12.75">
      <c r="A862" s="14"/>
      <c r="B862" s="206"/>
      <c r="C862" s="6"/>
      <c r="D862" s="14"/>
      <c r="E862" s="185"/>
      <c r="F862" s="35"/>
      <c r="G862" s="185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 spans="1:27" ht="12.75">
      <c r="A863" s="14"/>
      <c r="B863" s="206"/>
      <c r="C863" s="6"/>
      <c r="D863" s="14"/>
      <c r="E863" s="185"/>
      <c r="F863" s="35"/>
      <c r="G863" s="185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 spans="1:27" ht="12.75">
      <c r="A864" s="14"/>
      <c r="B864" s="206"/>
      <c r="C864" s="6"/>
      <c r="D864" s="14"/>
      <c r="E864" s="185"/>
      <c r="F864" s="35"/>
      <c r="G864" s="185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 spans="1:27" ht="12.75">
      <c r="A865" s="14"/>
      <c r="B865" s="206"/>
      <c r="C865" s="6"/>
      <c r="D865" s="14"/>
      <c r="E865" s="185"/>
      <c r="F865" s="35"/>
      <c r="G865" s="185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 spans="1:27" ht="12.75">
      <c r="A866" s="14"/>
      <c r="B866" s="206"/>
      <c r="C866" s="6"/>
      <c r="D866" s="14"/>
      <c r="E866" s="185"/>
      <c r="F866" s="35"/>
      <c r="G866" s="185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 spans="1:27" ht="12.75">
      <c r="A867" s="14"/>
      <c r="B867" s="206"/>
      <c r="C867" s="6"/>
      <c r="D867" s="14"/>
      <c r="E867" s="185"/>
      <c r="F867" s="35"/>
      <c r="G867" s="185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 spans="1:27" ht="12.75">
      <c r="A868" s="14"/>
      <c r="B868" s="206"/>
      <c r="C868" s="6"/>
      <c r="D868" s="14"/>
      <c r="E868" s="185"/>
      <c r="F868" s="35"/>
      <c r="G868" s="185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 spans="1:27" ht="12.75">
      <c r="A869" s="14"/>
      <c r="B869" s="206"/>
      <c r="C869" s="6"/>
      <c r="D869" s="14"/>
      <c r="E869" s="185"/>
      <c r="F869" s="35"/>
      <c r="G869" s="185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 spans="1:27" ht="12.75">
      <c r="A870" s="14"/>
      <c r="B870" s="206"/>
      <c r="C870" s="6"/>
      <c r="D870" s="14"/>
      <c r="E870" s="185"/>
      <c r="F870" s="35"/>
      <c r="G870" s="185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 spans="1:27" ht="12.75">
      <c r="A871" s="14"/>
      <c r="B871" s="206"/>
      <c r="C871" s="6"/>
      <c r="D871" s="14"/>
      <c r="E871" s="185"/>
      <c r="F871" s="35"/>
      <c r="G871" s="185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 spans="1:27" ht="12.75">
      <c r="A872" s="14"/>
      <c r="B872" s="206"/>
      <c r="C872" s="6"/>
      <c r="D872" s="14"/>
      <c r="E872" s="185"/>
      <c r="F872" s="35"/>
      <c r="G872" s="185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 spans="1:27" ht="12.75">
      <c r="A873" s="14"/>
      <c r="B873" s="206"/>
      <c r="C873" s="6"/>
      <c r="D873" s="14"/>
      <c r="E873" s="185"/>
      <c r="F873" s="35"/>
      <c r="G873" s="185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 spans="1:27" ht="12.75">
      <c r="A874" s="14"/>
      <c r="B874" s="206"/>
      <c r="C874" s="6"/>
      <c r="D874" s="14"/>
      <c r="E874" s="185"/>
      <c r="F874" s="35"/>
      <c r="G874" s="185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 spans="1:27" ht="12.75">
      <c r="A875" s="14"/>
      <c r="B875" s="206"/>
      <c r="C875" s="6"/>
      <c r="D875" s="14"/>
      <c r="E875" s="185"/>
      <c r="F875" s="35"/>
      <c r="G875" s="185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 spans="1:27" ht="12.75">
      <c r="A876" s="14"/>
      <c r="B876" s="206"/>
      <c r="C876" s="6"/>
      <c r="D876" s="14"/>
      <c r="E876" s="185"/>
      <c r="F876" s="35"/>
      <c r="G876" s="185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 spans="1:27" ht="12.75">
      <c r="A877" s="14"/>
      <c r="B877" s="206"/>
      <c r="C877" s="6"/>
      <c r="D877" s="14"/>
      <c r="E877" s="185"/>
      <c r="F877" s="35"/>
      <c r="G877" s="185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 spans="1:27" ht="12.75">
      <c r="A878" s="14"/>
      <c r="B878" s="206"/>
      <c r="C878" s="6"/>
      <c r="D878" s="14"/>
      <c r="E878" s="185"/>
      <c r="F878" s="35"/>
      <c r="G878" s="185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 spans="1:27" ht="12.75">
      <c r="A879" s="14"/>
      <c r="B879" s="206"/>
      <c r="C879" s="6"/>
      <c r="D879" s="14"/>
      <c r="E879" s="185"/>
      <c r="F879" s="35"/>
      <c r="G879" s="185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 spans="1:27" ht="12.75">
      <c r="A880" s="14"/>
      <c r="B880" s="206"/>
      <c r="C880" s="6"/>
      <c r="D880" s="14"/>
      <c r="E880" s="185"/>
      <c r="F880" s="35"/>
      <c r="G880" s="185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 spans="1:27" ht="12.75">
      <c r="A881" s="14"/>
      <c r="B881" s="206"/>
      <c r="C881" s="6"/>
      <c r="D881" s="14"/>
      <c r="E881" s="185"/>
      <c r="F881" s="35"/>
      <c r="G881" s="185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 spans="1:27" ht="12.75">
      <c r="A882" s="14"/>
      <c r="B882" s="206"/>
      <c r="C882" s="6"/>
      <c r="D882" s="14"/>
      <c r="E882" s="185"/>
      <c r="F882" s="35"/>
      <c r="G882" s="185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 spans="1:27" ht="12.75">
      <c r="A883" s="14"/>
      <c r="B883" s="206"/>
      <c r="C883" s="6"/>
      <c r="D883" s="14"/>
      <c r="E883" s="185"/>
      <c r="F883" s="35"/>
      <c r="G883" s="185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 spans="1:27" ht="12.75">
      <c r="A884" s="14"/>
      <c r="B884" s="206"/>
      <c r="C884" s="6"/>
      <c r="D884" s="14"/>
      <c r="E884" s="185"/>
      <c r="F884" s="35"/>
      <c r="G884" s="185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 spans="1:27" ht="12.75">
      <c r="A885" s="14"/>
      <c r="B885" s="206"/>
      <c r="C885" s="6"/>
      <c r="D885" s="14"/>
      <c r="E885" s="185"/>
      <c r="F885" s="35"/>
      <c r="G885" s="185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 spans="1:27" ht="12.75">
      <c r="A886" s="14"/>
      <c r="B886" s="206"/>
      <c r="C886" s="6"/>
      <c r="D886" s="14"/>
      <c r="E886" s="185"/>
      <c r="F886" s="35"/>
      <c r="G886" s="185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 spans="1:27" ht="12.75">
      <c r="A887" s="14"/>
      <c r="B887" s="206"/>
      <c r="C887" s="6"/>
      <c r="D887" s="14"/>
      <c r="E887" s="185"/>
      <c r="F887" s="35"/>
      <c r="G887" s="185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 spans="1:27" ht="12.75">
      <c r="A888" s="14"/>
      <c r="B888" s="206"/>
      <c r="C888" s="6"/>
      <c r="D888" s="14"/>
      <c r="E888" s="185"/>
      <c r="F888" s="35"/>
      <c r="G888" s="185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 spans="1:27" ht="12.75">
      <c r="A889" s="14"/>
      <c r="B889" s="206"/>
      <c r="C889" s="6"/>
      <c r="D889" s="14"/>
      <c r="E889" s="185"/>
      <c r="F889" s="35"/>
      <c r="G889" s="185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 spans="1:27" ht="12.75">
      <c r="A890" s="14"/>
      <c r="B890" s="206"/>
      <c r="C890" s="6"/>
      <c r="D890" s="14"/>
      <c r="E890" s="185"/>
      <c r="F890" s="35"/>
      <c r="G890" s="185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 spans="1:27" ht="12.75">
      <c r="A891" s="14"/>
      <c r="B891" s="206"/>
      <c r="C891" s="6"/>
      <c r="D891" s="14"/>
      <c r="E891" s="185"/>
      <c r="F891" s="35"/>
      <c r="G891" s="185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 spans="1:27" ht="12.75">
      <c r="A892" s="14"/>
      <c r="B892" s="206"/>
      <c r="C892" s="6"/>
      <c r="D892" s="14"/>
      <c r="E892" s="185"/>
      <c r="F892" s="35"/>
      <c r="G892" s="185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 spans="1:27" ht="12.75">
      <c r="A893" s="14"/>
      <c r="B893" s="206"/>
      <c r="C893" s="6"/>
      <c r="D893" s="14"/>
      <c r="E893" s="185"/>
      <c r="F893" s="35"/>
      <c r="G893" s="185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 spans="1:27" ht="12.75">
      <c r="A894" s="14"/>
      <c r="B894" s="206"/>
      <c r="C894" s="6"/>
      <c r="D894" s="14"/>
      <c r="E894" s="185"/>
      <c r="F894" s="35"/>
      <c r="G894" s="185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 spans="1:27" ht="12.75">
      <c r="A895" s="14"/>
      <c r="B895" s="206"/>
      <c r="C895" s="6"/>
      <c r="D895" s="14"/>
      <c r="E895" s="185"/>
      <c r="F895" s="35"/>
      <c r="G895" s="185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 spans="1:27" ht="12.75">
      <c r="A896" s="14"/>
      <c r="B896" s="206"/>
      <c r="C896" s="6"/>
      <c r="D896" s="14"/>
      <c r="E896" s="185"/>
      <c r="F896" s="35"/>
      <c r="G896" s="185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 spans="1:27" ht="12.75">
      <c r="A897" s="14"/>
      <c r="B897" s="206"/>
      <c r="C897" s="6"/>
      <c r="D897" s="14"/>
      <c r="E897" s="185"/>
      <c r="F897" s="35"/>
      <c r="G897" s="185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 spans="1:27" ht="12.75">
      <c r="A898" s="14"/>
      <c r="B898" s="206"/>
      <c r="C898" s="6"/>
      <c r="D898" s="14"/>
      <c r="E898" s="185"/>
      <c r="F898" s="35"/>
      <c r="G898" s="185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 spans="1:27" ht="12.75">
      <c r="A899" s="14"/>
      <c r="B899" s="206"/>
      <c r="C899" s="6"/>
      <c r="D899" s="14"/>
      <c r="E899" s="185"/>
      <c r="F899" s="35"/>
      <c r="G899" s="185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 spans="1:27" ht="12.75">
      <c r="A900" s="14"/>
      <c r="B900" s="206"/>
      <c r="C900" s="6"/>
      <c r="D900" s="14"/>
      <c r="E900" s="185"/>
      <c r="F900" s="35"/>
      <c r="G900" s="185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 spans="1:27" ht="12.75">
      <c r="A901" s="14"/>
      <c r="B901" s="206"/>
      <c r="C901" s="6"/>
      <c r="D901" s="14"/>
      <c r="E901" s="185"/>
      <c r="F901" s="35"/>
      <c r="G901" s="185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 spans="1:27" ht="12.75">
      <c r="A902" s="14"/>
      <c r="B902" s="206"/>
      <c r="C902" s="6"/>
      <c r="D902" s="14"/>
      <c r="E902" s="185"/>
      <c r="F902" s="35"/>
      <c r="G902" s="185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 spans="1:27" ht="12.75">
      <c r="A903" s="14"/>
      <c r="B903" s="206"/>
      <c r="C903" s="6"/>
      <c r="D903" s="14"/>
      <c r="E903" s="185"/>
      <c r="F903" s="35"/>
      <c r="G903" s="185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 spans="1:27" ht="12.75">
      <c r="A904" s="14"/>
      <c r="B904" s="206"/>
      <c r="C904" s="6"/>
      <c r="D904" s="14"/>
      <c r="E904" s="185"/>
      <c r="F904" s="35"/>
      <c r="G904" s="185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 spans="1:27" ht="12.75">
      <c r="A905" s="14"/>
      <c r="B905" s="206"/>
      <c r="C905" s="6"/>
      <c r="D905" s="14"/>
      <c r="E905" s="185"/>
      <c r="F905" s="35"/>
      <c r="G905" s="185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 spans="1:27" ht="12.75">
      <c r="A906" s="14"/>
      <c r="B906" s="206"/>
      <c r="C906" s="6"/>
      <c r="D906" s="14"/>
      <c r="E906" s="185"/>
      <c r="F906" s="35"/>
      <c r="G906" s="185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 spans="1:27" ht="12.75">
      <c r="A907" s="14"/>
      <c r="B907" s="206"/>
      <c r="C907" s="6"/>
      <c r="D907" s="14"/>
      <c r="E907" s="185"/>
      <c r="F907" s="35"/>
      <c r="G907" s="185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 spans="1:27" ht="12.75">
      <c r="A908" s="14"/>
      <c r="B908" s="206"/>
      <c r="C908" s="6"/>
      <c r="D908" s="14"/>
      <c r="E908" s="185"/>
      <c r="F908" s="35"/>
      <c r="G908" s="185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 spans="1:27" ht="12.75">
      <c r="A909" s="14"/>
      <c r="B909" s="206"/>
      <c r="C909" s="6"/>
      <c r="D909" s="14"/>
      <c r="E909" s="185"/>
      <c r="F909" s="35"/>
      <c r="G909" s="185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 spans="1:27" ht="12.75">
      <c r="A910" s="14"/>
      <c r="B910" s="206"/>
      <c r="C910" s="6"/>
      <c r="D910" s="14"/>
      <c r="E910" s="185"/>
      <c r="F910" s="35"/>
      <c r="G910" s="185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 spans="1:27" ht="12.75">
      <c r="A911" s="14"/>
      <c r="B911" s="206"/>
      <c r="C911" s="6"/>
      <c r="D911" s="14"/>
      <c r="E911" s="185"/>
      <c r="F911" s="35"/>
      <c r="G911" s="185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 spans="1:27" ht="12.75">
      <c r="A912" s="14"/>
      <c r="B912" s="206"/>
      <c r="C912" s="6"/>
      <c r="D912" s="14"/>
      <c r="E912" s="185"/>
      <c r="F912" s="35"/>
      <c r="G912" s="185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 spans="1:27" ht="12.75">
      <c r="A913" s="14"/>
      <c r="B913" s="206"/>
      <c r="C913" s="6"/>
      <c r="D913" s="14"/>
      <c r="E913" s="185"/>
      <c r="F913" s="35"/>
      <c r="G913" s="185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 spans="1:27" ht="12.75">
      <c r="A914" s="14"/>
      <c r="B914" s="206"/>
      <c r="C914" s="6"/>
      <c r="D914" s="14"/>
      <c r="E914" s="185"/>
      <c r="F914" s="35"/>
      <c r="G914" s="185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 spans="1:27" ht="12.75">
      <c r="A915" s="14"/>
      <c r="B915" s="206"/>
      <c r="C915" s="6"/>
      <c r="D915" s="14"/>
      <c r="E915" s="185"/>
      <c r="F915" s="35"/>
      <c r="G915" s="185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 spans="1:27" ht="12.75">
      <c r="A916" s="14"/>
      <c r="B916" s="206"/>
      <c r="C916" s="6"/>
      <c r="D916" s="14"/>
      <c r="E916" s="185"/>
      <c r="F916" s="35"/>
      <c r="G916" s="185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 spans="1:27" ht="12.75">
      <c r="A917" s="14"/>
      <c r="B917" s="206"/>
      <c r="C917" s="6"/>
      <c r="D917" s="14"/>
      <c r="E917" s="185"/>
      <c r="F917" s="35"/>
      <c r="G917" s="185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 spans="1:27" ht="12.75">
      <c r="A918" s="14"/>
      <c r="B918" s="206"/>
      <c r="C918" s="6"/>
      <c r="D918" s="14"/>
      <c r="E918" s="185"/>
      <c r="F918" s="35"/>
      <c r="G918" s="185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 spans="1:27" ht="12.75">
      <c r="A919" s="14"/>
      <c r="B919" s="206"/>
      <c r="C919" s="6"/>
      <c r="D919" s="14"/>
      <c r="E919" s="185"/>
      <c r="F919" s="35"/>
      <c r="G919" s="185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 spans="1:27" ht="12.75">
      <c r="A920" s="14"/>
      <c r="B920" s="206"/>
      <c r="C920" s="6"/>
      <c r="D920" s="14"/>
      <c r="E920" s="185"/>
      <c r="F920" s="35"/>
      <c r="G920" s="185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 spans="1:27" ht="12.75">
      <c r="A921" s="14"/>
      <c r="B921" s="206"/>
      <c r="C921" s="6"/>
      <c r="D921" s="14"/>
      <c r="E921" s="185"/>
      <c r="F921" s="35"/>
      <c r="G921" s="185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 spans="1:27" ht="12.75">
      <c r="A922" s="14"/>
      <c r="B922" s="206"/>
      <c r="C922" s="6"/>
      <c r="D922" s="14"/>
      <c r="E922" s="185"/>
      <c r="F922" s="35"/>
      <c r="G922" s="185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 spans="1:27" ht="12.75">
      <c r="A923" s="14"/>
      <c r="B923" s="206"/>
      <c r="C923" s="6"/>
      <c r="D923" s="14"/>
      <c r="E923" s="185"/>
      <c r="F923" s="35"/>
      <c r="G923" s="185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 spans="1:27" ht="12.75">
      <c r="A924" s="14"/>
      <c r="B924" s="206"/>
      <c r="C924" s="6"/>
      <c r="D924" s="14"/>
      <c r="E924" s="185"/>
      <c r="F924" s="35"/>
      <c r="G924" s="185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 spans="1:27" ht="12.75">
      <c r="A925" s="14"/>
      <c r="B925" s="206"/>
      <c r="C925" s="6"/>
      <c r="D925" s="14"/>
      <c r="E925" s="185"/>
      <c r="F925" s="35"/>
      <c r="G925" s="185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 spans="1:27" ht="12.75">
      <c r="A926" s="14"/>
      <c r="B926" s="206"/>
      <c r="C926" s="6"/>
      <c r="D926" s="14"/>
      <c r="E926" s="185"/>
      <c r="F926" s="35"/>
      <c r="G926" s="185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 spans="1:27" ht="12.75">
      <c r="A927" s="14"/>
      <c r="B927" s="206"/>
      <c r="C927" s="6"/>
      <c r="D927" s="14"/>
      <c r="E927" s="185"/>
      <c r="F927" s="35"/>
      <c r="G927" s="185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 spans="1:27" ht="12.75">
      <c r="A928" s="14"/>
      <c r="B928" s="206"/>
      <c r="C928" s="6"/>
      <c r="D928" s="14"/>
      <c r="E928" s="185"/>
      <c r="F928" s="35"/>
      <c r="G928" s="185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 spans="1:27" ht="12.75">
      <c r="A929" s="14"/>
      <c r="B929" s="206"/>
      <c r="C929" s="6"/>
      <c r="D929" s="14"/>
      <c r="E929" s="185"/>
      <c r="F929" s="35"/>
      <c r="G929" s="185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 spans="1:27" ht="12.75">
      <c r="A930" s="14"/>
      <c r="B930" s="206"/>
      <c r="C930" s="6"/>
      <c r="D930" s="14"/>
      <c r="E930" s="185"/>
      <c r="F930" s="35"/>
      <c r="G930" s="185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 spans="1:27" ht="12.75">
      <c r="A931" s="14"/>
      <c r="B931" s="206"/>
      <c r="C931" s="6"/>
      <c r="D931" s="14"/>
      <c r="E931" s="185"/>
      <c r="F931" s="35"/>
      <c r="G931" s="185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 spans="1:27" ht="12.75">
      <c r="A932" s="14"/>
      <c r="B932" s="206"/>
      <c r="C932" s="6"/>
      <c r="D932" s="14"/>
      <c r="E932" s="185"/>
      <c r="F932" s="35"/>
      <c r="G932" s="185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 spans="1:27" ht="12.75">
      <c r="A933" s="14"/>
      <c r="B933" s="206"/>
      <c r="C933" s="6"/>
      <c r="D933" s="14"/>
      <c r="E933" s="185"/>
      <c r="F933" s="35"/>
      <c r="G933" s="185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 spans="1:27" ht="12.75">
      <c r="A934" s="14"/>
      <c r="B934" s="206"/>
      <c r="C934" s="6"/>
      <c r="D934" s="14"/>
      <c r="E934" s="185"/>
      <c r="F934" s="35"/>
      <c r="G934" s="185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 spans="1:27" ht="12.75">
      <c r="A935" s="14"/>
      <c r="B935" s="206"/>
      <c r="C935" s="6"/>
      <c r="D935" s="14"/>
      <c r="E935" s="185"/>
      <c r="F935" s="35"/>
      <c r="G935" s="185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 spans="1:27" ht="12.75">
      <c r="A936" s="14"/>
      <c r="B936" s="206"/>
      <c r="C936" s="6"/>
      <c r="D936" s="14"/>
      <c r="E936" s="185"/>
      <c r="F936" s="35"/>
      <c r="G936" s="185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 spans="1:27" ht="12.75">
      <c r="A937" s="14"/>
      <c r="B937" s="206"/>
      <c r="C937" s="6"/>
      <c r="D937" s="14"/>
      <c r="E937" s="185"/>
      <c r="F937" s="35"/>
      <c r="G937" s="185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 spans="1:27" ht="12.75">
      <c r="A938" s="14"/>
      <c r="B938" s="206"/>
      <c r="C938" s="6"/>
      <c r="D938" s="14"/>
      <c r="E938" s="185"/>
      <c r="F938" s="35"/>
      <c r="G938" s="185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 spans="1:27" ht="12.75">
      <c r="A939" s="14"/>
      <c r="B939" s="206"/>
      <c r="C939" s="6"/>
      <c r="D939" s="14"/>
      <c r="E939" s="185"/>
      <c r="F939" s="35"/>
      <c r="G939" s="185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 spans="1:27" ht="12.75">
      <c r="A940" s="14"/>
      <c r="B940" s="206"/>
      <c r="C940" s="6"/>
      <c r="D940" s="14"/>
      <c r="E940" s="185"/>
      <c r="F940" s="35"/>
      <c r="G940" s="185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 spans="1:27" ht="12.75">
      <c r="A941" s="14"/>
      <c r="B941" s="206"/>
      <c r="C941" s="6"/>
      <c r="D941" s="14"/>
      <c r="E941" s="185"/>
      <c r="F941" s="35"/>
      <c r="G941" s="185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 spans="1:27" ht="12.75">
      <c r="A942" s="14"/>
      <c r="B942" s="206"/>
      <c r="C942" s="6"/>
      <c r="D942" s="14"/>
      <c r="E942" s="185"/>
      <c r="F942" s="35"/>
      <c r="G942" s="185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 spans="1:27" ht="12.75">
      <c r="A943" s="14"/>
      <c r="B943" s="206"/>
      <c r="C943" s="6"/>
      <c r="D943" s="14"/>
      <c r="E943" s="185"/>
      <c r="F943" s="35"/>
      <c r="G943" s="185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 spans="1:27" ht="12.75">
      <c r="A944" s="14"/>
      <c r="B944" s="206"/>
      <c r="C944" s="6"/>
      <c r="D944" s="14"/>
      <c r="E944" s="185"/>
      <c r="F944" s="35"/>
      <c r="G944" s="185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 spans="1:27" ht="12.75">
      <c r="A945" s="14"/>
      <c r="B945" s="206"/>
      <c r="C945" s="6"/>
      <c r="D945" s="14"/>
      <c r="E945" s="185"/>
      <c r="F945" s="35"/>
      <c r="G945" s="185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 spans="1:27" ht="12.75">
      <c r="A946" s="14"/>
      <c r="B946" s="206"/>
      <c r="C946" s="6"/>
      <c r="D946" s="14"/>
      <c r="E946" s="185"/>
      <c r="F946" s="35"/>
      <c r="G946" s="185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 spans="1:27" ht="12.75">
      <c r="A947" s="14"/>
      <c r="B947" s="206"/>
      <c r="C947" s="6"/>
      <c r="D947" s="14"/>
      <c r="E947" s="185"/>
      <c r="F947" s="35"/>
      <c r="G947" s="185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 spans="1:27" ht="12.75">
      <c r="A948" s="14"/>
      <c r="B948" s="206"/>
      <c r="C948" s="6"/>
      <c r="D948" s="14"/>
      <c r="E948" s="185"/>
      <c r="F948" s="35"/>
      <c r="G948" s="185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 spans="1:27" ht="12.75">
      <c r="A949" s="14"/>
      <c r="B949" s="206"/>
      <c r="C949" s="6"/>
      <c r="D949" s="14"/>
      <c r="E949" s="185"/>
      <c r="F949" s="35"/>
      <c r="G949" s="185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 spans="1:27" ht="12.75">
      <c r="A950" s="14"/>
      <c r="B950" s="206"/>
      <c r="C950" s="6"/>
      <c r="D950" s="14"/>
      <c r="E950" s="185"/>
      <c r="F950" s="35"/>
      <c r="G950" s="185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 spans="1:27" ht="12.75">
      <c r="A951" s="14"/>
      <c r="B951" s="206"/>
      <c r="C951" s="6"/>
      <c r="D951" s="14"/>
      <c r="E951" s="185"/>
      <c r="F951" s="35"/>
      <c r="G951" s="185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 spans="1:27" ht="12.75">
      <c r="A952" s="14"/>
      <c r="B952" s="206"/>
      <c r="C952" s="6"/>
      <c r="D952" s="14"/>
      <c r="E952" s="185"/>
      <c r="F952" s="35"/>
      <c r="G952" s="185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 spans="1:27" ht="12.75">
      <c r="A953" s="14"/>
      <c r="B953" s="206"/>
      <c r="C953" s="6"/>
      <c r="D953" s="14"/>
      <c r="E953" s="185"/>
      <c r="F953" s="35"/>
      <c r="G953" s="185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 spans="1:27" ht="12.75">
      <c r="A954" s="14"/>
      <c r="B954" s="206"/>
      <c r="C954" s="6"/>
      <c r="D954" s="14"/>
      <c r="E954" s="185"/>
      <c r="F954" s="35"/>
      <c r="G954" s="185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 spans="1:27" ht="12.75">
      <c r="A955" s="14"/>
      <c r="B955" s="206"/>
      <c r="C955" s="6"/>
      <c r="D955" s="14"/>
      <c r="E955" s="185"/>
      <c r="F955" s="35"/>
      <c r="G955" s="185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 spans="1:27" ht="12.75">
      <c r="A956" s="14"/>
      <c r="B956" s="206"/>
      <c r="C956" s="6"/>
      <c r="D956" s="14"/>
      <c r="E956" s="185"/>
      <c r="F956" s="35"/>
      <c r="G956" s="185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 spans="1:27" ht="12.75">
      <c r="A957" s="14"/>
      <c r="B957" s="206"/>
      <c r="C957" s="6"/>
      <c r="D957" s="14"/>
      <c r="E957" s="185"/>
      <c r="F957" s="35"/>
      <c r="G957" s="185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 spans="1:27" ht="12.75">
      <c r="A958" s="14"/>
      <c r="B958" s="206"/>
      <c r="C958" s="6"/>
      <c r="D958" s="14"/>
      <c r="E958" s="185"/>
      <c r="F958" s="35"/>
      <c r="G958" s="185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 spans="1:27" ht="12.75">
      <c r="A959" s="14"/>
      <c r="B959" s="206"/>
      <c r="C959" s="6"/>
      <c r="D959" s="14"/>
      <c r="E959" s="185"/>
      <c r="F959" s="35"/>
      <c r="G959" s="185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 spans="1:27" ht="12.75">
      <c r="A960" s="14"/>
      <c r="B960" s="206"/>
      <c r="C960" s="6"/>
      <c r="D960" s="14"/>
      <c r="E960" s="185"/>
      <c r="F960" s="35"/>
      <c r="G960" s="185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 spans="1:27" ht="12.75">
      <c r="A961" s="14"/>
      <c r="B961" s="206"/>
      <c r="C961" s="6"/>
      <c r="D961" s="14"/>
      <c r="E961" s="185"/>
      <c r="F961" s="35"/>
      <c r="G961" s="185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 spans="1:27" ht="12.75">
      <c r="A962" s="14"/>
      <c r="B962" s="206"/>
      <c r="C962" s="6"/>
      <c r="D962" s="14"/>
      <c r="E962" s="185"/>
      <c r="F962" s="35"/>
      <c r="G962" s="185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 spans="1:27" ht="12.75">
      <c r="A963" s="14"/>
      <c r="B963" s="206"/>
      <c r="C963" s="6"/>
      <c r="D963" s="14"/>
      <c r="E963" s="185"/>
      <c r="F963" s="35"/>
      <c r="G963" s="185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 spans="1:27" ht="12.75">
      <c r="A964" s="14"/>
      <c r="B964" s="206"/>
      <c r="C964" s="6"/>
      <c r="D964" s="14"/>
      <c r="E964" s="185"/>
      <c r="F964" s="35"/>
      <c r="G964" s="185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 spans="1:27" ht="12.75">
      <c r="A965" s="14"/>
      <c r="B965" s="206"/>
      <c r="C965" s="6"/>
      <c r="D965" s="14"/>
      <c r="E965" s="185"/>
      <c r="F965" s="35"/>
      <c r="G965" s="185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 spans="1:27" ht="12.75">
      <c r="A966" s="14"/>
      <c r="B966" s="206"/>
      <c r="C966" s="6"/>
      <c r="D966" s="14"/>
      <c r="E966" s="185"/>
      <c r="F966" s="35"/>
      <c r="G966" s="185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 spans="1:27" ht="12.75">
      <c r="A967" s="14"/>
      <c r="B967" s="206"/>
      <c r="C967" s="6"/>
      <c r="D967" s="14"/>
      <c r="E967" s="185"/>
      <c r="F967" s="35"/>
      <c r="G967" s="185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 spans="1:27" ht="12.75">
      <c r="A968" s="14"/>
      <c r="B968" s="206"/>
      <c r="C968" s="6"/>
      <c r="D968" s="14"/>
      <c r="E968" s="185"/>
      <c r="F968" s="35"/>
      <c r="G968" s="185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 spans="1:27" ht="12.75">
      <c r="A969" s="14"/>
      <c r="B969" s="206"/>
      <c r="C969" s="6"/>
      <c r="D969" s="14"/>
      <c r="E969" s="185"/>
      <c r="F969" s="35"/>
      <c r="G969" s="185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 spans="1:27" ht="12.75">
      <c r="A970" s="14"/>
      <c r="B970" s="206"/>
      <c r="C970" s="6"/>
      <c r="D970" s="14"/>
      <c r="E970" s="185"/>
      <c r="F970" s="35"/>
      <c r="G970" s="185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 spans="1:27" ht="12.75">
      <c r="A971" s="14"/>
      <c r="B971" s="206"/>
      <c r="C971" s="6"/>
      <c r="D971" s="14"/>
      <c r="E971" s="185"/>
      <c r="F971" s="35"/>
      <c r="G971" s="185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 spans="1:27" ht="12.75">
      <c r="A972" s="14"/>
      <c r="B972" s="206"/>
      <c r="C972" s="6"/>
      <c r="D972" s="14"/>
      <c r="E972" s="185"/>
      <c r="F972" s="35"/>
      <c r="G972" s="185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 spans="1:27" ht="12.75">
      <c r="A973" s="14"/>
      <c r="B973" s="206"/>
      <c r="C973" s="6"/>
      <c r="D973" s="14"/>
      <c r="E973" s="185"/>
      <c r="F973" s="35"/>
      <c r="G973" s="185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 spans="1:27" ht="12.75">
      <c r="A974" s="14"/>
      <c r="B974" s="206"/>
      <c r="C974" s="6"/>
      <c r="D974" s="14"/>
      <c r="E974" s="185"/>
      <c r="F974" s="35"/>
      <c r="G974" s="185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 spans="1:27" ht="12.75">
      <c r="A975" s="14"/>
      <c r="B975" s="206"/>
      <c r="C975" s="6"/>
      <c r="D975" s="14"/>
      <c r="E975" s="185"/>
      <c r="F975" s="35"/>
      <c r="G975" s="185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 spans="1:27" ht="12.75">
      <c r="A976" s="14"/>
      <c r="B976" s="206"/>
      <c r="C976" s="6"/>
      <c r="D976" s="14"/>
      <c r="E976" s="185"/>
      <c r="F976" s="35"/>
      <c r="G976" s="185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 spans="1:27" ht="12.75">
      <c r="A977" s="14"/>
      <c r="B977" s="206"/>
      <c r="C977" s="6"/>
      <c r="D977" s="14"/>
      <c r="E977" s="185"/>
      <c r="F977" s="35"/>
      <c r="G977" s="185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 spans="1:27" ht="12.75">
      <c r="A978" s="14"/>
      <c r="B978" s="206"/>
      <c r="C978" s="6"/>
      <c r="D978" s="14"/>
      <c r="E978" s="185"/>
      <c r="F978" s="35"/>
      <c r="G978" s="185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 spans="1:27" ht="12.75">
      <c r="A979" s="14"/>
      <c r="B979" s="206"/>
      <c r="C979" s="6"/>
      <c r="D979" s="14"/>
      <c r="E979" s="185"/>
      <c r="F979" s="35"/>
      <c r="G979" s="185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 spans="1:27" ht="12.75">
      <c r="A980" s="14"/>
      <c r="B980" s="206"/>
      <c r="C980" s="6"/>
      <c r="D980" s="14"/>
      <c r="E980" s="185"/>
      <c r="F980" s="35"/>
      <c r="G980" s="185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 spans="1:27" ht="12.75">
      <c r="A981" s="14"/>
      <c r="B981" s="206"/>
      <c r="C981" s="6"/>
      <c r="D981" s="14"/>
      <c r="E981" s="185"/>
      <c r="F981" s="35"/>
      <c r="G981" s="185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 spans="1:27" ht="12.75">
      <c r="A982" s="14"/>
      <c r="B982" s="206"/>
      <c r="C982" s="6"/>
      <c r="D982" s="14"/>
      <c r="E982" s="185"/>
      <c r="F982" s="35"/>
      <c r="G982" s="185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 spans="1:27" ht="12.75">
      <c r="A983" s="14"/>
      <c r="B983" s="206"/>
      <c r="C983" s="6"/>
      <c r="D983" s="14"/>
      <c r="E983" s="185"/>
      <c r="F983" s="35"/>
      <c r="G983" s="185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 spans="1:27" ht="12.75">
      <c r="A984" s="14"/>
      <c r="B984" s="206"/>
      <c r="C984" s="6"/>
      <c r="D984" s="14"/>
      <c r="E984" s="185"/>
      <c r="F984" s="35"/>
      <c r="G984" s="185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 spans="1:27" ht="12.75">
      <c r="A985" s="14"/>
      <c r="B985" s="206"/>
      <c r="C985" s="6"/>
      <c r="D985" s="14"/>
      <c r="E985" s="185"/>
      <c r="F985" s="35"/>
      <c r="G985" s="185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 spans="1:27" ht="12.75">
      <c r="A986" s="14"/>
      <c r="B986" s="206"/>
      <c r="C986" s="6"/>
      <c r="D986" s="14"/>
      <c r="E986" s="185"/>
      <c r="F986" s="35"/>
      <c r="G986" s="185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 spans="1:27" ht="12.75">
      <c r="A987" s="14"/>
      <c r="B987" s="206"/>
      <c r="C987" s="6"/>
      <c r="D987" s="14"/>
      <c r="E987" s="185"/>
      <c r="F987" s="35"/>
      <c r="G987" s="185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 spans="1:27" ht="12.75">
      <c r="A988" s="14"/>
      <c r="B988" s="206"/>
      <c r="C988" s="6"/>
      <c r="D988" s="14"/>
      <c r="E988" s="185"/>
      <c r="F988" s="35"/>
      <c r="G988" s="185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 spans="1:27" ht="12.75">
      <c r="A989" s="14"/>
      <c r="B989" s="206"/>
      <c r="C989" s="6"/>
      <c r="D989" s="14"/>
      <c r="E989" s="185"/>
      <c r="F989" s="35"/>
      <c r="G989" s="185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 spans="1:27" ht="12.75">
      <c r="A990" s="14"/>
      <c r="B990" s="206"/>
      <c r="C990" s="6"/>
      <c r="D990" s="14"/>
      <c r="E990" s="185"/>
      <c r="F990" s="35"/>
      <c r="G990" s="185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 spans="1:27" ht="12.75">
      <c r="A991" s="14"/>
      <c r="B991" s="206"/>
      <c r="C991" s="6"/>
      <c r="D991" s="14"/>
      <c r="E991" s="185"/>
      <c r="F991" s="35"/>
      <c r="G991" s="185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 spans="1:27" ht="12.75">
      <c r="A992" s="14"/>
      <c r="B992" s="206"/>
      <c r="C992" s="6"/>
      <c r="D992" s="14"/>
      <c r="E992" s="185"/>
      <c r="F992" s="35"/>
      <c r="G992" s="185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 spans="1:27" ht="12.75">
      <c r="A993" s="14"/>
      <c r="B993" s="206"/>
      <c r="C993" s="6"/>
      <c r="D993" s="14"/>
      <c r="E993" s="185"/>
      <c r="F993" s="35"/>
      <c r="G993" s="185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 spans="1:27" ht="12.75">
      <c r="A994" s="14"/>
      <c r="B994" s="206"/>
      <c r="C994" s="6"/>
      <c r="D994" s="14"/>
      <c r="E994" s="185"/>
      <c r="F994" s="35"/>
      <c r="G994" s="185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 spans="1:27" ht="12.75">
      <c r="A995" s="14"/>
      <c r="B995" s="206"/>
      <c r="C995" s="6"/>
      <c r="D995" s="14"/>
      <c r="E995" s="185"/>
      <c r="F995" s="35"/>
      <c r="G995" s="185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 spans="1:27" ht="12.75">
      <c r="A996" s="14"/>
      <c r="B996" s="206"/>
      <c r="C996" s="6"/>
      <c r="D996" s="14"/>
      <c r="E996" s="185"/>
      <c r="F996" s="35"/>
      <c r="G996" s="185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 spans="1:27" ht="12.75">
      <c r="A997" s="14"/>
      <c r="B997" s="206"/>
      <c r="C997" s="6"/>
      <c r="D997" s="14"/>
      <c r="E997" s="185"/>
      <c r="F997" s="35"/>
      <c r="G997" s="185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 spans="1:27" ht="12.75">
      <c r="A998" s="14"/>
      <c r="B998" s="206"/>
      <c r="C998" s="6"/>
      <c r="D998" s="14"/>
      <c r="E998" s="185"/>
      <c r="F998" s="35"/>
      <c r="G998" s="185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 spans="1:27" ht="12.75">
      <c r="A999" s="14"/>
      <c r="B999" s="206"/>
      <c r="C999" s="6"/>
      <c r="D999" s="14"/>
      <c r="E999" s="185"/>
      <c r="F999" s="35"/>
      <c r="G999" s="185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  <row r="1000" spans="1:27" ht="12.75">
      <c r="A1000" s="14"/>
      <c r="B1000" s="206"/>
      <c r="C1000" s="6"/>
      <c r="D1000" s="14"/>
      <c r="E1000" s="185"/>
      <c r="F1000" s="35"/>
      <c r="G1000" s="185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  <row r="1001" spans="1:27" ht="12.75">
      <c r="A1001" s="14"/>
      <c r="B1001" s="206"/>
      <c r="C1001" s="6"/>
      <c r="D1001" s="14"/>
      <c r="E1001" s="185"/>
      <c r="F1001" s="35"/>
      <c r="G1001" s="185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</row>
    <row r="1002" spans="1:27" ht="12.75">
      <c r="A1002" s="14"/>
      <c r="B1002" s="206"/>
      <c r="C1002" s="6"/>
      <c r="D1002" s="14"/>
      <c r="E1002" s="185"/>
      <c r="F1002" s="35"/>
      <c r="G1002" s="185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</row>
    <row r="1003" spans="1:27" ht="12.75">
      <c r="A1003" s="14"/>
      <c r="B1003" s="206"/>
      <c r="C1003" s="6"/>
      <c r="D1003" s="14"/>
      <c r="E1003" s="185"/>
      <c r="F1003" s="35"/>
      <c r="G1003" s="185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</row>
    <row r="1004" spans="1:27" ht="12.75">
      <c r="A1004" s="14"/>
      <c r="B1004" s="206"/>
      <c r="C1004" s="6"/>
      <c r="D1004" s="14"/>
      <c r="E1004" s="185"/>
      <c r="F1004" s="35"/>
      <c r="G1004" s="185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</row>
    <row r="1005" spans="1:27" ht="12.75">
      <c r="A1005" s="14"/>
      <c r="B1005" s="206"/>
      <c r="C1005" s="6"/>
      <c r="D1005" s="14"/>
      <c r="E1005" s="185"/>
      <c r="F1005" s="35"/>
      <c r="G1005" s="185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</row>
    <row r="1006" spans="1:27" ht="12.75">
      <c r="A1006" s="14"/>
      <c r="B1006" s="206"/>
      <c r="C1006" s="6"/>
      <c r="D1006" s="14"/>
      <c r="E1006" s="185"/>
      <c r="F1006" s="35"/>
      <c r="G1006" s="185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</row>
    <row r="1007" spans="1:27" ht="12.75">
      <c r="A1007" s="14"/>
      <c r="B1007" s="206"/>
      <c r="C1007" s="6"/>
      <c r="D1007" s="14"/>
      <c r="E1007" s="185"/>
      <c r="F1007" s="35"/>
      <c r="G1007" s="185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</row>
    <row r="1008" spans="1:27" ht="12.75">
      <c r="A1008" s="14"/>
      <c r="B1008" s="206"/>
      <c r="C1008" s="6"/>
      <c r="D1008" s="14"/>
      <c r="E1008" s="185"/>
      <c r="F1008" s="35"/>
      <c r="G1008" s="185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</row>
    <row r="1009" spans="1:27" ht="12.75">
      <c r="A1009" s="14"/>
      <c r="B1009" s="206"/>
      <c r="C1009" s="6"/>
      <c r="D1009" s="14"/>
      <c r="E1009" s="185"/>
      <c r="F1009" s="35"/>
      <c r="G1009" s="185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</row>
    <row r="1010" spans="1:27" ht="12.75">
      <c r="A1010" s="14"/>
      <c r="B1010" s="206"/>
      <c r="C1010" s="6"/>
      <c r="D1010" s="14"/>
      <c r="E1010" s="185"/>
      <c r="F1010" s="35"/>
      <c r="G1010" s="185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</row>
    <row r="1011" spans="1:27" ht="12.75">
      <c r="A1011" s="14"/>
      <c r="B1011" s="206"/>
      <c r="C1011" s="6"/>
      <c r="D1011" s="14"/>
      <c r="E1011" s="185"/>
      <c r="F1011" s="35"/>
      <c r="G1011" s="185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</row>
    <row r="1012" spans="1:27" ht="12.75">
      <c r="A1012" s="14"/>
      <c r="B1012" s="206"/>
      <c r="C1012" s="6"/>
      <c r="D1012" s="14"/>
      <c r="E1012" s="185"/>
      <c r="F1012" s="35"/>
      <c r="G1012" s="185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</row>
    <row r="1013" spans="1:27" ht="12.75">
      <c r="A1013" s="14"/>
      <c r="B1013" s="206"/>
      <c r="C1013" s="6"/>
      <c r="D1013" s="14"/>
      <c r="E1013" s="185"/>
      <c r="F1013" s="35"/>
      <c r="G1013" s="185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</row>
    <row r="1014" spans="1:27" ht="12.75">
      <c r="A1014" s="14"/>
      <c r="B1014" s="206"/>
      <c r="C1014" s="6"/>
      <c r="D1014" s="14"/>
      <c r="E1014" s="185"/>
      <c r="F1014" s="35"/>
      <c r="G1014" s="185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</row>
    <row r="1015" spans="1:27" ht="12.75">
      <c r="A1015" s="14"/>
      <c r="B1015" s="206"/>
      <c r="C1015" s="6"/>
      <c r="D1015" s="14"/>
      <c r="E1015" s="185"/>
      <c r="F1015" s="35"/>
      <c r="G1015" s="185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</row>
    <row r="1016" spans="1:27" ht="12.75">
      <c r="A1016" s="14"/>
      <c r="B1016" s="183"/>
      <c r="C1016" s="208"/>
      <c r="D1016" s="14"/>
      <c r="E1016" s="185"/>
      <c r="F1016" s="35"/>
      <c r="G1016" s="185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</row>
    <row r="1017" spans="1:27" ht="12.75">
      <c r="A1017" s="14"/>
      <c r="B1017" s="183"/>
      <c r="C1017" s="208"/>
      <c r="D1017" s="14"/>
      <c r="E1017" s="185"/>
      <c r="F1017" s="35"/>
      <c r="G1017" s="185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</row>
    <row r="1018" spans="1:27" ht="12.75">
      <c r="A1018" s="14"/>
      <c r="B1018" s="183"/>
      <c r="C1018" s="208"/>
      <c r="D1018" s="14"/>
      <c r="E1018" s="185"/>
      <c r="F1018" s="35"/>
      <c r="G1018" s="185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</row>
    <row r="1019" spans="1:27" ht="12.75">
      <c r="A1019" s="14"/>
      <c r="B1019" s="183"/>
      <c r="C1019" s="208"/>
      <c r="D1019" s="14"/>
      <c r="E1019" s="185"/>
      <c r="F1019" s="35"/>
      <c r="G1019" s="185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</row>
    <row r="1020" spans="1:27" ht="12.75">
      <c r="A1020" s="14"/>
      <c r="B1020" s="183"/>
      <c r="C1020" s="208"/>
      <c r="D1020" s="14"/>
      <c r="E1020" s="185"/>
      <c r="F1020" s="35"/>
      <c r="G1020" s="185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</row>
    <row r="1021" spans="1:27" ht="12.75">
      <c r="A1021" s="14"/>
      <c r="B1021" s="183"/>
      <c r="C1021" s="208"/>
      <c r="D1021" s="14"/>
      <c r="E1021" s="185"/>
      <c r="F1021" s="35"/>
      <c r="G1021" s="185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</row>
    <row r="1022" spans="1:27" ht="12.75">
      <c r="A1022" s="14"/>
      <c r="B1022" s="183"/>
      <c r="C1022" s="208"/>
      <c r="D1022" s="14"/>
      <c r="E1022" s="185"/>
      <c r="F1022" s="35"/>
      <c r="G1022" s="185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</row>
    <row r="1023" spans="1:27" ht="12.75">
      <c r="A1023" s="14"/>
      <c r="B1023" s="183"/>
      <c r="C1023" s="208"/>
      <c r="D1023" s="14"/>
      <c r="E1023" s="185"/>
      <c r="F1023" s="35"/>
      <c r="G1023" s="185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971"/>
  <sheetViews>
    <sheetView workbookViewId="0"/>
  </sheetViews>
  <sheetFormatPr defaultColWidth="12.5703125" defaultRowHeight="15.75" customHeight="1"/>
  <cols>
    <col min="1" max="1" width="6.28515625" customWidth="1"/>
    <col min="2" max="2" width="23.7109375" customWidth="1"/>
    <col min="5" max="5" width="23.42578125" customWidth="1"/>
  </cols>
  <sheetData>
    <row r="1" spans="1:27" ht="12.75">
      <c r="A1" s="2"/>
      <c r="B1" s="4" t="s">
        <v>1</v>
      </c>
      <c r="C1" s="6"/>
      <c r="D1" s="6"/>
      <c r="E1" s="8"/>
      <c r="F1" s="11"/>
      <c r="G1" s="8"/>
      <c r="H1" s="6"/>
      <c r="I1" s="14"/>
      <c r="J1" s="14" t="s">
        <v>4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25.5">
      <c r="A2" s="18" t="s">
        <v>5</v>
      </c>
      <c r="B2" s="20" t="s">
        <v>7</v>
      </c>
      <c r="C2" s="22" t="s">
        <v>8</v>
      </c>
      <c r="D2" s="22" t="s">
        <v>9</v>
      </c>
      <c r="E2" s="24" t="s">
        <v>10</v>
      </c>
      <c r="F2" s="26" t="s">
        <v>11</v>
      </c>
      <c r="G2" s="24" t="s">
        <v>12</v>
      </c>
      <c r="H2" s="22" t="s">
        <v>13</v>
      </c>
      <c r="I2" s="14"/>
      <c r="J2" s="14" t="s">
        <v>14</v>
      </c>
      <c r="K2" s="14" t="s">
        <v>15</v>
      </c>
      <c r="L2" s="14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12.75">
      <c r="A3" s="2">
        <v>1</v>
      </c>
      <c r="B3" s="29" t="s">
        <v>17</v>
      </c>
      <c r="C3" s="6">
        <v>7</v>
      </c>
      <c r="D3" s="6"/>
      <c r="E3" s="8" t="s">
        <v>18</v>
      </c>
      <c r="F3" s="11"/>
      <c r="G3" s="8"/>
      <c r="H3" s="6"/>
      <c r="I3" s="14"/>
      <c r="J3" s="14" t="s">
        <v>19</v>
      </c>
      <c r="K3" s="33">
        <v>310</v>
      </c>
      <c r="L3" s="35">
        <f>F24</f>
        <v>231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45.75" customHeight="1">
      <c r="A4" s="37">
        <v>2</v>
      </c>
      <c r="B4" s="42" t="s">
        <v>20</v>
      </c>
      <c r="C4" s="44"/>
      <c r="D4" s="44"/>
      <c r="E4" s="46" t="s">
        <v>18</v>
      </c>
      <c r="F4" s="48"/>
      <c r="G4" s="40"/>
      <c r="H4" s="6"/>
      <c r="I4" s="14"/>
      <c r="J4" s="14" t="s">
        <v>22</v>
      </c>
      <c r="K4" s="33">
        <v>310</v>
      </c>
      <c r="L4" s="35">
        <f>F47</f>
        <v>168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ht="12.75">
      <c r="A5" s="37">
        <v>3</v>
      </c>
      <c r="B5" s="29" t="s">
        <v>23</v>
      </c>
      <c r="C5" s="6">
        <v>10</v>
      </c>
      <c r="D5" s="6"/>
      <c r="E5" s="45" t="s">
        <v>27</v>
      </c>
      <c r="F5" s="47">
        <v>31</v>
      </c>
      <c r="G5" s="40"/>
      <c r="H5" s="49"/>
      <c r="I5" s="14"/>
      <c r="J5" s="14" t="s">
        <v>25</v>
      </c>
      <c r="K5" s="33">
        <v>31</v>
      </c>
      <c r="L5" s="33">
        <v>29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12.75">
      <c r="A6" s="2">
        <v>4</v>
      </c>
      <c r="B6" s="29" t="s">
        <v>26</v>
      </c>
      <c r="C6" s="6">
        <v>10</v>
      </c>
      <c r="D6" s="6"/>
      <c r="E6" s="45" t="s">
        <v>27</v>
      </c>
      <c r="F6" s="47">
        <v>31</v>
      </c>
      <c r="G6" s="8"/>
      <c r="H6" s="6"/>
      <c r="I6" s="14"/>
      <c r="J6" s="14" t="s">
        <v>28</v>
      </c>
      <c r="K6" s="33">
        <v>31</v>
      </c>
      <c r="L6" s="33">
        <v>29</v>
      </c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ht="12.75">
      <c r="A7" s="2">
        <v>5</v>
      </c>
      <c r="B7" s="29" t="s">
        <v>29</v>
      </c>
      <c r="C7" s="6">
        <v>10</v>
      </c>
      <c r="D7" s="6"/>
      <c r="E7" s="45" t="s">
        <v>27</v>
      </c>
      <c r="F7" s="47">
        <v>31</v>
      </c>
      <c r="G7" s="40"/>
      <c r="H7" s="6"/>
      <c r="I7" s="14"/>
      <c r="J7" s="14" t="s">
        <v>31</v>
      </c>
      <c r="K7" s="33">
        <v>31</v>
      </c>
      <c r="L7" s="33">
        <v>29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ht="12.75">
      <c r="A8" s="37">
        <v>6</v>
      </c>
      <c r="B8" s="29" t="s">
        <v>33</v>
      </c>
      <c r="C8" s="59">
        <v>7</v>
      </c>
      <c r="D8" s="6"/>
      <c r="E8" s="45" t="s">
        <v>27</v>
      </c>
      <c r="F8" s="47">
        <v>31</v>
      </c>
      <c r="G8" s="40"/>
      <c r="H8" s="6"/>
      <c r="I8" s="60"/>
      <c r="J8" s="14" t="s">
        <v>34</v>
      </c>
      <c r="K8" s="33">
        <v>31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 ht="12.75">
      <c r="A9" s="2">
        <v>7</v>
      </c>
      <c r="B9" s="29" t="s">
        <v>36</v>
      </c>
      <c r="C9" s="6">
        <v>7</v>
      </c>
      <c r="D9" s="6"/>
      <c r="E9" s="45" t="s">
        <v>27</v>
      </c>
      <c r="F9" s="47">
        <v>31</v>
      </c>
      <c r="G9" s="8"/>
      <c r="H9" s="49"/>
      <c r="I9" s="14"/>
      <c r="J9" s="14"/>
      <c r="K9" s="14">
        <f t="shared" ref="K9:L9" si="0">SUM(K2:K8)</f>
        <v>744</v>
      </c>
      <c r="L9" s="14">
        <f t="shared" si="0"/>
        <v>486</v>
      </c>
      <c r="M9" s="65">
        <f>L9/K9</f>
        <v>0.65322580645161288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 ht="12.75">
      <c r="A10" s="2">
        <v>8</v>
      </c>
      <c r="B10" s="42" t="s">
        <v>39</v>
      </c>
      <c r="C10" s="44">
        <v>7</v>
      </c>
      <c r="D10" s="44"/>
      <c r="E10" s="69" t="s">
        <v>40</v>
      </c>
      <c r="F10" s="70">
        <v>14</v>
      </c>
      <c r="G10" s="8"/>
      <c r="H10" s="6"/>
      <c r="I10" s="71"/>
      <c r="J10" s="14"/>
      <c r="K10" s="14">
        <v>1</v>
      </c>
      <c r="L10" s="72">
        <f>K10*L9/K9</f>
        <v>0.65322580645161288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 ht="12.75">
      <c r="A11" s="2">
        <v>9</v>
      </c>
      <c r="B11" s="42" t="s">
        <v>42</v>
      </c>
      <c r="C11" s="73"/>
      <c r="D11" s="44"/>
      <c r="E11" s="69" t="s">
        <v>43</v>
      </c>
      <c r="F11" s="70">
        <v>7</v>
      </c>
      <c r="G11" s="8"/>
      <c r="H11" s="6"/>
      <c r="I11" s="14"/>
      <c r="J11" s="14"/>
      <c r="K11" s="14"/>
      <c r="L11" s="72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ht="12.75">
      <c r="A12" s="2">
        <v>10</v>
      </c>
      <c r="B12" s="75" t="s">
        <v>44</v>
      </c>
      <c r="C12" s="77"/>
      <c r="D12" s="78"/>
      <c r="E12" s="80" t="s">
        <v>48</v>
      </c>
      <c r="F12" s="82">
        <v>12</v>
      </c>
      <c r="G12" s="8"/>
      <c r="H12" s="6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 ht="12.75">
      <c r="A13" s="2">
        <v>11</v>
      </c>
      <c r="B13" s="84" t="s">
        <v>50</v>
      </c>
      <c r="C13" s="86"/>
      <c r="D13" s="44"/>
      <c r="E13" s="87" t="s">
        <v>52</v>
      </c>
      <c r="F13" s="11"/>
      <c r="G13" s="8"/>
      <c r="H13" s="6"/>
      <c r="I13" s="81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ht="12.75">
      <c r="A14" s="2">
        <v>12</v>
      </c>
      <c r="B14" s="4" t="s">
        <v>55</v>
      </c>
      <c r="C14" s="59"/>
      <c r="D14" s="6"/>
      <c r="E14" s="45" t="s">
        <v>56</v>
      </c>
      <c r="F14" s="47">
        <v>15</v>
      </c>
      <c r="G14" s="8"/>
      <c r="H14" s="6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 ht="12.75">
      <c r="A15" s="37">
        <v>13</v>
      </c>
      <c r="B15" s="89" t="s">
        <v>59</v>
      </c>
      <c r="C15" s="73"/>
      <c r="D15" s="44"/>
      <c r="E15" s="69" t="s">
        <v>60</v>
      </c>
      <c r="F15" s="70">
        <v>17</v>
      </c>
      <c r="G15" s="8"/>
      <c r="H15" s="49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ht="12.75">
      <c r="A16" s="90">
        <v>14</v>
      </c>
      <c r="B16" s="89" t="s">
        <v>61</v>
      </c>
      <c r="C16" s="73"/>
      <c r="D16" s="44"/>
      <c r="E16" s="69" t="s">
        <v>62</v>
      </c>
      <c r="F16" s="70">
        <v>11</v>
      </c>
      <c r="G16" s="8"/>
      <c r="H16" s="6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ht="12.75">
      <c r="A17" s="90">
        <v>15</v>
      </c>
      <c r="B17" s="95" t="s">
        <v>64</v>
      </c>
      <c r="C17" s="77"/>
      <c r="D17" s="44"/>
      <c r="E17" s="96" t="s">
        <v>65</v>
      </c>
      <c r="F17" s="48"/>
      <c r="G17" s="8"/>
      <c r="H17" s="6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 ht="12.75">
      <c r="A18" s="90">
        <v>16</v>
      </c>
      <c r="B18" s="4" t="s">
        <v>66</v>
      </c>
      <c r="C18" s="59"/>
      <c r="D18" s="6"/>
      <c r="E18" s="45" t="s">
        <v>67</v>
      </c>
      <c r="F18" s="11"/>
      <c r="G18" s="8"/>
      <c r="H18" s="6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 ht="12.75">
      <c r="A19" s="2">
        <v>17</v>
      </c>
      <c r="B19" s="104"/>
      <c r="C19" s="92"/>
      <c r="D19" s="6"/>
      <c r="E19" s="105"/>
      <c r="F19" s="11"/>
      <c r="G19" s="8"/>
      <c r="H19" s="6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ht="12.75">
      <c r="A20" s="90">
        <v>18</v>
      </c>
      <c r="B20" s="104"/>
      <c r="C20" s="92"/>
      <c r="D20" s="6"/>
      <c r="E20" s="105"/>
      <c r="F20" s="11"/>
      <c r="G20" s="8"/>
      <c r="H20" s="6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 ht="12.75">
      <c r="A21" s="90">
        <v>19</v>
      </c>
      <c r="B21" s="54"/>
      <c r="C21" s="6"/>
      <c r="D21" s="6"/>
      <c r="E21" s="56"/>
      <c r="F21" s="58"/>
      <c r="G21" s="8"/>
      <c r="H21" s="6"/>
      <c r="I21" s="14"/>
      <c r="J21" s="14"/>
      <c r="K21" s="14"/>
      <c r="L21" s="14"/>
      <c r="M21" s="108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ht="12.75">
      <c r="A22" s="2">
        <v>20</v>
      </c>
      <c r="B22" s="54"/>
      <c r="C22" s="6"/>
      <c r="D22" s="6"/>
      <c r="E22" s="8"/>
      <c r="F22" s="11"/>
      <c r="G22" s="8"/>
      <c r="H22" s="6"/>
      <c r="I22" s="14"/>
      <c r="J22" s="14"/>
      <c r="K22" s="14"/>
      <c r="L22" s="72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ht="12.75">
      <c r="A23" s="90">
        <v>21</v>
      </c>
      <c r="B23" s="54"/>
      <c r="C23" s="6"/>
      <c r="D23" s="6"/>
      <c r="E23" s="8"/>
      <c r="F23" s="11"/>
      <c r="G23" s="8"/>
      <c r="H23" s="6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27" ht="12.75">
      <c r="A24" s="2"/>
      <c r="B24" s="29"/>
      <c r="C24" s="6">
        <f>SUM(C3:C20)</f>
        <v>58</v>
      </c>
      <c r="D24" s="6">
        <f>SUM(D3:D14)</f>
        <v>0</v>
      </c>
      <c r="E24" s="8"/>
      <c r="F24" s="11">
        <f>SUM(F3:F19)</f>
        <v>231</v>
      </c>
      <c r="G24" s="8">
        <f>SUM(G3:G16)</f>
        <v>0</v>
      </c>
      <c r="H24" s="6">
        <f>SUM(H3:H12)</f>
        <v>0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 ht="12.75">
      <c r="A25" s="114"/>
      <c r="B25" s="29"/>
      <c r="C25" s="6"/>
      <c r="D25" s="116"/>
      <c r="E25" s="118"/>
      <c r="F25" s="120"/>
      <c r="G25" s="121"/>
      <c r="H25" s="1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ht="12.75">
      <c r="A26" s="2"/>
      <c r="B26" s="4" t="s">
        <v>1</v>
      </c>
      <c r="C26" s="6"/>
      <c r="D26" s="6"/>
      <c r="E26" s="8"/>
      <c r="F26" s="11"/>
      <c r="G26" s="8"/>
      <c r="H26" s="6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 ht="25.5">
      <c r="A27" s="123" t="s">
        <v>5</v>
      </c>
      <c r="B27" s="125" t="s">
        <v>74</v>
      </c>
      <c r="C27" s="127" t="s">
        <v>8</v>
      </c>
      <c r="D27" s="127" t="s">
        <v>9</v>
      </c>
      <c r="E27" s="129" t="s">
        <v>10</v>
      </c>
      <c r="F27" s="131" t="s">
        <v>11</v>
      </c>
      <c r="G27" s="129" t="s">
        <v>12</v>
      </c>
      <c r="H27" s="127" t="s">
        <v>13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 ht="12.75">
      <c r="A28" s="2">
        <v>1</v>
      </c>
      <c r="B28" s="29" t="s">
        <v>75</v>
      </c>
      <c r="C28" s="6">
        <v>7</v>
      </c>
      <c r="D28" s="6"/>
      <c r="E28" s="8" t="s">
        <v>76</v>
      </c>
      <c r="F28" s="11"/>
      <c r="G28" s="8"/>
      <c r="H28" s="6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ht="33" customHeight="1">
      <c r="A29" s="2">
        <v>2</v>
      </c>
      <c r="B29" s="29" t="s">
        <v>20</v>
      </c>
      <c r="C29" s="6">
        <v>7</v>
      </c>
      <c r="D29" s="6"/>
      <c r="E29" s="8" t="s">
        <v>18</v>
      </c>
      <c r="F29" s="11"/>
      <c r="G29" s="8"/>
      <c r="H29" s="6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12.75">
      <c r="A30" s="2">
        <v>3</v>
      </c>
      <c r="B30" s="29" t="s">
        <v>29</v>
      </c>
      <c r="C30" s="6">
        <v>10</v>
      </c>
      <c r="D30" s="6"/>
      <c r="E30" s="45" t="s">
        <v>24</v>
      </c>
      <c r="F30" s="47">
        <v>29</v>
      </c>
      <c r="G30" s="8"/>
      <c r="H30" s="6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12.75">
      <c r="A31" s="2">
        <v>4</v>
      </c>
      <c r="B31" s="29" t="s">
        <v>26</v>
      </c>
      <c r="C31" s="6">
        <v>10</v>
      </c>
      <c r="D31" s="6"/>
      <c r="E31" s="45" t="s">
        <v>24</v>
      </c>
      <c r="F31" s="47">
        <v>29</v>
      </c>
      <c r="G31" s="8"/>
      <c r="H31" s="6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spans="1:27" ht="12.75">
      <c r="A32" s="2">
        <v>5</v>
      </c>
      <c r="B32" s="29" t="s">
        <v>33</v>
      </c>
      <c r="C32" s="59">
        <v>7</v>
      </c>
      <c r="D32" s="6"/>
      <c r="E32" s="45" t="s">
        <v>27</v>
      </c>
      <c r="F32" s="47">
        <v>31</v>
      </c>
      <c r="G32" s="8"/>
      <c r="H32" s="6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spans="1:27" ht="12.75">
      <c r="A33" s="2">
        <v>6</v>
      </c>
      <c r="B33" s="29" t="s">
        <v>36</v>
      </c>
      <c r="C33" s="6">
        <v>7</v>
      </c>
      <c r="D33" s="6"/>
      <c r="E33" s="45" t="s">
        <v>24</v>
      </c>
      <c r="F33" s="47">
        <v>29</v>
      </c>
      <c r="G33" s="40"/>
      <c r="H33" s="6"/>
      <c r="I33" s="71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1:27" ht="12.75">
      <c r="A34" s="37">
        <v>7</v>
      </c>
      <c r="B34" s="29" t="s">
        <v>39</v>
      </c>
      <c r="C34" s="6">
        <v>7</v>
      </c>
      <c r="D34" s="6"/>
      <c r="E34" s="45" t="s">
        <v>40</v>
      </c>
      <c r="F34" s="47">
        <v>14</v>
      </c>
      <c r="G34" s="8"/>
      <c r="H34" s="6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 ht="12.75">
      <c r="A35" s="2">
        <v>8</v>
      </c>
      <c r="B35" s="135" t="s">
        <v>50</v>
      </c>
      <c r="C35" s="137">
        <v>7</v>
      </c>
      <c r="D35" s="138"/>
      <c r="E35" s="140" t="s">
        <v>52</v>
      </c>
      <c r="F35" s="110"/>
      <c r="G35" s="8"/>
      <c r="H35" s="6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1:27" ht="12.75">
      <c r="A36" s="2">
        <v>9</v>
      </c>
      <c r="B36" s="95" t="s">
        <v>81</v>
      </c>
      <c r="C36" s="77"/>
      <c r="D36" s="73" t="s">
        <v>82</v>
      </c>
      <c r="E36" s="77" t="s">
        <v>83</v>
      </c>
      <c r="F36" s="70">
        <v>6</v>
      </c>
      <c r="G36" s="8"/>
      <c r="H36" s="6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1:27" ht="12.75">
      <c r="A37" s="2">
        <v>10</v>
      </c>
      <c r="B37" s="75" t="s">
        <v>44</v>
      </c>
      <c r="C37" s="77"/>
      <c r="D37" s="78"/>
      <c r="E37" s="80" t="s">
        <v>48</v>
      </c>
      <c r="F37" s="103">
        <v>12</v>
      </c>
      <c r="G37" s="8"/>
      <c r="H37" s="6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1:27" ht="12.75">
      <c r="A38" s="37">
        <v>11</v>
      </c>
      <c r="B38" s="75" t="s">
        <v>84</v>
      </c>
      <c r="C38" s="77"/>
      <c r="D38" s="145"/>
      <c r="E38" s="80" t="s">
        <v>85</v>
      </c>
      <c r="F38" s="82">
        <v>7</v>
      </c>
      <c r="G38" s="8"/>
      <c r="H38" s="6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1:27" ht="12.75">
      <c r="A39" s="2">
        <v>12</v>
      </c>
      <c r="B39" s="4" t="s">
        <v>61</v>
      </c>
      <c r="C39" s="59"/>
      <c r="D39" s="6"/>
      <c r="E39" s="45" t="s">
        <v>62</v>
      </c>
      <c r="F39" s="47">
        <v>11</v>
      </c>
      <c r="G39" s="109"/>
      <c r="H39" s="100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1:27" ht="12.75">
      <c r="A40" s="6">
        <v>13</v>
      </c>
      <c r="B40" s="95" t="s">
        <v>64</v>
      </c>
      <c r="C40" s="77"/>
      <c r="D40" s="44"/>
      <c r="E40" s="96" t="s">
        <v>65</v>
      </c>
      <c r="F40" s="146"/>
      <c r="G40" s="109"/>
      <c r="H40" s="150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1:27" ht="12.75">
      <c r="A41" s="90">
        <v>14</v>
      </c>
      <c r="B41" s="104"/>
      <c r="C41" s="92"/>
      <c r="D41" s="6"/>
      <c r="E41" s="105"/>
      <c r="F41" s="11"/>
      <c r="G41" s="8"/>
      <c r="H41" s="49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1:27" ht="12.75">
      <c r="A42" s="90">
        <v>15</v>
      </c>
      <c r="B42" s="29"/>
      <c r="C42" s="6"/>
      <c r="D42" s="6"/>
      <c r="E42" s="8"/>
      <c r="F42" s="11"/>
      <c r="G42" s="8"/>
      <c r="H42" s="6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1:27" ht="12.75">
      <c r="A43" s="2">
        <v>16</v>
      </c>
      <c r="B43" s="155"/>
      <c r="C43" s="49"/>
      <c r="D43" s="6"/>
      <c r="E43" s="8"/>
      <c r="F43" s="11"/>
      <c r="G43" s="8"/>
      <c r="H43" s="6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1:27" ht="12.75">
      <c r="A44" s="2">
        <v>17</v>
      </c>
      <c r="B44" s="29"/>
      <c r="C44" s="6"/>
      <c r="D44" s="6"/>
      <c r="E44" s="8"/>
      <c r="F44" s="11"/>
      <c r="G44" s="8"/>
      <c r="H44" s="6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27" ht="12.75">
      <c r="A45" s="2">
        <v>18</v>
      </c>
      <c r="B45" s="29"/>
      <c r="C45" s="6"/>
      <c r="D45" s="6"/>
      <c r="E45" s="8"/>
      <c r="F45" s="11"/>
      <c r="G45" s="8"/>
      <c r="H45" s="6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1:27" ht="12.75">
      <c r="A46" s="2"/>
      <c r="B46" s="29"/>
      <c r="C46" s="6"/>
      <c r="D46" s="6"/>
      <c r="E46" s="8"/>
      <c r="F46" s="11"/>
      <c r="G46" s="8"/>
      <c r="H46" s="6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1:27" ht="12.75">
      <c r="A47" s="2"/>
      <c r="B47" s="29"/>
      <c r="C47" s="6">
        <f t="shared" ref="C47:D47" si="1">SUM(C28:C45)</f>
        <v>62</v>
      </c>
      <c r="D47" s="6">
        <f t="shared" si="1"/>
        <v>0</v>
      </c>
      <c r="E47" s="8"/>
      <c r="F47" s="11">
        <f>SUM(F28:F46)</f>
        <v>168</v>
      </c>
      <c r="G47" s="8">
        <f>SUM(G28:G43)</f>
        <v>0</v>
      </c>
      <c r="H47" s="6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1:27" ht="12.75">
      <c r="A48" s="116"/>
      <c r="B48" s="29"/>
      <c r="C48" s="6"/>
      <c r="D48" s="116"/>
      <c r="E48" s="118"/>
      <c r="F48" s="120"/>
      <c r="G48" s="118"/>
      <c r="H48" s="116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1:27" ht="12.75">
      <c r="A49" s="2"/>
      <c r="B49" s="29"/>
      <c r="C49" s="6"/>
      <c r="D49" s="6"/>
      <c r="E49" s="8"/>
      <c r="F49" s="11"/>
      <c r="G49" s="8"/>
      <c r="H49" s="6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1:27" ht="12.75">
      <c r="A50" s="123"/>
      <c r="B50" s="125" t="s">
        <v>96</v>
      </c>
      <c r="C50" s="162"/>
      <c r="D50" s="162"/>
      <c r="E50" s="164"/>
      <c r="F50" s="166"/>
      <c r="G50" s="164"/>
      <c r="H50" s="162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1:27" ht="12.75">
      <c r="A51" s="2">
        <v>1</v>
      </c>
      <c r="B51" s="4" t="s">
        <v>101</v>
      </c>
      <c r="C51" s="59" t="s">
        <v>1</v>
      </c>
      <c r="D51" s="6"/>
      <c r="E51" s="8"/>
      <c r="F51" s="11"/>
      <c r="G51" s="45" t="s">
        <v>102</v>
      </c>
      <c r="H51" s="6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spans="1:27" ht="12.75">
      <c r="A52" s="116"/>
      <c r="B52" s="172"/>
      <c r="C52" s="116"/>
      <c r="D52" s="116"/>
      <c r="E52" s="118"/>
      <c r="F52" s="120"/>
      <c r="G52" s="118"/>
      <c r="H52" s="116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1:27" ht="12.75">
      <c r="A53" s="175"/>
      <c r="B53" s="177" t="s">
        <v>106</v>
      </c>
      <c r="C53" s="175"/>
      <c r="D53" s="175"/>
      <c r="E53" s="179"/>
      <c r="F53" s="180"/>
      <c r="G53" s="179"/>
      <c r="H53" s="175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spans="1:27" ht="12.75">
      <c r="A54" s="100">
        <v>1</v>
      </c>
      <c r="B54" s="181" t="s">
        <v>101</v>
      </c>
      <c r="C54" s="144" t="s">
        <v>1</v>
      </c>
      <c r="D54" s="100"/>
      <c r="E54" s="109"/>
      <c r="F54" s="110"/>
      <c r="G54" s="109" t="s">
        <v>108</v>
      </c>
      <c r="H54" s="100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1:27" ht="12.75">
      <c r="A55" s="14"/>
      <c r="B55" s="183"/>
      <c r="C55" s="14"/>
      <c r="D55" s="14"/>
      <c r="E55" s="185"/>
      <c r="F55" s="35"/>
      <c r="G55" s="185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1:27" ht="12.75">
      <c r="A56" s="189"/>
      <c r="B56" s="191" t="s">
        <v>122</v>
      </c>
      <c r="C56" s="189"/>
      <c r="D56" s="189"/>
      <c r="E56" s="193"/>
      <c r="F56" s="194" t="s">
        <v>113</v>
      </c>
      <c r="G56" s="193"/>
      <c r="H56" s="189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1:27" ht="12.75">
      <c r="A57" s="2" t="s">
        <v>114</v>
      </c>
      <c r="B57" s="4" t="s">
        <v>128</v>
      </c>
      <c r="C57" s="59" t="s">
        <v>1</v>
      </c>
      <c r="D57" s="6"/>
      <c r="E57" s="8"/>
      <c r="F57" s="47">
        <v>31</v>
      </c>
      <c r="G57" s="45">
        <v>25000</v>
      </c>
      <c r="H57" s="6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1:27" ht="12.75">
      <c r="A58" s="6" t="s">
        <v>119</v>
      </c>
      <c r="B58" s="29"/>
      <c r="C58" s="59" t="s">
        <v>1</v>
      </c>
      <c r="D58" s="6"/>
      <c r="E58" s="8"/>
      <c r="F58" s="47">
        <v>31</v>
      </c>
      <c r="G58" s="8"/>
      <c r="H58" s="6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2.75">
      <c r="A59" s="59" t="s">
        <v>132</v>
      </c>
      <c r="B59" s="29"/>
      <c r="C59" s="59" t="s">
        <v>1</v>
      </c>
      <c r="D59" s="6"/>
      <c r="E59" s="8"/>
      <c r="F59" s="47">
        <v>31</v>
      </c>
      <c r="G59" s="8"/>
      <c r="H59" s="6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1:27" ht="12.75">
      <c r="A60" s="14"/>
      <c r="B60" s="183"/>
      <c r="C60" s="14"/>
      <c r="D60" s="14"/>
      <c r="E60" s="185"/>
      <c r="F60" s="35"/>
      <c r="G60" s="185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spans="1:27" ht="12.75">
      <c r="A61" s="189"/>
      <c r="B61" s="196" t="s">
        <v>111</v>
      </c>
      <c r="C61" s="189"/>
      <c r="D61" s="189"/>
      <c r="E61" s="193"/>
      <c r="F61" s="194" t="s">
        <v>113</v>
      </c>
      <c r="G61" s="193"/>
      <c r="H61" s="189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spans="1:27" ht="12.75">
      <c r="A62" s="2" t="s">
        <v>114</v>
      </c>
      <c r="B62" s="29" t="s">
        <v>116</v>
      </c>
      <c r="C62" s="59" t="s">
        <v>1</v>
      </c>
      <c r="D62" s="6"/>
      <c r="E62" s="8"/>
      <c r="F62" s="47">
        <v>31</v>
      </c>
      <c r="G62" s="8">
        <v>7000</v>
      </c>
      <c r="H62" s="6"/>
      <c r="I62" s="33" t="s">
        <v>136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1:27" ht="12.75">
      <c r="A63" s="6" t="s">
        <v>119</v>
      </c>
      <c r="B63" s="29" t="s">
        <v>116</v>
      </c>
      <c r="C63" s="59" t="s">
        <v>1</v>
      </c>
      <c r="D63" s="6"/>
      <c r="E63" s="8"/>
      <c r="F63" s="47">
        <v>31</v>
      </c>
      <c r="G63" s="8">
        <v>6000</v>
      </c>
      <c r="H63" s="6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1:27" ht="12.75">
      <c r="A64" s="116"/>
      <c r="B64" s="172"/>
      <c r="C64" s="116"/>
      <c r="D64" s="116"/>
      <c r="E64" s="118"/>
      <c r="F64" s="120"/>
      <c r="G64" s="118"/>
      <c r="H64" s="116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1:27" ht="12.75">
      <c r="A65" s="184"/>
      <c r="B65" s="186" t="s">
        <v>123</v>
      </c>
      <c r="C65" s="187"/>
      <c r="D65" s="187"/>
      <c r="E65" s="188"/>
      <c r="F65" s="190" t="s">
        <v>113</v>
      </c>
      <c r="G65" s="188"/>
      <c r="H65" s="187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spans="1:27" ht="12.75">
      <c r="A66" s="2" t="s">
        <v>114</v>
      </c>
      <c r="B66" s="29" t="s">
        <v>125</v>
      </c>
      <c r="C66" s="59" t="s">
        <v>1</v>
      </c>
      <c r="D66" s="6" t="s">
        <v>126</v>
      </c>
      <c r="E66" s="45" t="s">
        <v>1</v>
      </c>
      <c r="F66" s="47">
        <v>31</v>
      </c>
      <c r="G66" s="45">
        <v>10000</v>
      </c>
      <c r="H66" s="6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spans="1:27" ht="12.75">
      <c r="A67" s="2" t="s">
        <v>119</v>
      </c>
      <c r="B67" s="29"/>
      <c r="C67" s="6"/>
      <c r="D67" s="6"/>
      <c r="E67" s="8"/>
      <c r="F67" s="11"/>
      <c r="G67" s="8">
        <v>7000</v>
      </c>
      <c r="H67" s="6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spans="1:27" ht="12.75">
      <c r="A68" s="14"/>
      <c r="B68" s="183"/>
      <c r="C68" s="14"/>
      <c r="D68" s="116"/>
      <c r="E68" s="118"/>
      <c r="F68" s="120"/>
      <c r="G68" s="118"/>
      <c r="H68" s="116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spans="1:27" ht="12.75">
      <c r="A69" s="14"/>
      <c r="B69" s="183"/>
      <c r="C69" s="14"/>
      <c r="D69" s="14"/>
      <c r="E69" s="185"/>
      <c r="F69" s="35"/>
      <c r="G69" s="185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spans="1:27" ht="12.75">
      <c r="A70" s="14"/>
      <c r="B70" s="183"/>
      <c r="C70" s="14"/>
      <c r="D70" s="14"/>
      <c r="E70" s="185"/>
      <c r="F70" s="35"/>
      <c r="G70" s="185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spans="1:27" ht="12.75">
      <c r="A71" s="14"/>
      <c r="B71" s="183"/>
      <c r="C71" s="14"/>
      <c r="D71" s="14"/>
      <c r="E71" s="185"/>
      <c r="F71" s="35"/>
      <c r="G71" s="185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spans="1:27" ht="12.75">
      <c r="A72" s="14"/>
      <c r="B72" s="183"/>
      <c r="C72" s="14"/>
      <c r="D72" s="14"/>
      <c r="E72" s="185"/>
      <c r="F72" s="35"/>
      <c r="G72" s="185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spans="1:27" ht="12.75">
      <c r="A73" s="14"/>
      <c r="B73" s="183"/>
      <c r="C73" s="14"/>
      <c r="D73" s="14"/>
      <c r="E73" s="185"/>
      <c r="F73" s="35"/>
      <c r="G73" s="185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spans="1:27" ht="12.75">
      <c r="A74" s="14"/>
      <c r="B74" s="183"/>
      <c r="C74" s="14"/>
      <c r="D74" s="14"/>
      <c r="E74" s="185"/>
      <c r="F74" s="35"/>
      <c r="G74" s="185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spans="1:27" ht="12.75">
      <c r="A75" s="14"/>
      <c r="B75" s="183"/>
      <c r="C75" s="14"/>
      <c r="D75" s="14"/>
      <c r="E75" s="185"/>
      <c r="F75" s="35"/>
      <c r="G75" s="185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spans="1:27" ht="12.75">
      <c r="A76" s="14"/>
      <c r="B76" s="183"/>
      <c r="C76" s="14"/>
      <c r="D76" s="14"/>
      <c r="E76" s="185"/>
      <c r="F76" s="35"/>
      <c r="G76" s="185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spans="1:27" ht="12.75">
      <c r="A77" s="14"/>
      <c r="B77" s="183"/>
      <c r="C77" s="14"/>
      <c r="D77" s="14"/>
      <c r="E77" s="185"/>
      <c r="F77" s="35"/>
      <c r="G77" s="185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spans="1:27" ht="12.75">
      <c r="A78" s="14"/>
      <c r="B78" s="183"/>
      <c r="C78" s="14"/>
      <c r="D78" s="14"/>
      <c r="E78" s="185"/>
      <c r="F78" s="35"/>
      <c r="G78" s="185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spans="1:27" ht="12.75">
      <c r="A79" s="14"/>
      <c r="B79" s="183"/>
      <c r="C79" s="14"/>
      <c r="D79" s="14"/>
      <c r="E79" s="185"/>
      <c r="F79" s="35"/>
      <c r="G79" s="185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spans="1:27" ht="12.75">
      <c r="A80" s="14"/>
      <c r="B80" s="183"/>
      <c r="C80" s="14"/>
      <c r="D80" s="14"/>
      <c r="E80" s="185"/>
      <c r="F80" s="35"/>
      <c r="G80" s="185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spans="1:27" ht="12.75">
      <c r="A81" s="14"/>
      <c r="B81" s="183"/>
      <c r="C81" s="14"/>
      <c r="D81" s="14"/>
      <c r="E81" s="185"/>
      <c r="F81" s="35"/>
      <c r="G81" s="185"/>
      <c r="H81" s="14"/>
      <c r="I81" s="33" t="s">
        <v>138</v>
      </c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spans="1:27" ht="12.75">
      <c r="A82" s="14"/>
      <c r="B82" s="183"/>
      <c r="C82" s="14"/>
      <c r="D82" s="14"/>
      <c r="E82" s="185"/>
      <c r="F82" s="35"/>
      <c r="G82" s="185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spans="1:27" ht="12.75">
      <c r="A83" s="14"/>
      <c r="B83" s="183"/>
      <c r="C83" s="14"/>
      <c r="D83" s="14"/>
      <c r="E83" s="185"/>
      <c r="F83" s="35"/>
      <c r="G83" s="185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spans="1:27" ht="12.75">
      <c r="A84" s="14"/>
      <c r="B84" s="183"/>
      <c r="C84" s="14"/>
      <c r="D84" s="14"/>
      <c r="E84" s="185"/>
      <c r="F84" s="35"/>
      <c r="G84" s="185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spans="1:27" ht="12.75">
      <c r="A85" s="14"/>
      <c r="B85" s="183"/>
      <c r="C85" s="14"/>
      <c r="D85" s="14"/>
      <c r="E85" s="185"/>
      <c r="F85" s="35"/>
      <c r="G85" s="185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spans="1:27" ht="12.75">
      <c r="A86" s="14"/>
      <c r="B86" s="183"/>
      <c r="C86" s="14"/>
      <c r="D86" s="14"/>
      <c r="E86" s="185"/>
      <c r="F86" s="35"/>
      <c r="G86" s="185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spans="1:27" ht="12.75">
      <c r="A87" s="14"/>
      <c r="B87" s="183"/>
      <c r="C87" s="14"/>
      <c r="D87" s="14"/>
      <c r="E87" s="185"/>
      <c r="F87" s="35"/>
      <c r="G87" s="185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spans="1:27" ht="12.75">
      <c r="A88" s="14"/>
      <c r="B88" s="183"/>
      <c r="C88" s="14"/>
      <c r="D88" s="14"/>
      <c r="E88" s="185"/>
      <c r="F88" s="35"/>
      <c r="G88" s="185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spans="1:27" ht="12.75">
      <c r="A89" s="14"/>
      <c r="B89" s="183"/>
      <c r="C89" s="14"/>
      <c r="D89" s="14"/>
      <c r="E89" s="185"/>
      <c r="F89" s="35"/>
      <c r="G89" s="185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spans="1:27" ht="12.75">
      <c r="A90" s="14"/>
      <c r="B90" s="183"/>
      <c r="C90" s="14"/>
      <c r="D90" s="14"/>
      <c r="E90" s="185"/>
      <c r="F90" s="35"/>
      <c r="G90" s="185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spans="1:27" ht="12.75">
      <c r="A91" s="14"/>
      <c r="B91" s="183"/>
      <c r="C91" s="14"/>
      <c r="D91" s="14"/>
      <c r="E91" s="185"/>
      <c r="F91" s="35"/>
      <c r="G91" s="185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spans="1:27" ht="12.75">
      <c r="A92" s="14"/>
      <c r="B92" s="183"/>
      <c r="C92" s="14"/>
      <c r="D92" s="14"/>
      <c r="E92" s="185"/>
      <c r="F92" s="35"/>
      <c r="G92" s="185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spans="1:27" ht="12.75">
      <c r="A93" s="14"/>
      <c r="B93" s="183"/>
      <c r="C93" s="14"/>
      <c r="D93" s="14"/>
      <c r="E93" s="185"/>
      <c r="F93" s="35"/>
      <c r="G93" s="185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spans="1:27" ht="12.75">
      <c r="A94" s="14"/>
      <c r="B94" s="183"/>
      <c r="C94" s="14"/>
      <c r="D94" s="14"/>
      <c r="E94" s="185"/>
      <c r="F94" s="35"/>
      <c r="G94" s="185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spans="1:27" ht="12.75">
      <c r="A95" s="14"/>
      <c r="B95" s="183"/>
      <c r="C95" s="14"/>
      <c r="D95" s="14"/>
      <c r="E95" s="185"/>
      <c r="F95" s="35"/>
      <c r="G95" s="185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spans="1:27" ht="12.75">
      <c r="A96" s="14"/>
      <c r="B96" s="183"/>
      <c r="C96" s="14"/>
      <c r="D96" s="14"/>
      <c r="E96" s="185"/>
      <c r="F96" s="35"/>
      <c r="G96" s="185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spans="1:27" ht="12.75">
      <c r="A97" s="14"/>
      <c r="B97" s="183"/>
      <c r="C97" s="14"/>
      <c r="D97" s="14"/>
      <c r="E97" s="185"/>
      <c r="F97" s="35"/>
      <c r="G97" s="185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spans="1:27" ht="12.75">
      <c r="A98" s="14"/>
      <c r="B98" s="183"/>
      <c r="C98" s="14"/>
      <c r="D98" s="14"/>
      <c r="E98" s="185"/>
      <c r="F98" s="35"/>
      <c r="G98" s="185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spans="1:27" ht="12.75">
      <c r="A99" s="14"/>
      <c r="B99" s="183"/>
      <c r="C99" s="14"/>
      <c r="D99" s="14"/>
      <c r="E99" s="185"/>
      <c r="F99" s="35"/>
      <c r="G99" s="185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spans="1:27" ht="12.75">
      <c r="A100" s="14"/>
      <c r="B100" s="183"/>
      <c r="C100" s="14"/>
      <c r="D100" s="14"/>
      <c r="E100" s="185"/>
      <c r="F100" s="35"/>
      <c r="G100" s="185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spans="1:27" ht="12.75">
      <c r="A101" s="14"/>
      <c r="B101" s="183"/>
      <c r="C101" s="14"/>
      <c r="D101" s="14"/>
      <c r="E101" s="185"/>
      <c r="F101" s="35"/>
      <c r="G101" s="185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spans="1:27" ht="12.75">
      <c r="A102" s="14"/>
      <c r="B102" s="183"/>
      <c r="C102" s="14"/>
      <c r="D102" s="14"/>
      <c r="E102" s="185"/>
      <c r="F102" s="35"/>
      <c r="G102" s="185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spans="1:27" ht="12.75">
      <c r="A103" s="14"/>
      <c r="B103" s="183"/>
      <c r="C103" s="14"/>
      <c r="D103" s="14"/>
      <c r="E103" s="185"/>
      <c r="F103" s="35"/>
      <c r="G103" s="185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spans="1:27" ht="12.75">
      <c r="A104" s="14"/>
      <c r="B104" s="183"/>
      <c r="C104" s="14"/>
      <c r="D104" s="14"/>
      <c r="E104" s="185"/>
      <c r="F104" s="35"/>
      <c r="G104" s="185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spans="1:27" ht="12.75">
      <c r="A105" s="14"/>
      <c r="B105" s="183"/>
      <c r="C105" s="14"/>
      <c r="D105" s="14"/>
      <c r="E105" s="185"/>
      <c r="F105" s="35"/>
      <c r="G105" s="185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spans="1:27" ht="12.75">
      <c r="A106" s="14"/>
      <c r="B106" s="183"/>
      <c r="C106" s="14"/>
      <c r="D106" s="14"/>
      <c r="E106" s="185"/>
      <c r="F106" s="35"/>
      <c r="G106" s="185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spans="1:27" ht="12.75">
      <c r="A107" s="14"/>
      <c r="B107" s="183"/>
      <c r="C107" s="14"/>
      <c r="D107" s="14"/>
      <c r="E107" s="185"/>
      <c r="F107" s="35"/>
      <c r="G107" s="185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spans="1:27" ht="12.75">
      <c r="A108" s="14"/>
      <c r="B108" s="183"/>
      <c r="C108" s="14"/>
      <c r="D108" s="14"/>
      <c r="E108" s="185"/>
      <c r="F108" s="35"/>
      <c r="G108" s="185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spans="1:27" ht="12.75">
      <c r="A109" s="14"/>
      <c r="B109" s="183"/>
      <c r="C109" s="14"/>
      <c r="D109" s="14"/>
      <c r="E109" s="185"/>
      <c r="F109" s="35"/>
      <c r="G109" s="185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spans="1:27" ht="12.75">
      <c r="A110" s="14"/>
      <c r="B110" s="183"/>
      <c r="C110" s="14"/>
      <c r="D110" s="14"/>
      <c r="E110" s="185"/>
      <c r="F110" s="35"/>
      <c r="G110" s="185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spans="1:27" ht="12.75">
      <c r="A111" s="14"/>
      <c r="B111" s="183"/>
      <c r="C111" s="14"/>
      <c r="D111" s="14"/>
      <c r="E111" s="185"/>
      <c r="F111" s="35"/>
      <c r="G111" s="185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spans="1:27" ht="12.75">
      <c r="A112" s="14"/>
      <c r="B112" s="183"/>
      <c r="C112" s="14"/>
      <c r="D112" s="14"/>
      <c r="E112" s="185"/>
      <c r="F112" s="35"/>
      <c r="G112" s="185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spans="1:27" ht="12.75">
      <c r="A113" s="14"/>
      <c r="B113" s="183"/>
      <c r="C113" s="14"/>
      <c r="D113" s="14"/>
      <c r="E113" s="185"/>
      <c r="F113" s="35"/>
      <c r="G113" s="185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spans="1:27" ht="12.75">
      <c r="A114" s="14"/>
      <c r="B114" s="183"/>
      <c r="C114" s="14"/>
      <c r="D114" s="14"/>
      <c r="E114" s="185"/>
      <c r="F114" s="35"/>
      <c r="G114" s="185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spans="1:27" ht="12.75">
      <c r="A115" s="14"/>
      <c r="B115" s="183"/>
      <c r="C115" s="14"/>
      <c r="D115" s="14"/>
      <c r="E115" s="185"/>
      <c r="F115" s="35"/>
      <c r="G115" s="185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spans="1:27" ht="12.75">
      <c r="A116" s="14"/>
      <c r="B116" s="183"/>
      <c r="C116" s="14"/>
      <c r="D116" s="14"/>
      <c r="E116" s="185"/>
      <c r="F116" s="35"/>
      <c r="G116" s="185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spans="1:27" ht="12.75">
      <c r="A117" s="14"/>
      <c r="B117" s="183"/>
      <c r="C117" s="14"/>
      <c r="D117" s="14"/>
      <c r="E117" s="185"/>
      <c r="F117" s="35"/>
      <c r="G117" s="185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spans="1:27" ht="12.75">
      <c r="A118" s="14"/>
      <c r="B118" s="183"/>
      <c r="C118" s="14"/>
      <c r="D118" s="14"/>
      <c r="E118" s="185"/>
      <c r="F118" s="35"/>
      <c r="G118" s="185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spans="1:27" ht="12.75">
      <c r="A119" s="14"/>
      <c r="B119" s="183"/>
      <c r="C119" s="14"/>
      <c r="D119" s="14"/>
      <c r="E119" s="185"/>
      <c r="F119" s="35"/>
      <c r="G119" s="185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spans="1:27" ht="12.75">
      <c r="A120" s="14"/>
      <c r="B120" s="183"/>
      <c r="C120" s="14"/>
      <c r="D120" s="14"/>
      <c r="E120" s="185"/>
      <c r="F120" s="35"/>
      <c r="G120" s="185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spans="1:27" ht="12.75">
      <c r="A121" s="14"/>
      <c r="B121" s="183"/>
      <c r="C121" s="14"/>
      <c r="D121" s="14"/>
      <c r="E121" s="185"/>
      <c r="F121" s="35"/>
      <c r="G121" s="185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spans="1:27" ht="12.75">
      <c r="A122" s="14"/>
      <c r="B122" s="183"/>
      <c r="C122" s="14"/>
      <c r="D122" s="14"/>
      <c r="E122" s="185"/>
      <c r="F122" s="35"/>
      <c r="G122" s="185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spans="1:27" ht="12.75">
      <c r="A123" s="14"/>
      <c r="B123" s="183"/>
      <c r="C123" s="14"/>
      <c r="D123" s="14"/>
      <c r="E123" s="185"/>
      <c r="F123" s="35"/>
      <c r="G123" s="185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spans="1:27" ht="12.75">
      <c r="A124" s="14"/>
      <c r="B124" s="183"/>
      <c r="C124" s="14"/>
      <c r="D124" s="14"/>
      <c r="E124" s="185"/>
      <c r="F124" s="35"/>
      <c r="G124" s="185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spans="1:27" ht="12.75">
      <c r="A125" s="14"/>
      <c r="B125" s="183"/>
      <c r="C125" s="14"/>
      <c r="D125" s="14"/>
      <c r="E125" s="185"/>
      <c r="F125" s="35"/>
      <c r="G125" s="185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spans="1:27" ht="12.75">
      <c r="A126" s="14"/>
      <c r="B126" s="183"/>
      <c r="C126" s="14"/>
      <c r="D126" s="14"/>
      <c r="E126" s="185"/>
      <c r="F126" s="35"/>
      <c r="G126" s="185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spans="1:27" ht="12.75">
      <c r="A127" s="14"/>
      <c r="B127" s="183"/>
      <c r="C127" s="14"/>
      <c r="D127" s="14"/>
      <c r="E127" s="185"/>
      <c r="F127" s="35"/>
      <c r="G127" s="185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spans="1:27" ht="12.75">
      <c r="A128" s="14"/>
      <c r="B128" s="183"/>
      <c r="C128" s="14"/>
      <c r="D128" s="14"/>
      <c r="E128" s="185"/>
      <c r="F128" s="35"/>
      <c r="G128" s="185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spans="1:27" ht="12.75">
      <c r="A129" s="14"/>
      <c r="B129" s="183"/>
      <c r="C129" s="14"/>
      <c r="D129" s="14"/>
      <c r="E129" s="185"/>
      <c r="F129" s="35"/>
      <c r="G129" s="185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spans="1:27" ht="12.75">
      <c r="A130" s="14"/>
      <c r="B130" s="183"/>
      <c r="C130" s="14"/>
      <c r="D130" s="14"/>
      <c r="E130" s="185"/>
      <c r="F130" s="35"/>
      <c r="G130" s="185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spans="1:27" ht="12.75">
      <c r="A131" s="14"/>
      <c r="B131" s="183"/>
      <c r="C131" s="14"/>
      <c r="D131" s="14"/>
      <c r="E131" s="185"/>
      <c r="F131" s="35"/>
      <c r="G131" s="185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spans="1:27" ht="12.75">
      <c r="A132" s="14"/>
      <c r="B132" s="183"/>
      <c r="C132" s="14"/>
      <c r="D132" s="14"/>
      <c r="E132" s="185"/>
      <c r="F132" s="35"/>
      <c r="G132" s="185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spans="1:27" ht="12.75">
      <c r="A133" s="14"/>
      <c r="B133" s="183"/>
      <c r="C133" s="14"/>
      <c r="D133" s="14"/>
      <c r="E133" s="185"/>
      <c r="F133" s="35"/>
      <c r="G133" s="185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spans="1:27" ht="12.75">
      <c r="A134" s="14"/>
      <c r="B134" s="183"/>
      <c r="C134" s="14"/>
      <c r="D134" s="14"/>
      <c r="E134" s="185"/>
      <c r="F134" s="35"/>
      <c r="G134" s="185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spans="1:27" ht="12.75">
      <c r="A135" s="14"/>
      <c r="B135" s="183"/>
      <c r="C135" s="14"/>
      <c r="D135" s="14"/>
      <c r="E135" s="185"/>
      <c r="F135" s="35"/>
      <c r="G135" s="185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spans="1:27" ht="12.75">
      <c r="A136" s="14"/>
      <c r="B136" s="183"/>
      <c r="C136" s="14"/>
      <c r="D136" s="14"/>
      <c r="E136" s="185"/>
      <c r="F136" s="35"/>
      <c r="G136" s="185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spans="1:27" ht="12.75">
      <c r="A137" s="14"/>
      <c r="B137" s="183"/>
      <c r="C137" s="14"/>
      <c r="D137" s="14"/>
      <c r="E137" s="185"/>
      <c r="F137" s="35"/>
      <c r="G137" s="185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spans="1:27" ht="12.75">
      <c r="A138" s="14"/>
      <c r="B138" s="183"/>
      <c r="C138" s="14"/>
      <c r="D138" s="14"/>
      <c r="E138" s="185"/>
      <c r="F138" s="35"/>
      <c r="G138" s="185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spans="1:27" ht="12.75">
      <c r="A139" s="14"/>
      <c r="B139" s="183"/>
      <c r="C139" s="14"/>
      <c r="D139" s="14"/>
      <c r="E139" s="185"/>
      <c r="F139" s="35"/>
      <c r="G139" s="185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spans="1:27" ht="12.75">
      <c r="A140" s="14"/>
      <c r="B140" s="183"/>
      <c r="C140" s="14"/>
      <c r="D140" s="14"/>
      <c r="E140" s="185"/>
      <c r="F140" s="35"/>
      <c r="G140" s="185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spans="1:27" ht="12.75">
      <c r="A141" s="14"/>
      <c r="B141" s="183"/>
      <c r="C141" s="14"/>
      <c r="D141" s="14"/>
      <c r="E141" s="185"/>
      <c r="F141" s="35"/>
      <c r="G141" s="185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spans="1:27" ht="12.75">
      <c r="A142" s="14"/>
      <c r="B142" s="183"/>
      <c r="C142" s="14"/>
      <c r="D142" s="14"/>
      <c r="E142" s="185"/>
      <c r="F142" s="35"/>
      <c r="G142" s="185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spans="1:27" ht="12.75">
      <c r="A143" s="14"/>
      <c r="B143" s="183"/>
      <c r="C143" s="14"/>
      <c r="D143" s="14"/>
      <c r="E143" s="185"/>
      <c r="F143" s="35"/>
      <c r="G143" s="185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spans="1:27" ht="12.75">
      <c r="A144" s="14"/>
      <c r="B144" s="183"/>
      <c r="C144" s="14"/>
      <c r="D144" s="14"/>
      <c r="E144" s="185"/>
      <c r="F144" s="35"/>
      <c r="G144" s="185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spans="1:27" ht="12.75">
      <c r="A145" s="14"/>
      <c r="B145" s="183"/>
      <c r="C145" s="14"/>
      <c r="D145" s="14"/>
      <c r="E145" s="185"/>
      <c r="F145" s="35"/>
      <c r="G145" s="185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spans="1:27" ht="12.75">
      <c r="A146" s="14"/>
      <c r="B146" s="183"/>
      <c r="C146" s="14"/>
      <c r="D146" s="14"/>
      <c r="E146" s="185"/>
      <c r="F146" s="35"/>
      <c r="G146" s="185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spans="1:27" ht="12.75">
      <c r="A147" s="14"/>
      <c r="B147" s="183"/>
      <c r="C147" s="14"/>
      <c r="D147" s="14"/>
      <c r="E147" s="185"/>
      <c r="F147" s="35"/>
      <c r="G147" s="185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spans="1:27" ht="12.75">
      <c r="A148" s="14"/>
      <c r="B148" s="183"/>
      <c r="C148" s="14"/>
      <c r="D148" s="14"/>
      <c r="E148" s="185"/>
      <c r="F148" s="35"/>
      <c r="G148" s="185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spans="1:27" ht="12.75">
      <c r="A149" s="14"/>
      <c r="B149" s="183"/>
      <c r="C149" s="14"/>
      <c r="D149" s="14"/>
      <c r="E149" s="185"/>
      <c r="F149" s="35"/>
      <c r="G149" s="185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spans="1:27" ht="12.75">
      <c r="A150" s="14"/>
      <c r="B150" s="183"/>
      <c r="C150" s="14"/>
      <c r="D150" s="14"/>
      <c r="E150" s="185"/>
      <c r="F150" s="35"/>
      <c r="G150" s="185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spans="1:27" ht="12.75">
      <c r="A151" s="14"/>
      <c r="B151" s="183"/>
      <c r="C151" s="14"/>
      <c r="D151" s="14"/>
      <c r="E151" s="185"/>
      <c r="F151" s="35"/>
      <c r="G151" s="185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spans="1:27" ht="12.75">
      <c r="A152" s="14"/>
      <c r="B152" s="183"/>
      <c r="C152" s="14"/>
      <c r="D152" s="14"/>
      <c r="E152" s="185"/>
      <c r="F152" s="35"/>
      <c r="G152" s="185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spans="1:27" ht="12.75">
      <c r="A153" s="14"/>
      <c r="B153" s="183"/>
      <c r="C153" s="14"/>
      <c r="D153" s="14"/>
      <c r="E153" s="185"/>
      <c r="F153" s="35"/>
      <c r="G153" s="185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spans="1:27" ht="12.75">
      <c r="A154" s="14"/>
      <c r="B154" s="183"/>
      <c r="C154" s="14"/>
      <c r="D154" s="14"/>
      <c r="E154" s="185"/>
      <c r="F154" s="35"/>
      <c r="G154" s="185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spans="1:27" ht="12.75">
      <c r="A155" s="14"/>
      <c r="B155" s="183"/>
      <c r="C155" s="14"/>
      <c r="D155" s="14"/>
      <c r="E155" s="185"/>
      <c r="F155" s="35"/>
      <c r="G155" s="185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spans="1:27" ht="12.75">
      <c r="A156" s="14"/>
      <c r="B156" s="183"/>
      <c r="C156" s="14"/>
      <c r="D156" s="14"/>
      <c r="E156" s="185"/>
      <c r="F156" s="35"/>
      <c r="G156" s="185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spans="1:27" ht="12.75">
      <c r="A157" s="14"/>
      <c r="B157" s="183"/>
      <c r="C157" s="14"/>
      <c r="D157" s="14"/>
      <c r="E157" s="185"/>
      <c r="F157" s="35"/>
      <c r="G157" s="185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spans="1:27" ht="12.75">
      <c r="A158" s="14"/>
      <c r="B158" s="183"/>
      <c r="C158" s="14"/>
      <c r="D158" s="14"/>
      <c r="E158" s="185"/>
      <c r="F158" s="35"/>
      <c r="G158" s="185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spans="1:27" ht="12.75">
      <c r="A159" s="14"/>
      <c r="B159" s="183"/>
      <c r="C159" s="14"/>
      <c r="D159" s="14"/>
      <c r="E159" s="185"/>
      <c r="F159" s="35"/>
      <c r="G159" s="185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spans="1:27" ht="12.75">
      <c r="A160" s="14"/>
      <c r="B160" s="183"/>
      <c r="C160" s="14"/>
      <c r="D160" s="14"/>
      <c r="E160" s="185"/>
      <c r="F160" s="35"/>
      <c r="G160" s="185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spans="1:27" ht="12.75">
      <c r="A161" s="14"/>
      <c r="B161" s="183"/>
      <c r="C161" s="14"/>
      <c r="D161" s="14"/>
      <c r="E161" s="185"/>
      <c r="F161" s="35"/>
      <c r="G161" s="185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spans="1:27" ht="12.75">
      <c r="A162" s="14"/>
      <c r="B162" s="183"/>
      <c r="C162" s="14"/>
      <c r="D162" s="14"/>
      <c r="E162" s="185"/>
      <c r="F162" s="35"/>
      <c r="G162" s="185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spans="1:27" ht="12.75">
      <c r="A163" s="14"/>
      <c r="B163" s="183"/>
      <c r="C163" s="14"/>
      <c r="D163" s="14"/>
      <c r="E163" s="185"/>
      <c r="F163" s="35"/>
      <c r="G163" s="185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spans="1:27" ht="12.75">
      <c r="A164" s="14"/>
      <c r="B164" s="183"/>
      <c r="C164" s="14"/>
      <c r="D164" s="14"/>
      <c r="E164" s="185"/>
      <c r="F164" s="35"/>
      <c r="G164" s="185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spans="1:27" ht="12.75">
      <c r="A165" s="14"/>
      <c r="B165" s="183"/>
      <c r="C165" s="14"/>
      <c r="D165" s="14"/>
      <c r="E165" s="185"/>
      <c r="F165" s="35"/>
      <c r="G165" s="185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spans="1:27" ht="12.75">
      <c r="A166" s="14"/>
      <c r="B166" s="183"/>
      <c r="C166" s="14"/>
      <c r="D166" s="14"/>
      <c r="E166" s="185"/>
      <c r="F166" s="35"/>
      <c r="G166" s="185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spans="1:27" ht="12.75">
      <c r="A167" s="14"/>
      <c r="B167" s="183"/>
      <c r="C167" s="14"/>
      <c r="D167" s="14"/>
      <c r="E167" s="185"/>
      <c r="F167" s="35"/>
      <c r="G167" s="185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spans="1:27" ht="12.75">
      <c r="A168" s="14"/>
      <c r="B168" s="183"/>
      <c r="C168" s="14"/>
      <c r="D168" s="14"/>
      <c r="E168" s="185"/>
      <c r="F168" s="35"/>
      <c r="G168" s="185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spans="1:27" ht="12.75">
      <c r="A169" s="14"/>
      <c r="B169" s="183"/>
      <c r="C169" s="14"/>
      <c r="D169" s="14"/>
      <c r="E169" s="185"/>
      <c r="F169" s="35"/>
      <c r="G169" s="185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spans="1:27" ht="12.75">
      <c r="A170" s="14"/>
      <c r="B170" s="206"/>
      <c r="C170" s="6"/>
      <c r="D170" s="14"/>
      <c r="E170" s="185"/>
      <c r="F170" s="35"/>
      <c r="G170" s="185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spans="1:27" ht="12.75">
      <c r="A171" s="14"/>
      <c r="B171" s="206"/>
      <c r="C171" s="6"/>
      <c r="D171" s="14"/>
      <c r="E171" s="185"/>
      <c r="F171" s="35"/>
      <c r="G171" s="185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spans="1:27" ht="12.75">
      <c r="A172" s="14"/>
      <c r="B172" s="206"/>
      <c r="C172" s="6"/>
      <c r="D172" s="14"/>
      <c r="E172" s="185"/>
      <c r="F172" s="35"/>
      <c r="G172" s="185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spans="1:27" ht="12.75">
      <c r="A173" s="14"/>
      <c r="B173" s="206"/>
      <c r="C173" s="6"/>
      <c r="D173" s="14"/>
      <c r="E173" s="185"/>
      <c r="F173" s="35"/>
      <c r="G173" s="185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spans="1:27" ht="12.75">
      <c r="A174" s="14"/>
      <c r="B174" s="206"/>
      <c r="C174" s="6"/>
      <c r="D174" s="14"/>
      <c r="E174" s="185"/>
      <c r="F174" s="35"/>
      <c r="G174" s="185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spans="1:27" ht="12.75">
      <c r="A175" s="14"/>
      <c r="B175" s="206"/>
      <c r="C175" s="6"/>
      <c r="D175" s="14"/>
      <c r="E175" s="185"/>
      <c r="F175" s="35"/>
      <c r="G175" s="185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spans="1:27" ht="12.75">
      <c r="A176" s="14"/>
      <c r="B176" s="206"/>
      <c r="C176" s="6"/>
      <c r="D176" s="14"/>
      <c r="E176" s="185"/>
      <c r="F176" s="35"/>
      <c r="G176" s="185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spans="1:27" ht="12.75">
      <c r="A177" s="14"/>
      <c r="B177" s="206"/>
      <c r="C177" s="6"/>
      <c r="D177" s="14"/>
      <c r="E177" s="185"/>
      <c r="F177" s="35"/>
      <c r="G177" s="185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spans="1:27" ht="12.75">
      <c r="A178" s="14"/>
      <c r="B178" s="206"/>
      <c r="C178" s="6"/>
      <c r="D178" s="14"/>
      <c r="E178" s="185"/>
      <c r="F178" s="35"/>
      <c r="G178" s="185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spans="1:27" ht="12.75">
      <c r="A179" s="14"/>
      <c r="B179" s="206"/>
      <c r="C179" s="6"/>
      <c r="D179" s="14"/>
      <c r="E179" s="185"/>
      <c r="F179" s="35"/>
      <c r="G179" s="185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spans="1:27" ht="12.75">
      <c r="A180" s="14"/>
      <c r="B180" s="206"/>
      <c r="C180" s="6"/>
      <c r="D180" s="14"/>
      <c r="E180" s="185"/>
      <c r="F180" s="35"/>
      <c r="G180" s="185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spans="1:27" ht="12.75">
      <c r="A181" s="14"/>
      <c r="B181" s="206"/>
      <c r="C181" s="6"/>
      <c r="D181" s="14"/>
      <c r="E181" s="185"/>
      <c r="F181" s="35"/>
      <c r="G181" s="185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spans="1:27" ht="12.75">
      <c r="A182" s="14"/>
      <c r="B182" s="206"/>
      <c r="C182" s="6"/>
      <c r="D182" s="14"/>
      <c r="E182" s="185"/>
      <c r="F182" s="35"/>
      <c r="G182" s="185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spans="1:27" ht="12.75">
      <c r="A183" s="14"/>
      <c r="B183" s="206"/>
      <c r="C183" s="6"/>
      <c r="D183" s="14"/>
      <c r="E183" s="185"/>
      <c r="F183" s="35"/>
      <c r="G183" s="185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spans="1:27" ht="12.75">
      <c r="A184" s="14"/>
      <c r="B184" s="206"/>
      <c r="C184" s="6"/>
      <c r="D184" s="14"/>
      <c r="E184" s="185"/>
      <c r="F184" s="35"/>
      <c r="G184" s="185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spans="1:27" ht="12.75">
      <c r="A185" s="14"/>
      <c r="B185" s="206"/>
      <c r="C185" s="6"/>
      <c r="D185" s="14"/>
      <c r="E185" s="185"/>
      <c r="F185" s="35"/>
      <c r="G185" s="185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spans="1:27" ht="12.75">
      <c r="A186" s="14"/>
      <c r="B186" s="206"/>
      <c r="C186" s="6"/>
      <c r="D186" s="14"/>
      <c r="E186" s="185"/>
      <c r="F186" s="35"/>
      <c r="G186" s="185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spans="1:27" ht="12.75">
      <c r="A187" s="14"/>
      <c r="B187" s="206"/>
      <c r="C187" s="6"/>
      <c r="D187" s="14"/>
      <c r="E187" s="185"/>
      <c r="F187" s="35"/>
      <c r="G187" s="185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spans="1:27" ht="12.75">
      <c r="A188" s="14"/>
      <c r="B188" s="206"/>
      <c r="C188" s="6"/>
      <c r="D188" s="14"/>
      <c r="E188" s="185"/>
      <c r="F188" s="35"/>
      <c r="G188" s="185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spans="1:27" ht="12.75">
      <c r="A189" s="14"/>
      <c r="B189" s="206"/>
      <c r="C189" s="6"/>
      <c r="D189" s="14"/>
      <c r="E189" s="185"/>
      <c r="F189" s="35"/>
      <c r="G189" s="185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spans="1:27" ht="12.75">
      <c r="A190" s="14"/>
      <c r="B190" s="206"/>
      <c r="C190" s="6"/>
      <c r="D190" s="14"/>
      <c r="E190" s="185"/>
      <c r="F190" s="35"/>
      <c r="G190" s="185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spans="1:27" ht="12.75">
      <c r="A191" s="14"/>
      <c r="B191" s="206"/>
      <c r="C191" s="6"/>
      <c r="D191" s="14"/>
      <c r="E191" s="185"/>
      <c r="F191" s="35"/>
      <c r="G191" s="185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spans="1:27" ht="12.75">
      <c r="A192" s="14"/>
      <c r="B192" s="206"/>
      <c r="C192" s="6"/>
      <c r="D192" s="14"/>
      <c r="E192" s="185"/>
      <c r="F192" s="35"/>
      <c r="G192" s="185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spans="1:27" ht="12.75">
      <c r="A193" s="14"/>
      <c r="B193" s="206"/>
      <c r="C193" s="6"/>
      <c r="D193" s="14"/>
      <c r="E193" s="185"/>
      <c r="F193" s="35"/>
      <c r="G193" s="185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spans="1:27" ht="12.75">
      <c r="A194" s="14"/>
      <c r="B194" s="206"/>
      <c r="C194" s="6"/>
      <c r="D194" s="14"/>
      <c r="E194" s="185"/>
      <c r="F194" s="35"/>
      <c r="G194" s="185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spans="1:27" ht="12.75">
      <c r="A195" s="14"/>
      <c r="B195" s="206"/>
      <c r="C195" s="6"/>
      <c r="D195" s="14"/>
      <c r="E195" s="185"/>
      <c r="F195" s="35"/>
      <c r="G195" s="185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spans="1:27" ht="12.75">
      <c r="A196" s="14"/>
      <c r="B196" s="206"/>
      <c r="C196" s="6"/>
      <c r="D196" s="14"/>
      <c r="E196" s="185"/>
      <c r="F196" s="35"/>
      <c r="G196" s="185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spans="1:27" ht="12.75">
      <c r="A197" s="14"/>
      <c r="B197" s="206"/>
      <c r="C197" s="6"/>
      <c r="D197" s="14"/>
      <c r="E197" s="185"/>
      <c r="F197" s="35"/>
      <c r="G197" s="185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spans="1:27" ht="12.75">
      <c r="A198" s="14"/>
      <c r="B198" s="206"/>
      <c r="C198" s="6"/>
      <c r="D198" s="14"/>
      <c r="E198" s="185"/>
      <c r="F198" s="35"/>
      <c r="G198" s="185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spans="1:27" ht="12.75">
      <c r="A199" s="14"/>
      <c r="B199" s="206"/>
      <c r="C199" s="6"/>
      <c r="D199" s="14"/>
      <c r="E199" s="185"/>
      <c r="F199" s="35"/>
      <c r="G199" s="185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spans="1:27" ht="12.75">
      <c r="A200" s="14"/>
      <c r="B200" s="206"/>
      <c r="C200" s="6"/>
      <c r="D200" s="14"/>
      <c r="E200" s="185"/>
      <c r="F200" s="35"/>
      <c r="G200" s="185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spans="1:27" ht="12.75">
      <c r="A201" s="14"/>
      <c r="B201" s="206"/>
      <c r="C201" s="6"/>
      <c r="D201" s="14"/>
      <c r="E201" s="185"/>
      <c r="F201" s="35"/>
      <c r="G201" s="185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spans="1:27" ht="12.75">
      <c r="A202" s="14"/>
      <c r="B202" s="206"/>
      <c r="C202" s="6"/>
      <c r="D202" s="14"/>
      <c r="E202" s="185"/>
      <c r="F202" s="35"/>
      <c r="G202" s="185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spans="1:27" ht="12.75">
      <c r="A203" s="14"/>
      <c r="B203" s="206"/>
      <c r="C203" s="6"/>
      <c r="D203" s="14"/>
      <c r="E203" s="185"/>
      <c r="F203" s="35"/>
      <c r="G203" s="185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spans="1:27" ht="12.75">
      <c r="A204" s="14"/>
      <c r="B204" s="206"/>
      <c r="C204" s="6"/>
      <c r="D204" s="14"/>
      <c r="E204" s="185"/>
      <c r="F204" s="35"/>
      <c r="G204" s="185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spans="1:27" ht="12.75">
      <c r="A205" s="14"/>
      <c r="B205" s="206"/>
      <c r="C205" s="6"/>
      <c r="D205" s="14"/>
      <c r="E205" s="185"/>
      <c r="F205" s="35"/>
      <c r="G205" s="185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spans="1:27" ht="12.75">
      <c r="A206" s="14"/>
      <c r="B206" s="206"/>
      <c r="C206" s="6"/>
      <c r="D206" s="14"/>
      <c r="E206" s="185"/>
      <c r="F206" s="35"/>
      <c r="G206" s="185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spans="1:27" ht="12.75">
      <c r="A207" s="14"/>
      <c r="B207" s="206"/>
      <c r="C207" s="6"/>
      <c r="D207" s="14"/>
      <c r="E207" s="185"/>
      <c r="F207" s="35"/>
      <c r="G207" s="185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spans="1:27" ht="12.75">
      <c r="A208" s="14"/>
      <c r="B208" s="206"/>
      <c r="C208" s="6"/>
      <c r="D208" s="14"/>
      <c r="E208" s="185"/>
      <c r="F208" s="35"/>
      <c r="G208" s="185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spans="1:27" ht="12.75">
      <c r="A209" s="14"/>
      <c r="B209" s="206"/>
      <c r="C209" s="6"/>
      <c r="D209" s="14"/>
      <c r="E209" s="185"/>
      <c r="F209" s="35"/>
      <c r="G209" s="185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spans="1:27" ht="12.75">
      <c r="A210" s="14"/>
      <c r="B210" s="206"/>
      <c r="C210" s="6"/>
      <c r="D210" s="14"/>
      <c r="E210" s="185"/>
      <c r="F210" s="35"/>
      <c r="G210" s="185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spans="1:27" ht="12.75">
      <c r="A211" s="14"/>
      <c r="B211" s="206"/>
      <c r="C211" s="6"/>
      <c r="D211" s="14"/>
      <c r="E211" s="185"/>
      <c r="F211" s="35"/>
      <c r="G211" s="185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spans="1:27" ht="12.75">
      <c r="A212" s="14"/>
      <c r="B212" s="206"/>
      <c r="C212" s="6"/>
      <c r="D212" s="14"/>
      <c r="E212" s="185"/>
      <c r="F212" s="35"/>
      <c r="G212" s="185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spans="1:27" ht="12.75">
      <c r="A213" s="14"/>
      <c r="B213" s="206"/>
      <c r="C213" s="6"/>
      <c r="D213" s="14"/>
      <c r="E213" s="185"/>
      <c r="F213" s="35"/>
      <c r="G213" s="185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spans="1:27" ht="12.75">
      <c r="A214" s="14"/>
      <c r="B214" s="206"/>
      <c r="C214" s="6"/>
      <c r="D214" s="14"/>
      <c r="E214" s="185"/>
      <c r="F214" s="35"/>
      <c r="G214" s="185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spans="1:27" ht="12.75">
      <c r="A215" s="14"/>
      <c r="B215" s="206"/>
      <c r="C215" s="6"/>
      <c r="D215" s="14"/>
      <c r="E215" s="185"/>
      <c r="F215" s="35"/>
      <c r="G215" s="185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spans="1:27" ht="12.75">
      <c r="A216" s="14"/>
      <c r="B216" s="206"/>
      <c r="C216" s="6"/>
      <c r="D216" s="14"/>
      <c r="E216" s="185"/>
      <c r="F216" s="35"/>
      <c r="G216" s="185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spans="1:27" ht="12.75">
      <c r="A217" s="14"/>
      <c r="B217" s="206"/>
      <c r="C217" s="6"/>
      <c r="D217" s="14"/>
      <c r="E217" s="185"/>
      <c r="F217" s="35"/>
      <c r="G217" s="185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spans="1:27" ht="12.75">
      <c r="A218" s="14"/>
      <c r="B218" s="206"/>
      <c r="C218" s="6"/>
      <c r="D218" s="14"/>
      <c r="E218" s="185"/>
      <c r="F218" s="35"/>
      <c r="G218" s="185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spans="1:27" ht="12.75">
      <c r="A219" s="14"/>
      <c r="B219" s="206"/>
      <c r="C219" s="6"/>
      <c r="D219" s="14"/>
      <c r="E219" s="185"/>
      <c r="F219" s="35"/>
      <c r="G219" s="185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spans="1:27" ht="12.75">
      <c r="A220" s="14"/>
      <c r="B220" s="206"/>
      <c r="C220" s="6"/>
      <c r="D220" s="14"/>
      <c r="E220" s="185"/>
      <c r="F220" s="35"/>
      <c r="G220" s="185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spans="1:27" ht="12.75">
      <c r="A221" s="14"/>
      <c r="B221" s="206"/>
      <c r="C221" s="6"/>
      <c r="D221" s="14"/>
      <c r="E221" s="185"/>
      <c r="F221" s="35"/>
      <c r="G221" s="185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spans="1:27" ht="12.75">
      <c r="A222" s="14"/>
      <c r="B222" s="206"/>
      <c r="C222" s="6"/>
      <c r="D222" s="14"/>
      <c r="E222" s="185"/>
      <c r="F222" s="35"/>
      <c r="G222" s="185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spans="1:27" ht="12.75">
      <c r="A223" s="14"/>
      <c r="B223" s="206"/>
      <c r="C223" s="6"/>
      <c r="D223" s="14"/>
      <c r="E223" s="185"/>
      <c r="F223" s="35"/>
      <c r="G223" s="185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spans="1:27" ht="12.75">
      <c r="A224" s="14"/>
      <c r="B224" s="206"/>
      <c r="C224" s="6"/>
      <c r="D224" s="14"/>
      <c r="E224" s="185"/>
      <c r="F224" s="35"/>
      <c r="G224" s="185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spans="1:27" ht="12.75">
      <c r="A225" s="14"/>
      <c r="B225" s="206"/>
      <c r="C225" s="6"/>
      <c r="D225" s="14"/>
      <c r="E225" s="185"/>
      <c r="F225" s="35"/>
      <c r="G225" s="185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spans="1:27" ht="12.75">
      <c r="A226" s="14"/>
      <c r="B226" s="206"/>
      <c r="C226" s="6"/>
      <c r="D226" s="14"/>
      <c r="E226" s="185"/>
      <c r="F226" s="35"/>
      <c r="G226" s="185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spans="1:27" ht="12.75">
      <c r="A227" s="14"/>
      <c r="B227" s="206"/>
      <c r="C227" s="6"/>
      <c r="D227" s="14"/>
      <c r="E227" s="185"/>
      <c r="F227" s="35"/>
      <c r="G227" s="185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spans="1:27" ht="12.75">
      <c r="A228" s="14"/>
      <c r="B228" s="206"/>
      <c r="C228" s="6"/>
      <c r="D228" s="14"/>
      <c r="E228" s="185"/>
      <c r="F228" s="35"/>
      <c r="G228" s="185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spans="1:27" ht="12.75">
      <c r="A229" s="14"/>
      <c r="B229" s="206"/>
      <c r="C229" s="6"/>
      <c r="D229" s="14"/>
      <c r="E229" s="185"/>
      <c r="F229" s="35"/>
      <c r="G229" s="185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spans="1:27" ht="12.75">
      <c r="A230" s="14"/>
      <c r="B230" s="206"/>
      <c r="C230" s="6"/>
      <c r="D230" s="14"/>
      <c r="E230" s="185"/>
      <c r="F230" s="35"/>
      <c r="G230" s="185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spans="1:27" ht="12.75">
      <c r="A231" s="14"/>
      <c r="B231" s="206"/>
      <c r="C231" s="6"/>
      <c r="D231" s="14"/>
      <c r="E231" s="185"/>
      <c r="F231" s="35"/>
      <c r="G231" s="185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spans="1:27" ht="12.75">
      <c r="A232" s="14"/>
      <c r="B232" s="206"/>
      <c r="C232" s="6"/>
      <c r="D232" s="14"/>
      <c r="E232" s="185"/>
      <c r="F232" s="35"/>
      <c r="G232" s="185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spans="1:27" ht="12.75">
      <c r="A233" s="14"/>
      <c r="B233" s="206"/>
      <c r="C233" s="6"/>
      <c r="D233" s="14"/>
      <c r="E233" s="185"/>
      <c r="F233" s="35"/>
      <c r="G233" s="185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spans="1:27" ht="12.75">
      <c r="A234" s="14"/>
      <c r="B234" s="206"/>
      <c r="C234" s="6"/>
      <c r="D234" s="14"/>
      <c r="E234" s="185"/>
      <c r="F234" s="35"/>
      <c r="G234" s="185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spans="1:27" ht="12.75">
      <c r="A235" s="14"/>
      <c r="B235" s="206"/>
      <c r="C235" s="6"/>
      <c r="D235" s="14"/>
      <c r="E235" s="185"/>
      <c r="F235" s="35"/>
      <c r="G235" s="185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spans="1:27" ht="12.75">
      <c r="A236" s="14"/>
      <c r="B236" s="206"/>
      <c r="C236" s="6"/>
      <c r="D236" s="14"/>
      <c r="E236" s="185"/>
      <c r="F236" s="35"/>
      <c r="G236" s="185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spans="1:27" ht="12.75">
      <c r="A237" s="14"/>
      <c r="B237" s="206"/>
      <c r="C237" s="6"/>
      <c r="D237" s="14"/>
      <c r="E237" s="185"/>
      <c r="F237" s="35"/>
      <c r="G237" s="185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spans="1:27" ht="12.75">
      <c r="A238" s="14"/>
      <c r="B238" s="206"/>
      <c r="C238" s="6"/>
      <c r="D238" s="14"/>
      <c r="E238" s="185"/>
      <c r="F238" s="35"/>
      <c r="G238" s="185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spans="1:27" ht="12.75">
      <c r="A239" s="14"/>
      <c r="B239" s="206"/>
      <c r="C239" s="6"/>
      <c r="D239" s="14"/>
      <c r="E239" s="185"/>
      <c r="F239" s="35"/>
      <c r="G239" s="185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spans="1:27" ht="12.75">
      <c r="A240" s="14"/>
      <c r="B240" s="206"/>
      <c r="C240" s="6"/>
      <c r="D240" s="14"/>
      <c r="E240" s="185"/>
      <c r="F240" s="35"/>
      <c r="G240" s="185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spans="1:27" ht="12.75">
      <c r="A241" s="14"/>
      <c r="B241" s="206"/>
      <c r="C241" s="6"/>
      <c r="D241" s="14"/>
      <c r="E241" s="185"/>
      <c r="F241" s="35"/>
      <c r="G241" s="185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spans="1:27" ht="12.75">
      <c r="A242" s="14"/>
      <c r="B242" s="206"/>
      <c r="C242" s="6"/>
      <c r="D242" s="14"/>
      <c r="E242" s="185"/>
      <c r="F242" s="35"/>
      <c r="G242" s="185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spans="1:27" ht="12.75">
      <c r="A243" s="14"/>
      <c r="B243" s="206"/>
      <c r="C243" s="6"/>
      <c r="D243" s="14"/>
      <c r="E243" s="185"/>
      <c r="F243" s="35"/>
      <c r="G243" s="185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spans="1:27" ht="12.75">
      <c r="A244" s="14"/>
      <c r="B244" s="206"/>
      <c r="C244" s="6"/>
      <c r="D244" s="14"/>
      <c r="E244" s="185"/>
      <c r="F244" s="35"/>
      <c r="G244" s="185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spans="1:27" ht="12.75">
      <c r="A245" s="14"/>
      <c r="B245" s="206"/>
      <c r="C245" s="6"/>
      <c r="D245" s="14"/>
      <c r="E245" s="185"/>
      <c r="F245" s="35"/>
      <c r="G245" s="185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spans="1:27" ht="12.75">
      <c r="A246" s="14"/>
      <c r="B246" s="206"/>
      <c r="C246" s="6"/>
      <c r="D246" s="14"/>
      <c r="E246" s="185"/>
      <c r="F246" s="35"/>
      <c r="G246" s="185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spans="1:27" ht="12.75">
      <c r="A247" s="14"/>
      <c r="B247" s="206"/>
      <c r="C247" s="6"/>
      <c r="D247" s="14"/>
      <c r="E247" s="185"/>
      <c r="F247" s="35"/>
      <c r="G247" s="185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spans="1:27" ht="12.75">
      <c r="A248" s="14"/>
      <c r="B248" s="206"/>
      <c r="C248" s="6"/>
      <c r="D248" s="14"/>
      <c r="E248" s="185"/>
      <c r="F248" s="35"/>
      <c r="G248" s="185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spans="1:27" ht="12.75">
      <c r="A249" s="14"/>
      <c r="B249" s="206"/>
      <c r="C249" s="6"/>
      <c r="D249" s="14"/>
      <c r="E249" s="185"/>
      <c r="F249" s="35"/>
      <c r="G249" s="185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spans="1:27" ht="12.75">
      <c r="A250" s="14"/>
      <c r="B250" s="206"/>
      <c r="C250" s="6"/>
      <c r="D250" s="14"/>
      <c r="E250" s="185"/>
      <c r="F250" s="35"/>
      <c r="G250" s="185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spans="1:27" ht="12.75">
      <c r="A251" s="14"/>
      <c r="B251" s="206"/>
      <c r="C251" s="6"/>
      <c r="D251" s="14"/>
      <c r="E251" s="185"/>
      <c r="F251" s="35"/>
      <c r="G251" s="185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spans="1:27" ht="12.75">
      <c r="A252" s="14"/>
      <c r="B252" s="206"/>
      <c r="C252" s="6"/>
      <c r="D252" s="14"/>
      <c r="E252" s="185"/>
      <c r="F252" s="35"/>
      <c r="G252" s="185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spans="1:27" ht="12.75">
      <c r="A253" s="14"/>
      <c r="B253" s="206"/>
      <c r="C253" s="6"/>
      <c r="D253" s="14"/>
      <c r="E253" s="185"/>
      <c r="F253" s="35"/>
      <c r="G253" s="185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spans="1:27" ht="12.75">
      <c r="A254" s="14"/>
      <c r="B254" s="206"/>
      <c r="C254" s="6"/>
      <c r="D254" s="14"/>
      <c r="E254" s="185"/>
      <c r="F254" s="35"/>
      <c r="G254" s="185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spans="1:27" ht="12.75">
      <c r="A255" s="14"/>
      <c r="B255" s="206"/>
      <c r="C255" s="6"/>
      <c r="D255" s="14"/>
      <c r="E255" s="185"/>
      <c r="F255" s="35"/>
      <c r="G255" s="185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spans="1:27" ht="12.75">
      <c r="A256" s="14"/>
      <c r="B256" s="206"/>
      <c r="C256" s="6"/>
      <c r="D256" s="14"/>
      <c r="E256" s="185"/>
      <c r="F256" s="35"/>
      <c r="G256" s="185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spans="1:27" ht="12.75">
      <c r="A257" s="14"/>
      <c r="B257" s="206"/>
      <c r="C257" s="6"/>
      <c r="D257" s="14"/>
      <c r="E257" s="185"/>
      <c r="F257" s="35"/>
      <c r="G257" s="185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spans="1:27" ht="12.75">
      <c r="A258" s="14"/>
      <c r="B258" s="206"/>
      <c r="C258" s="6"/>
      <c r="D258" s="14"/>
      <c r="E258" s="185"/>
      <c r="F258" s="35"/>
      <c r="G258" s="185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spans="1:27" ht="12.75">
      <c r="A259" s="14"/>
      <c r="B259" s="206"/>
      <c r="C259" s="6"/>
      <c r="D259" s="14"/>
      <c r="E259" s="185"/>
      <c r="F259" s="35"/>
      <c r="G259" s="185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spans="1:27" ht="12.75">
      <c r="A260" s="14"/>
      <c r="B260" s="206"/>
      <c r="C260" s="6"/>
      <c r="D260" s="14"/>
      <c r="E260" s="185"/>
      <c r="F260" s="35"/>
      <c r="G260" s="185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spans="1:27" ht="12.75">
      <c r="A261" s="14"/>
      <c r="B261" s="206"/>
      <c r="C261" s="6"/>
      <c r="D261" s="14"/>
      <c r="E261" s="185"/>
      <c r="F261" s="35"/>
      <c r="G261" s="185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spans="1:27" ht="12.75">
      <c r="A262" s="14"/>
      <c r="B262" s="206"/>
      <c r="C262" s="6"/>
      <c r="D262" s="14"/>
      <c r="E262" s="185"/>
      <c r="F262" s="35"/>
      <c r="G262" s="185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spans="1:27" ht="12.75">
      <c r="A263" s="14"/>
      <c r="B263" s="206"/>
      <c r="C263" s="6"/>
      <c r="D263" s="14"/>
      <c r="E263" s="185"/>
      <c r="F263" s="35"/>
      <c r="G263" s="185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spans="1:27" ht="12.75">
      <c r="A264" s="14"/>
      <c r="B264" s="206"/>
      <c r="C264" s="6"/>
      <c r="D264" s="14"/>
      <c r="E264" s="185"/>
      <c r="F264" s="35"/>
      <c r="G264" s="185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spans="1:27" ht="12.75">
      <c r="A265" s="14"/>
      <c r="B265" s="206"/>
      <c r="C265" s="6"/>
      <c r="D265" s="14"/>
      <c r="E265" s="185"/>
      <c r="F265" s="35"/>
      <c r="G265" s="185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spans="1:27" ht="12.75">
      <c r="A266" s="14"/>
      <c r="B266" s="206"/>
      <c r="C266" s="6"/>
      <c r="D266" s="14"/>
      <c r="E266" s="185"/>
      <c r="F266" s="35"/>
      <c r="G266" s="185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spans="1:27" ht="12.75">
      <c r="A267" s="14"/>
      <c r="B267" s="206"/>
      <c r="C267" s="6"/>
      <c r="D267" s="14"/>
      <c r="E267" s="185"/>
      <c r="F267" s="35"/>
      <c r="G267" s="185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spans="1:27" ht="12.75">
      <c r="A268" s="14"/>
      <c r="B268" s="206"/>
      <c r="C268" s="6"/>
      <c r="D268" s="14"/>
      <c r="E268" s="185"/>
      <c r="F268" s="35"/>
      <c r="G268" s="185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spans="1:27" ht="12.75">
      <c r="A269" s="14"/>
      <c r="B269" s="206"/>
      <c r="C269" s="6"/>
      <c r="D269" s="14"/>
      <c r="E269" s="185"/>
      <c r="F269" s="35"/>
      <c r="G269" s="185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spans="1:27" ht="12.75">
      <c r="A270" s="14"/>
      <c r="B270" s="206"/>
      <c r="C270" s="6"/>
      <c r="D270" s="14"/>
      <c r="E270" s="185"/>
      <c r="F270" s="35"/>
      <c r="G270" s="185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spans="1:27" ht="12.75">
      <c r="A271" s="14"/>
      <c r="B271" s="206"/>
      <c r="C271" s="6"/>
      <c r="D271" s="14"/>
      <c r="E271" s="185"/>
      <c r="F271" s="35"/>
      <c r="G271" s="185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spans="1:27" ht="12.75">
      <c r="A272" s="14"/>
      <c r="B272" s="206"/>
      <c r="C272" s="6"/>
      <c r="D272" s="14"/>
      <c r="E272" s="185"/>
      <c r="F272" s="35"/>
      <c r="G272" s="185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spans="1:27" ht="12.75">
      <c r="A273" s="14"/>
      <c r="B273" s="206"/>
      <c r="C273" s="6"/>
      <c r="D273" s="14"/>
      <c r="E273" s="185"/>
      <c r="F273" s="35"/>
      <c r="G273" s="185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spans="1:27" ht="12.75">
      <c r="A274" s="14"/>
      <c r="B274" s="206"/>
      <c r="C274" s="6"/>
      <c r="D274" s="14"/>
      <c r="E274" s="185"/>
      <c r="F274" s="35"/>
      <c r="G274" s="185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spans="1:27" ht="12.75">
      <c r="A275" s="14"/>
      <c r="B275" s="206"/>
      <c r="C275" s="6"/>
      <c r="D275" s="14"/>
      <c r="E275" s="185"/>
      <c r="F275" s="35"/>
      <c r="G275" s="185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spans="1:27" ht="12.75">
      <c r="A276" s="14"/>
      <c r="B276" s="206"/>
      <c r="C276" s="6"/>
      <c r="D276" s="14"/>
      <c r="E276" s="185"/>
      <c r="F276" s="35"/>
      <c r="G276" s="185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spans="1:27" ht="12.75">
      <c r="A277" s="14"/>
      <c r="B277" s="206"/>
      <c r="C277" s="6"/>
      <c r="D277" s="14"/>
      <c r="E277" s="185"/>
      <c r="F277" s="35"/>
      <c r="G277" s="185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spans="1:27" ht="12.75">
      <c r="A278" s="14"/>
      <c r="B278" s="206"/>
      <c r="C278" s="6"/>
      <c r="D278" s="14"/>
      <c r="E278" s="185"/>
      <c r="F278" s="35"/>
      <c r="G278" s="185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spans="1:27" ht="12.75">
      <c r="A279" s="14"/>
      <c r="B279" s="206"/>
      <c r="C279" s="6"/>
      <c r="D279" s="14"/>
      <c r="E279" s="185"/>
      <c r="F279" s="35"/>
      <c r="G279" s="185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spans="1:27" ht="12.75">
      <c r="A280" s="14"/>
      <c r="B280" s="206"/>
      <c r="C280" s="6"/>
      <c r="D280" s="14"/>
      <c r="E280" s="185"/>
      <c r="F280" s="35"/>
      <c r="G280" s="185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spans="1:27" ht="12.75">
      <c r="A281" s="14"/>
      <c r="B281" s="206"/>
      <c r="C281" s="6"/>
      <c r="D281" s="14"/>
      <c r="E281" s="185"/>
      <c r="F281" s="35"/>
      <c r="G281" s="185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spans="1:27" ht="12.75">
      <c r="A282" s="14"/>
      <c r="B282" s="206"/>
      <c r="C282" s="6"/>
      <c r="D282" s="14"/>
      <c r="E282" s="185"/>
      <c r="F282" s="35"/>
      <c r="G282" s="185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spans="1:27" ht="12.75">
      <c r="A283" s="14"/>
      <c r="B283" s="206"/>
      <c r="C283" s="6"/>
      <c r="D283" s="14"/>
      <c r="E283" s="185"/>
      <c r="F283" s="35"/>
      <c r="G283" s="185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spans="1:27" ht="12.75">
      <c r="A284" s="14"/>
      <c r="B284" s="206"/>
      <c r="C284" s="6"/>
      <c r="D284" s="14"/>
      <c r="E284" s="185"/>
      <c r="F284" s="35"/>
      <c r="G284" s="185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spans="1:27" ht="12.75">
      <c r="A285" s="14"/>
      <c r="B285" s="206"/>
      <c r="C285" s="6"/>
      <c r="D285" s="14"/>
      <c r="E285" s="185"/>
      <c r="F285" s="35"/>
      <c r="G285" s="185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spans="1:27" ht="12.75">
      <c r="A286" s="14"/>
      <c r="B286" s="206"/>
      <c r="C286" s="6"/>
      <c r="D286" s="14"/>
      <c r="E286" s="185"/>
      <c r="F286" s="35"/>
      <c r="G286" s="185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spans="1:27" ht="12.75">
      <c r="A287" s="14"/>
      <c r="B287" s="206"/>
      <c r="C287" s="6"/>
      <c r="D287" s="14"/>
      <c r="E287" s="185"/>
      <c r="F287" s="35"/>
      <c r="G287" s="185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spans="1:27" ht="12.75">
      <c r="A288" s="14"/>
      <c r="B288" s="206"/>
      <c r="C288" s="6"/>
      <c r="D288" s="14"/>
      <c r="E288" s="185"/>
      <c r="F288" s="35"/>
      <c r="G288" s="185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spans="1:27" ht="12.75">
      <c r="A289" s="14"/>
      <c r="B289" s="206"/>
      <c r="C289" s="6"/>
      <c r="D289" s="14"/>
      <c r="E289" s="185"/>
      <c r="F289" s="35"/>
      <c r="G289" s="185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spans="1:27" ht="12.75">
      <c r="A290" s="14"/>
      <c r="B290" s="206"/>
      <c r="C290" s="6"/>
      <c r="D290" s="14"/>
      <c r="E290" s="185"/>
      <c r="F290" s="35"/>
      <c r="G290" s="185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spans="1:27" ht="12.75">
      <c r="A291" s="14"/>
      <c r="B291" s="206"/>
      <c r="C291" s="6"/>
      <c r="D291" s="14"/>
      <c r="E291" s="185"/>
      <c r="F291" s="35"/>
      <c r="G291" s="185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spans="1:27" ht="12.75">
      <c r="A292" s="14"/>
      <c r="B292" s="206"/>
      <c r="C292" s="6"/>
      <c r="D292" s="14"/>
      <c r="E292" s="185"/>
      <c r="F292" s="35"/>
      <c r="G292" s="185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spans="1:27" ht="12.75">
      <c r="A293" s="14"/>
      <c r="B293" s="206"/>
      <c r="C293" s="6"/>
      <c r="D293" s="14"/>
      <c r="E293" s="185"/>
      <c r="F293" s="35"/>
      <c r="G293" s="185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spans="1:27" ht="12.75">
      <c r="A294" s="14"/>
      <c r="B294" s="206"/>
      <c r="C294" s="6"/>
      <c r="D294" s="14"/>
      <c r="E294" s="185"/>
      <c r="F294" s="35"/>
      <c r="G294" s="185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spans="1:27" ht="12.75">
      <c r="A295" s="14"/>
      <c r="B295" s="206"/>
      <c r="C295" s="6"/>
      <c r="D295" s="14"/>
      <c r="E295" s="185"/>
      <c r="F295" s="35"/>
      <c r="G295" s="185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spans="1:27" ht="12.75">
      <c r="A296" s="14"/>
      <c r="B296" s="206"/>
      <c r="C296" s="6"/>
      <c r="D296" s="14"/>
      <c r="E296" s="185"/>
      <c r="F296" s="35"/>
      <c r="G296" s="185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spans="1:27" ht="12.75">
      <c r="A297" s="14"/>
      <c r="B297" s="206"/>
      <c r="C297" s="6"/>
      <c r="D297" s="14"/>
      <c r="E297" s="185"/>
      <c r="F297" s="35"/>
      <c r="G297" s="185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spans="1:27" ht="12.75">
      <c r="A298" s="14"/>
      <c r="B298" s="206"/>
      <c r="C298" s="6"/>
      <c r="D298" s="14"/>
      <c r="E298" s="185"/>
      <c r="F298" s="35"/>
      <c r="G298" s="185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spans="1:27" ht="12.75">
      <c r="A299" s="14"/>
      <c r="B299" s="206"/>
      <c r="C299" s="6"/>
      <c r="D299" s="14"/>
      <c r="E299" s="185"/>
      <c r="F299" s="35"/>
      <c r="G299" s="185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spans="1:27" ht="12.75">
      <c r="A300" s="14"/>
      <c r="B300" s="206"/>
      <c r="C300" s="6"/>
      <c r="D300" s="14"/>
      <c r="E300" s="185"/>
      <c r="F300" s="35"/>
      <c r="G300" s="185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spans="1:27" ht="12.75">
      <c r="A301" s="14"/>
      <c r="B301" s="206"/>
      <c r="C301" s="6"/>
      <c r="D301" s="14"/>
      <c r="E301" s="185"/>
      <c r="F301" s="35"/>
      <c r="G301" s="185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spans="1:27" ht="12.75">
      <c r="A302" s="14"/>
      <c r="B302" s="206"/>
      <c r="C302" s="6"/>
      <c r="D302" s="14"/>
      <c r="E302" s="185"/>
      <c r="F302" s="35"/>
      <c r="G302" s="185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spans="1:27" ht="12.75">
      <c r="A303" s="14"/>
      <c r="B303" s="206"/>
      <c r="C303" s="6"/>
      <c r="D303" s="14"/>
      <c r="E303" s="185"/>
      <c r="F303" s="35"/>
      <c r="G303" s="185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spans="1:27" ht="12.75">
      <c r="A304" s="14"/>
      <c r="B304" s="206"/>
      <c r="C304" s="6"/>
      <c r="D304" s="14"/>
      <c r="E304" s="185"/>
      <c r="F304" s="35"/>
      <c r="G304" s="185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spans="1:27" ht="12.75">
      <c r="A305" s="14"/>
      <c r="B305" s="206"/>
      <c r="C305" s="6"/>
      <c r="D305" s="14"/>
      <c r="E305" s="185"/>
      <c r="F305" s="35"/>
      <c r="G305" s="185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spans="1:27" ht="12.75">
      <c r="A306" s="14"/>
      <c r="B306" s="206"/>
      <c r="C306" s="6"/>
      <c r="D306" s="14"/>
      <c r="E306" s="185"/>
      <c r="F306" s="35"/>
      <c r="G306" s="185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spans="1:27" ht="12.75">
      <c r="A307" s="14"/>
      <c r="B307" s="206"/>
      <c r="C307" s="6"/>
      <c r="D307" s="14"/>
      <c r="E307" s="185"/>
      <c r="F307" s="35"/>
      <c r="G307" s="185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spans="1:27" ht="12.75">
      <c r="A308" s="14"/>
      <c r="B308" s="206"/>
      <c r="C308" s="6"/>
      <c r="D308" s="14"/>
      <c r="E308" s="185"/>
      <c r="F308" s="35"/>
      <c r="G308" s="185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spans="1:27" ht="12.75">
      <c r="A309" s="14"/>
      <c r="B309" s="206"/>
      <c r="C309" s="6"/>
      <c r="D309" s="14"/>
      <c r="E309" s="185"/>
      <c r="F309" s="35"/>
      <c r="G309" s="185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spans="1:27" ht="12.75">
      <c r="A310" s="14"/>
      <c r="B310" s="206"/>
      <c r="C310" s="6"/>
      <c r="D310" s="14"/>
      <c r="E310" s="185"/>
      <c r="F310" s="35"/>
      <c r="G310" s="185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spans="1:27" ht="12.75">
      <c r="A311" s="14"/>
      <c r="B311" s="206"/>
      <c r="C311" s="6"/>
      <c r="D311" s="14"/>
      <c r="E311" s="185"/>
      <c r="F311" s="35"/>
      <c r="G311" s="185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spans="1:27" ht="12.75">
      <c r="A312" s="14"/>
      <c r="B312" s="206"/>
      <c r="C312" s="6"/>
      <c r="D312" s="14"/>
      <c r="E312" s="185"/>
      <c r="F312" s="35"/>
      <c r="G312" s="185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spans="1:27" ht="12.75">
      <c r="A313" s="14"/>
      <c r="B313" s="206"/>
      <c r="C313" s="6"/>
      <c r="D313" s="14"/>
      <c r="E313" s="185"/>
      <c r="F313" s="35"/>
      <c r="G313" s="185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spans="1:27" ht="12.75">
      <c r="A314" s="14"/>
      <c r="B314" s="206"/>
      <c r="C314" s="6"/>
      <c r="D314" s="14"/>
      <c r="E314" s="185"/>
      <c r="F314" s="35"/>
      <c r="G314" s="185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spans="1:27" ht="12.75">
      <c r="A315" s="14"/>
      <c r="B315" s="206"/>
      <c r="C315" s="6"/>
      <c r="D315" s="14"/>
      <c r="E315" s="185"/>
      <c r="F315" s="35"/>
      <c r="G315" s="185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spans="1:27" ht="12.75">
      <c r="A316" s="14"/>
      <c r="B316" s="206"/>
      <c r="C316" s="6"/>
      <c r="D316" s="14"/>
      <c r="E316" s="185"/>
      <c r="F316" s="35"/>
      <c r="G316" s="185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spans="1:27" ht="12.75">
      <c r="A317" s="14"/>
      <c r="B317" s="206"/>
      <c r="C317" s="6"/>
      <c r="D317" s="14"/>
      <c r="E317" s="185"/>
      <c r="F317" s="35"/>
      <c r="G317" s="185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spans="1:27" ht="12.75">
      <c r="A318" s="14"/>
      <c r="B318" s="206"/>
      <c r="C318" s="6"/>
      <c r="D318" s="14"/>
      <c r="E318" s="185"/>
      <c r="F318" s="35"/>
      <c r="G318" s="185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spans="1:27" ht="12.75">
      <c r="A319" s="14"/>
      <c r="B319" s="206"/>
      <c r="C319" s="6"/>
      <c r="D319" s="14"/>
      <c r="E319" s="185"/>
      <c r="F319" s="35"/>
      <c r="G319" s="185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spans="1:27" ht="12.75">
      <c r="A320" s="14"/>
      <c r="B320" s="206"/>
      <c r="C320" s="6"/>
      <c r="D320" s="14"/>
      <c r="E320" s="185"/>
      <c r="F320" s="35"/>
      <c r="G320" s="185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spans="1:27" ht="12.75">
      <c r="A321" s="14"/>
      <c r="B321" s="206"/>
      <c r="C321" s="6"/>
      <c r="D321" s="14"/>
      <c r="E321" s="185"/>
      <c r="F321" s="35"/>
      <c r="G321" s="185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spans="1:27" ht="12.75">
      <c r="A322" s="14"/>
      <c r="B322" s="206"/>
      <c r="C322" s="6"/>
      <c r="D322" s="14"/>
      <c r="E322" s="185"/>
      <c r="F322" s="35"/>
      <c r="G322" s="185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spans="1:27" ht="12.75">
      <c r="A323" s="14"/>
      <c r="B323" s="206"/>
      <c r="C323" s="6"/>
      <c r="D323" s="14"/>
      <c r="E323" s="185"/>
      <c r="F323" s="35"/>
      <c r="G323" s="185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spans="1:27" ht="12.75">
      <c r="A324" s="14"/>
      <c r="B324" s="206"/>
      <c r="C324" s="6"/>
      <c r="D324" s="14"/>
      <c r="E324" s="185"/>
      <c r="F324" s="35"/>
      <c r="G324" s="185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spans="1:27" ht="12.75">
      <c r="A325" s="14"/>
      <c r="B325" s="206"/>
      <c r="C325" s="6"/>
      <c r="D325" s="14"/>
      <c r="E325" s="185"/>
      <c r="F325" s="35"/>
      <c r="G325" s="185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spans="1:27" ht="12.75">
      <c r="A326" s="14"/>
      <c r="B326" s="206"/>
      <c r="C326" s="6"/>
      <c r="D326" s="14"/>
      <c r="E326" s="185"/>
      <c r="F326" s="35"/>
      <c r="G326" s="185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spans="1:27" ht="12.75">
      <c r="A327" s="14"/>
      <c r="B327" s="206"/>
      <c r="C327" s="6"/>
      <c r="D327" s="14"/>
      <c r="E327" s="185"/>
      <c r="F327" s="35"/>
      <c r="G327" s="185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spans="1:27" ht="12.75">
      <c r="A328" s="14"/>
      <c r="B328" s="206"/>
      <c r="C328" s="6"/>
      <c r="D328" s="14"/>
      <c r="E328" s="185"/>
      <c r="F328" s="35"/>
      <c r="G328" s="185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spans="1:27" ht="12.75">
      <c r="A329" s="14"/>
      <c r="B329" s="206"/>
      <c r="C329" s="6"/>
      <c r="D329" s="14"/>
      <c r="E329" s="185"/>
      <c r="F329" s="35"/>
      <c r="G329" s="185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spans="1:27" ht="12.75">
      <c r="A330" s="14"/>
      <c r="B330" s="206"/>
      <c r="C330" s="6"/>
      <c r="D330" s="14"/>
      <c r="E330" s="185"/>
      <c r="F330" s="35"/>
      <c r="G330" s="185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spans="1:27" ht="12.75">
      <c r="A331" s="14"/>
      <c r="B331" s="206"/>
      <c r="C331" s="6"/>
      <c r="D331" s="14"/>
      <c r="E331" s="185"/>
      <c r="F331" s="35"/>
      <c r="G331" s="185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spans="1:27" ht="12.75">
      <c r="A332" s="14"/>
      <c r="B332" s="206"/>
      <c r="C332" s="6"/>
      <c r="D332" s="14"/>
      <c r="E332" s="185"/>
      <c r="F332" s="35"/>
      <c r="G332" s="185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spans="1:27" ht="12.75">
      <c r="A333" s="14"/>
      <c r="B333" s="206"/>
      <c r="C333" s="6"/>
      <c r="D333" s="14"/>
      <c r="E333" s="185"/>
      <c r="F333" s="35"/>
      <c r="G333" s="185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spans="1:27" ht="12.75">
      <c r="A334" s="14"/>
      <c r="B334" s="206"/>
      <c r="C334" s="6"/>
      <c r="D334" s="14"/>
      <c r="E334" s="185"/>
      <c r="F334" s="35"/>
      <c r="G334" s="185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spans="1:27" ht="12.75">
      <c r="A335" s="14"/>
      <c r="B335" s="206"/>
      <c r="C335" s="6"/>
      <c r="D335" s="14"/>
      <c r="E335" s="185"/>
      <c r="F335" s="35"/>
      <c r="G335" s="185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spans="1:27" ht="12.75">
      <c r="A336" s="14"/>
      <c r="B336" s="206"/>
      <c r="C336" s="6"/>
      <c r="D336" s="14"/>
      <c r="E336" s="185"/>
      <c r="F336" s="35"/>
      <c r="G336" s="185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spans="1:27" ht="12.75">
      <c r="A337" s="14"/>
      <c r="B337" s="206"/>
      <c r="C337" s="6"/>
      <c r="D337" s="14"/>
      <c r="E337" s="185"/>
      <c r="F337" s="35"/>
      <c r="G337" s="185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spans="1:27" ht="12.75">
      <c r="A338" s="14"/>
      <c r="B338" s="206"/>
      <c r="C338" s="6"/>
      <c r="D338" s="14"/>
      <c r="E338" s="185"/>
      <c r="F338" s="35"/>
      <c r="G338" s="185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spans="1:27" ht="12.75">
      <c r="A339" s="14"/>
      <c r="B339" s="206"/>
      <c r="C339" s="6"/>
      <c r="D339" s="14"/>
      <c r="E339" s="185"/>
      <c r="F339" s="35"/>
      <c r="G339" s="185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spans="1:27" ht="12.75">
      <c r="A340" s="14"/>
      <c r="B340" s="206"/>
      <c r="C340" s="6"/>
      <c r="D340" s="14"/>
      <c r="E340" s="185"/>
      <c r="F340" s="35"/>
      <c r="G340" s="185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spans="1:27" ht="12.75">
      <c r="A341" s="14"/>
      <c r="B341" s="206"/>
      <c r="C341" s="6"/>
      <c r="D341" s="14"/>
      <c r="E341" s="185"/>
      <c r="F341" s="35"/>
      <c r="G341" s="185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spans="1:27" ht="12.75">
      <c r="A342" s="14"/>
      <c r="B342" s="206"/>
      <c r="C342" s="6"/>
      <c r="D342" s="14"/>
      <c r="E342" s="185"/>
      <c r="F342" s="35"/>
      <c r="G342" s="185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spans="1:27" ht="12.75">
      <c r="A343" s="14"/>
      <c r="B343" s="206"/>
      <c r="C343" s="6"/>
      <c r="D343" s="14"/>
      <c r="E343" s="185"/>
      <c r="F343" s="35"/>
      <c r="G343" s="185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spans="1:27" ht="12.75">
      <c r="A344" s="14"/>
      <c r="B344" s="206"/>
      <c r="C344" s="6"/>
      <c r="D344" s="14"/>
      <c r="E344" s="185"/>
      <c r="F344" s="35"/>
      <c r="G344" s="185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spans="1:27" ht="12.75">
      <c r="A345" s="14"/>
      <c r="B345" s="206"/>
      <c r="C345" s="6"/>
      <c r="D345" s="14"/>
      <c r="E345" s="185"/>
      <c r="F345" s="35"/>
      <c r="G345" s="185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spans="1:27" ht="12.75">
      <c r="A346" s="14"/>
      <c r="B346" s="206"/>
      <c r="C346" s="6"/>
      <c r="D346" s="14"/>
      <c r="E346" s="185"/>
      <c r="F346" s="35"/>
      <c r="G346" s="185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spans="1:27" ht="12.75">
      <c r="A347" s="14"/>
      <c r="B347" s="206"/>
      <c r="C347" s="6"/>
      <c r="D347" s="14"/>
      <c r="E347" s="185"/>
      <c r="F347" s="35"/>
      <c r="G347" s="185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spans="1:27" ht="12.75">
      <c r="A348" s="14"/>
      <c r="B348" s="206"/>
      <c r="C348" s="6"/>
      <c r="D348" s="14"/>
      <c r="E348" s="185"/>
      <c r="F348" s="35"/>
      <c r="G348" s="185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spans="1:27" ht="12.75">
      <c r="A349" s="14"/>
      <c r="B349" s="206"/>
      <c r="C349" s="6"/>
      <c r="D349" s="14"/>
      <c r="E349" s="185"/>
      <c r="F349" s="35"/>
      <c r="G349" s="185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spans="1:27" ht="12.75">
      <c r="A350" s="14"/>
      <c r="B350" s="206"/>
      <c r="C350" s="6"/>
      <c r="D350" s="14"/>
      <c r="E350" s="185"/>
      <c r="F350" s="35"/>
      <c r="G350" s="185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spans="1:27" ht="12.75">
      <c r="A351" s="14"/>
      <c r="B351" s="206"/>
      <c r="C351" s="6"/>
      <c r="D351" s="14"/>
      <c r="E351" s="185"/>
      <c r="F351" s="35"/>
      <c r="G351" s="185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spans="1:27" ht="12.75">
      <c r="A352" s="14"/>
      <c r="B352" s="206"/>
      <c r="C352" s="6"/>
      <c r="D352" s="14"/>
      <c r="E352" s="185"/>
      <c r="F352" s="35"/>
      <c r="G352" s="185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spans="1:27" ht="12.75">
      <c r="A353" s="14"/>
      <c r="B353" s="206"/>
      <c r="C353" s="6"/>
      <c r="D353" s="14"/>
      <c r="E353" s="185"/>
      <c r="F353" s="35"/>
      <c r="G353" s="185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spans="1:27" ht="12.75">
      <c r="A354" s="14"/>
      <c r="B354" s="206"/>
      <c r="C354" s="6"/>
      <c r="D354" s="14"/>
      <c r="E354" s="185"/>
      <c r="F354" s="35"/>
      <c r="G354" s="185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spans="1:27" ht="12.75">
      <c r="A355" s="14"/>
      <c r="B355" s="206"/>
      <c r="C355" s="6"/>
      <c r="D355" s="14"/>
      <c r="E355" s="185"/>
      <c r="F355" s="35"/>
      <c r="G355" s="185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spans="1:27" ht="12.75">
      <c r="A356" s="14"/>
      <c r="B356" s="206"/>
      <c r="C356" s="6"/>
      <c r="D356" s="14"/>
      <c r="E356" s="185"/>
      <c r="F356" s="35"/>
      <c r="G356" s="185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spans="1:27" ht="12.75">
      <c r="A357" s="14"/>
      <c r="B357" s="206"/>
      <c r="C357" s="6"/>
      <c r="D357" s="14"/>
      <c r="E357" s="185"/>
      <c r="F357" s="35"/>
      <c r="G357" s="185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spans="1:27" ht="12.75">
      <c r="A358" s="14"/>
      <c r="B358" s="206"/>
      <c r="C358" s="6"/>
      <c r="D358" s="14"/>
      <c r="E358" s="185"/>
      <c r="F358" s="35"/>
      <c r="G358" s="185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spans="1:27" ht="12.75">
      <c r="A359" s="14"/>
      <c r="B359" s="206"/>
      <c r="C359" s="6"/>
      <c r="D359" s="14"/>
      <c r="E359" s="185"/>
      <c r="F359" s="35"/>
      <c r="G359" s="185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spans="1:27" ht="12.75">
      <c r="A360" s="14"/>
      <c r="B360" s="206"/>
      <c r="C360" s="6"/>
      <c r="D360" s="14"/>
      <c r="E360" s="185"/>
      <c r="F360" s="35"/>
      <c r="G360" s="185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spans="1:27" ht="12.75">
      <c r="A361" s="14"/>
      <c r="B361" s="206"/>
      <c r="C361" s="6"/>
      <c r="D361" s="14"/>
      <c r="E361" s="185"/>
      <c r="F361" s="35"/>
      <c r="G361" s="185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spans="1:27" ht="12.75">
      <c r="A362" s="14"/>
      <c r="B362" s="206"/>
      <c r="C362" s="6"/>
      <c r="D362" s="14"/>
      <c r="E362" s="185"/>
      <c r="F362" s="35"/>
      <c r="G362" s="185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spans="1:27" ht="12.75">
      <c r="A363" s="14"/>
      <c r="B363" s="206"/>
      <c r="C363" s="6"/>
      <c r="D363" s="14"/>
      <c r="E363" s="185"/>
      <c r="F363" s="35"/>
      <c r="G363" s="185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spans="1:27" ht="12.75">
      <c r="A364" s="14"/>
      <c r="B364" s="206"/>
      <c r="C364" s="6"/>
      <c r="D364" s="14"/>
      <c r="E364" s="185"/>
      <c r="F364" s="35"/>
      <c r="G364" s="185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spans="1:27" ht="12.75">
      <c r="A365" s="14"/>
      <c r="B365" s="206"/>
      <c r="C365" s="6"/>
      <c r="D365" s="14"/>
      <c r="E365" s="185"/>
      <c r="F365" s="35"/>
      <c r="G365" s="185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spans="1:27" ht="12.75">
      <c r="A366" s="14"/>
      <c r="B366" s="206"/>
      <c r="C366" s="6"/>
      <c r="D366" s="14"/>
      <c r="E366" s="185"/>
      <c r="F366" s="35"/>
      <c r="G366" s="185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spans="1:27" ht="12.75">
      <c r="A367" s="14"/>
      <c r="B367" s="206"/>
      <c r="C367" s="6"/>
      <c r="D367" s="14"/>
      <c r="E367" s="185"/>
      <c r="F367" s="35"/>
      <c r="G367" s="185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spans="1:27" ht="12.75">
      <c r="A368" s="14"/>
      <c r="B368" s="206"/>
      <c r="C368" s="6"/>
      <c r="D368" s="14"/>
      <c r="E368" s="185"/>
      <c r="F368" s="35"/>
      <c r="G368" s="185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spans="1:27" ht="12.75">
      <c r="A369" s="14"/>
      <c r="B369" s="206"/>
      <c r="C369" s="6"/>
      <c r="D369" s="14"/>
      <c r="E369" s="185"/>
      <c r="F369" s="35"/>
      <c r="G369" s="185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spans="1:27" ht="12.75">
      <c r="A370" s="14"/>
      <c r="B370" s="206"/>
      <c r="C370" s="6"/>
      <c r="D370" s="14"/>
      <c r="E370" s="185"/>
      <c r="F370" s="35"/>
      <c r="G370" s="185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spans="1:27" ht="12.75">
      <c r="A371" s="14"/>
      <c r="B371" s="206"/>
      <c r="C371" s="6"/>
      <c r="D371" s="14"/>
      <c r="E371" s="185"/>
      <c r="F371" s="35"/>
      <c r="G371" s="185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spans="1:27" ht="12.75">
      <c r="A372" s="14"/>
      <c r="B372" s="206"/>
      <c r="C372" s="6"/>
      <c r="D372" s="14"/>
      <c r="E372" s="185"/>
      <c r="F372" s="35"/>
      <c r="G372" s="185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spans="1:27" ht="12.75">
      <c r="A373" s="14"/>
      <c r="B373" s="206"/>
      <c r="C373" s="6"/>
      <c r="D373" s="14"/>
      <c r="E373" s="185"/>
      <c r="F373" s="35"/>
      <c r="G373" s="185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spans="1:27" ht="12.75">
      <c r="A374" s="14"/>
      <c r="B374" s="206"/>
      <c r="C374" s="6"/>
      <c r="D374" s="14"/>
      <c r="E374" s="185"/>
      <c r="F374" s="35"/>
      <c r="G374" s="185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spans="1:27" ht="12.75">
      <c r="A375" s="14"/>
      <c r="B375" s="206"/>
      <c r="C375" s="6"/>
      <c r="D375" s="14"/>
      <c r="E375" s="185"/>
      <c r="F375" s="35"/>
      <c r="G375" s="185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spans="1:27" ht="12.75">
      <c r="A376" s="14"/>
      <c r="B376" s="206"/>
      <c r="C376" s="6"/>
      <c r="D376" s="14"/>
      <c r="E376" s="185"/>
      <c r="F376" s="35"/>
      <c r="G376" s="185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spans="1:27" ht="12.75">
      <c r="A377" s="14"/>
      <c r="B377" s="206"/>
      <c r="C377" s="6"/>
      <c r="D377" s="14"/>
      <c r="E377" s="185"/>
      <c r="F377" s="35"/>
      <c r="G377" s="185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spans="1:27" ht="12.75">
      <c r="A378" s="14"/>
      <c r="B378" s="206"/>
      <c r="C378" s="6"/>
      <c r="D378" s="14"/>
      <c r="E378" s="185"/>
      <c r="F378" s="35"/>
      <c r="G378" s="185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spans="1:27" ht="12.75">
      <c r="A379" s="14"/>
      <c r="B379" s="206"/>
      <c r="C379" s="6"/>
      <c r="D379" s="14"/>
      <c r="E379" s="185"/>
      <c r="F379" s="35"/>
      <c r="G379" s="185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spans="1:27" ht="12.75">
      <c r="A380" s="14"/>
      <c r="B380" s="206"/>
      <c r="C380" s="6"/>
      <c r="D380" s="14"/>
      <c r="E380" s="185"/>
      <c r="F380" s="35"/>
      <c r="G380" s="185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spans="1:27" ht="12.75">
      <c r="A381" s="14"/>
      <c r="B381" s="206"/>
      <c r="C381" s="6"/>
      <c r="D381" s="14"/>
      <c r="E381" s="185"/>
      <c r="F381" s="35"/>
      <c r="G381" s="185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spans="1:27" ht="12.75">
      <c r="A382" s="14"/>
      <c r="B382" s="206"/>
      <c r="C382" s="6"/>
      <c r="D382" s="14"/>
      <c r="E382" s="185"/>
      <c r="F382" s="35"/>
      <c r="G382" s="185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spans="1:27" ht="12.75">
      <c r="A383" s="14"/>
      <c r="B383" s="206"/>
      <c r="C383" s="6"/>
      <c r="D383" s="14"/>
      <c r="E383" s="185"/>
      <c r="F383" s="35"/>
      <c r="G383" s="185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 spans="1:27" ht="12.75">
      <c r="A384" s="14"/>
      <c r="B384" s="206"/>
      <c r="C384" s="6"/>
      <c r="D384" s="14"/>
      <c r="E384" s="185"/>
      <c r="F384" s="35"/>
      <c r="G384" s="185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 spans="1:27" ht="12.75">
      <c r="A385" s="14"/>
      <c r="B385" s="206"/>
      <c r="C385" s="6"/>
      <c r="D385" s="14"/>
      <c r="E385" s="185"/>
      <c r="F385" s="35"/>
      <c r="G385" s="185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 spans="1:27" ht="12.75">
      <c r="A386" s="14"/>
      <c r="B386" s="206"/>
      <c r="C386" s="6"/>
      <c r="D386" s="14"/>
      <c r="E386" s="185"/>
      <c r="F386" s="35"/>
      <c r="G386" s="185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 spans="1:27" ht="12.75">
      <c r="A387" s="14"/>
      <c r="B387" s="206"/>
      <c r="C387" s="6"/>
      <c r="D387" s="14"/>
      <c r="E387" s="185"/>
      <c r="F387" s="35"/>
      <c r="G387" s="185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 spans="1:27" ht="12.75">
      <c r="A388" s="14"/>
      <c r="B388" s="206"/>
      <c r="C388" s="6"/>
      <c r="D388" s="14"/>
      <c r="E388" s="185"/>
      <c r="F388" s="35"/>
      <c r="G388" s="185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 spans="1:27" ht="12.75">
      <c r="A389" s="14"/>
      <c r="B389" s="206"/>
      <c r="C389" s="6"/>
      <c r="D389" s="14"/>
      <c r="E389" s="185"/>
      <c r="F389" s="35"/>
      <c r="G389" s="185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 spans="1:27" ht="12.75">
      <c r="A390" s="14"/>
      <c r="B390" s="206"/>
      <c r="C390" s="6"/>
      <c r="D390" s="14"/>
      <c r="E390" s="185"/>
      <c r="F390" s="35"/>
      <c r="G390" s="185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 spans="1:27" ht="12.75">
      <c r="A391" s="14"/>
      <c r="B391" s="206"/>
      <c r="C391" s="6"/>
      <c r="D391" s="14"/>
      <c r="E391" s="185"/>
      <c r="F391" s="35"/>
      <c r="G391" s="185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spans="1:27" ht="12.75">
      <c r="A392" s="14"/>
      <c r="B392" s="206"/>
      <c r="C392" s="6"/>
      <c r="D392" s="14"/>
      <c r="E392" s="185"/>
      <c r="F392" s="35"/>
      <c r="G392" s="185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spans="1:27" ht="12.75">
      <c r="A393" s="14"/>
      <c r="B393" s="206"/>
      <c r="C393" s="6"/>
      <c r="D393" s="14"/>
      <c r="E393" s="185"/>
      <c r="F393" s="35"/>
      <c r="G393" s="185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spans="1:27" ht="12.75">
      <c r="A394" s="14"/>
      <c r="B394" s="206"/>
      <c r="C394" s="6"/>
      <c r="D394" s="14"/>
      <c r="E394" s="185"/>
      <c r="F394" s="35"/>
      <c r="G394" s="185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spans="1:27" ht="12.75">
      <c r="A395" s="14"/>
      <c r="B395" s="206"/>
      <c r="C395" s="6"/>
      <c r="D395" s="14"/>
      <c r="E395" s="185"/>
      <c r="F395" s="35"/>
      <c r="G395" s="185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spans="1:27" ht="12.75">
      <c r="A396" s="14"/>
      <c r="B396" s="206"/>
      <c r="C396" s="6"/>
      <c r="D396" s="14"/>
      <c r="E396" s="185"/>
      <c r="F396" s="35"/>
      <c r="G396" s="185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spans="1:27" ht="12.75">
      <c r="A397" s="14"/>
      <c r="B397" s="206"/>
      <c r="C397" s="6"/>
      <c r="D397" s="14"/>
      <c r="E397" s="185"/>
      <c r="F397" s="35"/>
      <c r="G397" s="185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spans="1:27" ht="12.75">
      <c r="A398" s="14"/>
      <c r="B398" s="206"/>
      <c r="C398" s="6"/>
      <c r="D398" s="14"/>
      <c r="E398" s="185"/>
      <c r="F398" s="35"/>
      <c r="G398" s="185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spans="1:27" ht="12.75">
      <c r="A399" s="14"/>
      <c r="B399" s="206"/>
      <c r="C399" s="6"/>
      <c r="D399" s="14"/>
      <c r="E399" s="185"/>
      <c r="F399" s="35"/>
      <c r="G399" s="185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spans="1:27" ht="12.75">
      <c r="A400" s="14"/>
      <c r="B400" s="206"/>
      <c r="C400" s="6"/>
      <c r="D400" s="14"/>
      <c r="E400" s="185"/>
      <c r="F400" s="35"/>
      <c r="G400" s="185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spans="1:27" ht="12.75">
      <c r="A401" s="14"/>
      <c r="B401" s="206"/>
      <c r="C401" s="6"/>
      <c r="D401" s="14"/>
      <c r="E401" s="185"/>
      <c r="F401" s="35"/>
      <c r="G401" s="185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spans="1:27" ht="12.75">
      <c r="A402" s="14"/>
      <c r="B402" s="206"/>
      <c r="C402" s="6"/>
      <c r="D402" s="14"/>
      <c r="E402" s="185"/>
      <c r="F402" s="35"/>
      <c r="G402" s="185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spans="1:27" ht="12.75">
      <c r="A403" s="14"/>
      <c r="B403" s="206"/>
      <c r="C403" s="6"/>
      <c r="D403" s="14"/>
      <c r="E403" s="185"/>
      <c r="F403" s="35"/>
      <c r="G403" s="185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spans="1:27" ht="12.75">
      <c r="A404" s="14"/>
      <c r="B404" s="206"/>
      <c r="C404" s="6"/>
      <c r="D404" s="14"/>
      <c r="E404" s="185"/>
      <c r="F404" s="35"/>
      <c r="G404" s="185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spans="1:27" ht="12.75">
      <c r="A405" s="14"/>
      <c r="B405" s="206"/>
      <c r="C405" s="6"/>
      <c r="D405" s="14"/>
      <c r="E405" s="185"/>
      <c r="F405" s="35"/>
      <c r="G405" s="185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spans="1:27" ht="12.75">
      <c r="A406" s="14"/>
      <c r="B406" s="206"/>
      <c r="C406" s="6"/>
      <c r="D406" s="14"/>
      <c r="E406" s="185"/>
      <c r="F406" s="35"/>
      <c r="G406" s="185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spans="1:27" ht="12.75">
      <c r="A407" s="14"/>
      <c r="B407" s="206"/>
      <c r="C407" s="6"/>
      <c r="D407" s="14"/>
      <c r="E407" s="185"/>
      <c r="F407" s="35"/>
      <c r="G407" s="185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spans="1:27" ht="12.75">
      <c r="A408" s="14"/>
      <c r="B408" s="206"/>
      <c r="C408" s="6"/>
      <c r="D408" s="14"/>
      <c r="E408" s="185"/>
      <c r="F408" s="35"/>
      <c r="G408" s="185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spans="1:27" ht="12.75">
      <c r="A409" s="14"/>
      <c r="B409" s="206"/>
      <c r="C409" s="6"/>
      <c r="D409" s="14"/>
      <c r="E409" s="185"/>
      <c r="F409" s="35"/>
      <c r="G409" s="185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spans="1:27" ht="12.75">
      <c r="A410" s="14"/>
      <c r="B410" s="206"/>
      <c r="C410" s="6"/>
      <c r="D410" s="14"/>
      <c r="E410" s="185"/>
      <c r="F410" s="35"/>
      <c r="G410" s="185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spans="1:27" ht="12.75">
      <c r="A411" s="14"/>
      <c r="B411" s="206"/>
      <c r="C411" s="6"/>
      <c r="D411" s="14"/>
      <c r="E411" s="185"/>
      <c r="F411" s="35"/>
      <c r="G411" s="185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spans="1:27" ht="12.75">
      <c r="A412" s="14"/>
      <c r="B412" s="206"/>
      <c r="C412" s="6"/>
      <c r="D412" s="14"/>
      <c r="E412" s="185"/>
      <c r="F412" s="35"/>
      <c r="G412" s="185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spans="1:27" ht="12.75">
      <c r="A413" s="14"/>
      <c r="B413" s="206"/>
      <c r="C413" s="6"/>
      <c r="D413" s="14"/>
      <c r="E413" s="185"/>
      <c r="F413" s="35"/>
      <c r="G413" s="185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spans="1:27" ht="12.75">
      <c r="A414" s="14"/>
      <c r="B414" s="206"/>
      <c r="C414" s="6"/>
      <c r="D414" s="14"/>
      <c r="E414" s="185"/>
      <c r="F414" s="35"/>
      <c r="G414" s="185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spans="1:27" ht="12.75">
      <c r="A415" s="14"/>
      <c r="B415" s="206"/>
      <c r="C415" s="6"/>
      <c r="D415" s="14"/>
      <c r="E415" s="185"/>
      <c r="F415" s="35"/>
      <c r="G415" s="185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spans="1:27" ht="12.75">
      <c r="A416" s="14"/>
      <c r="B416" s="206"/>
      <c r="C416" s="6"/>
      <c r="D416" s="14"/>
      <c r="E416" s="185"/>
      <c r="F416" s="35"/>
      <c r="G416" s="185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spans="1:27" ht="12.75">
      <c r="A417" s="14"/>
      <c r="B417" s="206"/>
      <c r="C417" s="6"/>
      <c r="D417" s="14"/>
      <c r="E417" s="185"/>
      <c r="F417" s="35"/>
      <c r="G417" s="185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spans="1:27" ht="12.75">
      <c r="A418" s="14"/>
      <c r="B418" s="206"/>
      <c r="C418" s="6"/>
      <c r="D418" s="14"/>
      <c r="E418" s="185"/>
      <c r="F418" s="35"/>
      <c r="G418" s="185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spans="1:27" ht="12.75">
      <c r="A419" s="14"/>
      <c r="B419" s="206"/>
      <c r="C419" s="6"/>
      <c r="D419" s="14"/>
      <c r="E419" s="185"/>
      <c r="F419" s="35"/>
      <c r="G419" s="185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spans="1:27" ht="12.75">
      <c r="A420" s="14"/>
      <c r="B420" s="206"/>
      <c r="C420" s="6"/>
      <c r="D420" s="14"/>
      <c r="E420" s="185"/>
      <c r="F420" s="35"/>
      <c r="G420" s="185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 spans="1:27" ht="12.75">
      <c r="A421" s="14"/>
      <c r="B421" s="206"/>
      <c r="C421" s="6"/>
      <c r="D421" s="14"/>
      <c r="E421" s="185"/>
      <c r="F421" s="35"/>
      <c r="G421" s="185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 spans="1:27" ht="12.75">
      <c r="A422" s="14"/>
      <c r="B422" s="206"/>
      <c r="C422" s="6"/>
      <c r="D422" s="14"/>
      <c r="E422" s="185"/>
      <c r="F422" s="35"/>
      <c r="G422" s="185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 spans="1:27" ht="12.75">
      <c r="A423" s="14"/>
      <c r="B423" s="206"/>
      <c r="C423" s="6"/>
      <c r="D423" s="14"/>
      <c r="E423" s="185"/>
      <c r="F423" s="35"/>
      <c r="G423" s="185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 spans="1:27" ht="12.75">
      <c r="A424" s="14"/>
      <c r="B424" s="206"/>
      <c r="C424" s="6"/>
      <c r="D424" s="14"/>
      <c r="E424" s="185"/>
      <c r="F424" s="35"/>
      <c r="G424" s="185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 spans="1:27" ht="12.75">
      <c r="A425" s="14"/>
      <c r="B425" s="206"/>
      <c r="C425" s="6"/>
      <c r="D425" s="14"/>
      <c r="E425" s="185"/>
      <c r="F425" s="35"/>
      <c r="G425" s="185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 spans="1:27" ht="12.75">
      <c r="A426" s="14"/>
      <c r="B426" s="206"/>
      <c r="C426" s="6"/>
      <c r="D426" s="14"/>
      <c r="E426" s="185"/>
      <c r="F426" s="35"/>
      <c r="G426" s="185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spans="1:27" ht="12.75">
      <c r="A427" s="14"/>
      <c r="B427" s="206"/>
      <c r="C427" s="6"/>
      <c r="D427" s="14"/>
      <c r="E427" s="185"/>
      <c r="F427" s="35"/>
      <c r="G427" s="185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 spans="1:27" ht="12.75">
      <c r="A428" s="14"/>
      <c r="B428" s="206"/>
      <c r="C428" s="6"/>
      <c r="D428" s="14"/>
      <c r="E428" s="185"/>
      <c r="F428" s="35"/>
      <c r="G428" s="185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spans="1:27" ht="12.75">
      <c r="A429" s="14"/>
      <c r="B429" s="206"/>
      <c r="C429" s="6"/>
      <c r="D429" s="14"/>
      <c r="E429" s="185"/>
      <c r="F429" s="35"/>
      <c r="G429" s="185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spans="1:27" ht="12.75">
      <c r="A430" s="14"/>
      <c r="B430" s="206"/>
      <c r="C430" s="6"/>
      <c r="D430" s="14"/>
      <c r="E430" s="185"/>
      <c r="F430" s="35"/>
      <c r="G430" s="185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spans="1:27" ht="12.75">
      <c r="A431" s="14"/>
      <c r="B431" s="206"/>
      <c r="C431" s="6"/>
      <c r="D431" s="14"/>
      <c r="E431" s="185"/>
      <c r="F431" s="35"/>
      <c r="G431" s="185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spans="1:27" ht="12.75">
      <c r="A432" s="14"/>
      <c r="B432" s="206"/>
      <c r="C432" s="6"/>
      <c r="D432" s="14"/>
      <c r="E432" s="185"/>
      <c r="F432" s="35"/>
      <c r="G432" s="185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spans="1:27" ht="12.75">
      <c r="A433" s="14"/>
      <c r="B433" s="206"/>
      <c r="C433" s="6"/>
      <c r="D433" s="14"/>
      <c r="E433" s="185"/>
      <c r="F433" s="35"/>
      <c r="G433" s="185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spans="1:27" ht="12.75">
      <c r="A434" s="14"/>
      <c r="B434" s="206"/>
      <c r="C434" s="6"/>
      <c r="D434" s="14"/>
      <c r="E434" s="185"/>
      <c r="F434" s="35"/>
      <c r="G434" s="185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spans="1:27" ht="12.75">
      <c r="A435" s="14"/>
      <c r="B435" s="206"/>
      <c r="C435" s="6"/>
      <c r="D435" s="14"/>
      <c r="E435" s="185"/>
      <c r="F435" s="35"/>
      <c r="G435" s="185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spans="1:27" ht="12.75">
      <c r="A436" s="14"/>
      <c r="B436" s="206"/>
      <c r="C436" s="6"/>
      <c r="D436" s="14"/>
      <c r="E436" s="185"/>
      <c r="F436" s="35"/>
      <c r="G436" s="185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spans="1:27" ht="12.75">
      <c r="A437" s="14"/>
      <c r="B437" s="206"/>
      <c r="C437" s="6"/>
      <c r="D437" s="14"/>
      <c r="E437" s="185"/>
      <c r="F437" s="35"/>
      <c r="G437" s="185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spans="1:27" ht="12.75">
      <c r="A438" s="14"/>
      <c r="B438" s="206"/>
      <c r="C438" s="6"/>
      <c r="D438" s="14"/>
      <c r="E438" s="185"/>
      <c r="F438" s="35"/>
      <c r="G438" s="185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spans="1:27" ht="12.75">
      <c r="A439" s="14"/>
      <c r="B439" s="206"/>
      <c r="C439" s="6"/>
      <c r="D439" s="14"/>
      <c r="E439" s="185"/>
      <c r="F439" s="35"/>
      <c r="G439" s="185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spans="1:27" ht="12.75">
      <c r="A440" s="14"/>
      <c r="B440" s="206"/>
      <c r="C440" s="6"/>
      <c r="D440" s="14"/>
      <c r="E440" s="185"/>
      <c r="F440" s="35"/>
      <c r="G440" s="185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spans="1:27" ht="12.75">
      <c r="A441" s="14"/>
      <c r="B441" s="206"/>
      <c r="C441" s="6"/>
      <c r="D441" s="14"/>
      <c r="E441" s="185"/>
      <c r="F441" s="35"/>
      <c r="G441" s="185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spans="1:27" ht="12.75">
      <c r="A442" s="14"/>
      <c r="B442" s="206"/>
      <c r="C442" s="6"/>
      <c r="D442" s="14"/>
      <c r="E442" s="185"/>
      <c r="F442" s="35"/>
      <c r="G442" s="185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spans="1:27" ht="12.75">
      <c r="A443" s="14"/>
      <c r="B443" s="206"/>
      <c r="C443" s="6"/>
      <c r="D443" s="14"/>
      <c r="E443" s="185"/>
      <c r="F443" s="35"/>
      <c r="G443" s="185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spans="1:27" ht="12.75">
      <c r="A444" s="14"/>
      <c r="B444" s="206"/>
      <c r="C444" s="6"/>
      <c r="D444" s="14"/>
      <c r="E444" s="185"/>
      <c r="F444" s="35"/>
      <c r="G444" s="185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spans="1:27" ht="12.75">
      <c r="A445" s="14"/>
      <c r="B445" s="206"/>
      <c r="C445" s="6"/>
      <c r="D445" s="14"/>
      <c r="E445" s="185"/>
      <c r="F445" s="35"/>
      <c r="G445" s="185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spans="1:27" ht="12.75">
      <c r="A446" s="14"/>
      <c r="B446" s="206"/>
      <c r="C446" s="6"/>
      <c r="D446" s="14"/>
      <c r="E446" s="185"/>
      <c r="F446" s="35"/>
      <c r="G446" s="185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spans="1:27" ht="12.75">
      <c r="A447" s="14"/>
      <c r="B447" s="206"/>
      <c r="C447" s="6"/>
      <c r="D447" s="14"/>
      <c r="E447" s="185"/>
      <c r="F447" s="35"/>
      <c r="G447" s="185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spans="1:27" ht="12.75">
      <c r="A448" s="14"/>
      <c r="B448" s="206"/>
      <c r="C448" s="6"/>
      <c r="D448" s="14"/>
      <c r="E448" s="185"/>
      <c r="F448" s="35"/>
      <c r="G448" s="185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spans="1:27" ht="12.75">
      <c r="A449" s="14"/>
      <c r="B449" s="206"/>
      <c r="C449" s="6"/>
      <c r="D449" s="14"/>
      <c r="E449" s="185"/>
      <c r="F449" s="35"/>
      <c r="G449" s="185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spans="1:27" ht="12.75">
      <c r="A450" s="14"/>
      <c r="B450" s="206"/>
      <c r="C450" s="6"/>
      <c r="D450" s="14"/>
      <c r="E450" s="185"/>
      <c r="F450" s="35"/>
      <c r="G450" s="185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spans="1:27" ht="12.75">
      <c r="A451" s="14"/>
      <c r="B451" s="206"/>
      <c r="C451" s="6"/>
      <c r="D451" s="14"/>
      <c r="E451" s="185"/>
      <c r="F451" s="35"/>
      <c r="G451" s="185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spans="1:27" ht="12.75">
      <c r="A452" s="14"/>
      <c r="B452" s="206"/>
      <c r="C452" s="6"/>
      <c r="D452" s="14"/>
      <c r="E452" s="185"/>
      <c r="F452" s="35"/>
      <c r="G452" s="185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spans="1:27" ht="12.75">
      <c r="A453" s="14"/>
      <c r="B453" s="206"/>
      <c r="C453" s="6"/>
      <c r="D453" s="14"/>
      <c r="E453" s="185"/>
      <c r="F453" s="35"/>
      <c r="G453" s="185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spans="1:27" ht="12.75">
      <c r="A454" s="14"/>
      <c r="B454" s="206"/>
      <c r="C454" s="6"/>
      <c r="D454" s="14"/>
      <c r="E454" s="185"/>
      <c r="F454" s="35"/>
      <c r="G454" s="185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spans="1:27" ht="12.75">
      <c r="A455" s="14"/>
      <c r="B455" s="206"/>
      <c r="C455" s="6"/>
      <c r="D455" s="14"/>
      <c r="E455" s="185"/>
      <c r="F455" s="35"/>
      <c r="G455" s="185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spans="1:27" ht="12.75">
      <c r="A456" s="14"/>
      <c r="B456" s="206"/>
      <c r="C456" s="6"/>
      <c r="D456" s="14"/>
      <c r="E456" s="185"/>
      <c r="F456" s="35"/>
      <c r="G456" s="185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 spans="1:27" ht="12.75">
      <c r="A457" s="14"/>
      <c r="B457" s="206"/>
      <c r="C457" s="6"/>
      <c r="D457" s="14"/>
      <c r="E457" s="185"/>
      <c r="F457" s="35"/>
      <c r="G457" s="185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 spans="1:27" ht="12.75">
      <c r="A458" s="14"/>
      <c r="B458" s="206"/>
      <c r="C458" s="6"/>
      <c r="D458" s="14"/>
      <c r="E458" s="185"/>
      <c r="F458" s="35"/>
      <c r="G458" s="185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 spans="1:27" ht="12.75">
      <c r="A459" s="14"/>
      <c r="B459" s="206"/>
      <c r="C459" s="6"/>
      <c r="D459" s="14"/>
      <c r="E459" s="185"/>
      <c r="F459" s="35"/>
      <c r="G459" s="185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 spans="1:27" ht="12.75">
      <c r="A460" s="14"/>
      <c r="B460" s="206"/>
      <c r="C460" s="6"/>
      <c r="D460" s="14"/>
      <c r="E460" s="185"/>
      <c r="F460" s="35"/>
      <c r="G460" s="185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 spans="1:27" ht="12.75">
      <c r="A461" s="14"/>
      <c r="B461" s="206"/>
      <c r="C461" s="6"/>
      <c r="D461" s="14"/>
      <c r="E461" s="185"/>
      <c r="F461" s="35"/>
      <c r="G461" s="185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 spans="1:27" ht="12.75">
      <c r="A462" s="14"/>
      <c r="B462" s="206"/>
      <c r="C462" s="6"/>
      <c r="D462" s="14"/>
      <c r="E462" s="185"/>
      <c r="F462" s="35"/>
      <c r="G462" s="185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 spans="1:27" ht="12.75">
      <c r="A463" s="14"/>
      <c r="B463" s="206"/>
      <c r="C463" s="6"/>
      <c r="D463" s="14"/>
      <c r="E463" s="185"/>
      <c r="F463" s="35"/>
      <c r="G463" s="185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 spans="1:27" ht="12.75">
      <c r="A464" s="14"/>
      <c r="B464" s="206"/>
      <c r="C464" s="6"/>
      <c r="D464" s="14"/>
      <c r="E464" s="185"/>
      <c r="F464" s="35"/>
      <c r="G464" s="185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 spans="1:27" ht="12.75">
      <c r="A465" s="14"/>
      <c r="B465" s="206"/>
      <c r="C465" s="6"/>
      <c r="D465" s="14"/>
      <c r="E465" s="185"/>
      <c r="F465" s="35"/>
      <c r="G465" s="185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 spans="1:27" ht="12.75">
      <c r="A466" s="14"/>
      <c r="B466" s="206"/>
      <c r="C466" s="6"/>
      <c r="D466" s="14"/>
      <c r="E466" s="185"/>
      <c r="F466" s="35"/>
      <c r="G466" s="185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spans="1:27" ht="12.75">
      <c r="A467" s="14"/>
      <c r="B467" s="206"/>
      <c r="C467" s="6"/>
      <c r="D467" s="14"/>
      <c r="E467" s="185"/>
      <c r="F467" s="35"/>
      <c r="G467" s="185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spans="1:27" ht="12.75">
      <c r="A468" s="14"/>
      <c r="B468" s="206"/>
      <c r="C468" s="6"/>
      <c r="D468" s="14"/>
      <c r="E468" s="185"/>
      <c r="F468" s="35"/>
      <c r="G468" s="185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spans="1:27" ht="12.75">
      <c r="A469" s="14"/>
      <c r="B469" s="206"/>
      <c r="C469" s="6"/>
      <c r="D469" s="14"/>
      <c r="E469" s="185"/>
      <c r="F469" s="35"/>
      <c r="G469" s="185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spans="1:27" ht="12.75">
      <c r="A470" s="14"/>
      <c r="B470" s="206"/>
      <c r="C470" s="6"/>
      <c r="D470" s="14"/>
      <c r="E470" s="185"/>
      <c r="F470" s="35"/>
      <c r="G470" s="185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spans="1:27" ht="12.75">
      <c r="A471" s="14"/>
      <c r="B471" s="206"/>
      <c r="C471" s="6"/>
      <c r="D471" s="14"/>
      <c r="E471" s="185"/>
      <c r="F471" s="35"/>
      <c r="G471" s="185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spans="1:27" ht="12.75">
      <c r="A472" s="14"/>
      <c r="B472" s="206"/>
      <c r="C472" s="6"/>
      <c r="D472" s="14"/>
      <c r="E472" s="185"/>
      <c r="F472" s="35"/>
      <c r="G472" s="185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 spans="1:27" ht="12.75">
      <c r="A473" s="14"/>
      <c r="B473" s="206"/>
      <c r="C473" s="6"/>
      <c r="D473" s="14"/>
      <c r="E473" s="185"/>
      <c r="F473" s="35"/>
      <c r="G473" s="185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spans="1:27" ht="12.75">
      <c r="A474" s="14"/>
      <c r="B474" s="206"/>
      <c r="C474" s="6"/>
      <c r="D474" s="14"/>
      <c r="E474" s="185"/>
      <c r="F474" s="35"/>
      <c r="G474" s="185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spans="1:27" ht="12.75">
      <c r="A475" s="14"/>
      <c r="B475" s="206"/>
      <c r="C475" s="6"/>
      <c r="D475" s="14"/>
      <c r="E475" s="185"/>
      <c r="F475" s="35"/>
      <c r="G475" s="185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spans="1:27" ht="12.75">
      <c r="A476" s="14"/>
      <c r="B476" s="206"/>
      <c r="C476" s="6"/>
      <c r="D476" s="14"/>
      <c r="E476" s="185"/>
      <c r="F476" s="35"/>
      <c r="G476" s="185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spans="1:27" ht="12.75">
      <c r="A477" s="14"/>
      <c r="B477" s="206"/>
      <c r="C477" s="6"/>
      <c r="D477" s="14"/>
      <c r="E477" s="185"/>
      <c r="F477" s="35"/>
      <c r="G477" s="185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spans="1:27" ht="12.75">
      <c r="A478" s="14"/>
      <c r="B478" s="206"/>
      <c r="C478" s="6"/>
      <c r="D478" s="14"/>
      <c r="E478" s="185"/>
      <c r="F478" s="35"/>
      <c r="G478" s="185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spans="1:27" ht="12.75">
      <c r="A479" s="14"/>
      <c r="B479" s="206"/>
      <c r="C479" s="6"/>
      <c r="D479" s="14"/>
      <c r="E479" s="185"/>
      <c r="F479" s="35"/>
      <c r="G479" s="185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spans="1:27" ht="12.75">
      <c r="A480" s="14"/>
      <c r="B480" s="206"/>
      <c r="C480" s="6"/>
      <c r="D480" s="14"/>
      <c r="E480" s="185"/>
      <c r="F480" s="35"/>
      <c r="G480" s="185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spans="1:27" ht="12.75">
      <c r="A481" s="14"/>
      <c r="B481" s="206"/>
      <c r="C481" s="6"/>
      <c r="D481" s="14"/>
      <c r="E481" s="185"/>
      <c r="F481" s="35"/>
      <c r="G481" s="185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spans="1:27" ht="12.75">
      <c r="A482" s="14"/>
      <c r="B482" s="206"/>
      <c r="C482" s="6"/>
      <c r="D482" s="14"/>
      <c r="E482" s="185"/>
      <c r="F482" s="35"/>
      <c r="G482" s="185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spans="1:27" ht="12.75">
      <c r="A483" s="14"/>
      <c r="B483" s="206"/>
      <c r="C483" s="6"/>
      <c r="D483" s="14"/>
      <c r="E483" s="185"/>
      <c r="F483" s="35"/>
      <c r="G483" s="185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spans="1:27" ht="12.75">
      <c r="A484" s="14"/>
      <c r="B484" s="206"/>
      <c r="C484" s="6"/>
      <c r="D484" s="14"/>
      <c r="E484" s="185"/>
      <c r="F484" s="35"/>
      <c r="G484" s="185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spans="1:27" ht="12.75">
      <c r="A485" s="14"/>
      <c r="B485" s="206"/>
      <c r="C485" s="6"/>
      <c r="D485" s="14"/>
      <c r="E485" s="185"/>
      <c r="F485" s="35"/>
      <c r="G485" s="185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spans="1:27" ht="12.75">
      <c r="A486" s="14"/>
      <c r="B486" s="206"/>
      <c r="C486" s="6"/>
      <c r="D486" s="14"/>
      <c r="E486" s="185"/>
      <c r="F486" s="35"/>
      <c r="G486" s="185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spans="1:27" ht="12.75">
      <c r="A487" s="14"/>
      <c r="B487" s="206"/>
      <c r="C487" s="6"/>
      <c r="D487" s="14"/>
      <c r="E487" s="185"/>
      <c r="F487" s="35"/>
      <c r="G487" s="185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spans="1:27" ht="12.75">
      <c r="A488" s="14"/>
      <c r="B488" s="206"/>
      <c r="C488" s="6"/>
      <c r="D488" s="14"/>
      <c r="E488" s="185"/>
      <c r="F488" s="35"/>
      <c r="G488" s="185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spans="1:27" ht="12.75">
      <c r="A489" s="14"/>
      <c r="B489" s="206"/>
      <c r="C489" s="6"/>
      <c r="D489" s="14"/>
      <c r="E489" s="185"/>
      <c r="F489" s="35"/>
      <c r="G489" s="185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spans="1:27" ht="12.75">
      <c r="A490" s="14"/>
      <c r="B490" s="206"/>
      <c r="C490" s="6"/>
      <c r="D490" s="14"/>
      <c r="E490" s="185"/>
      <c r="F490" s="35"/>
      <c r="G490" s="185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spans="1:27" ht="12.75">
      <c r="A491" s="14"/>
      <c r="B491" s="206"/>
      <c r="C491" s="6"/>
      <c r="D491" s="14"/>
      <c r="E491" s="185"/>
      <c r="F491" s="35"/>
      <c r="G491" s="185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spans="1:27" ht="12.75">
      <c r="A492" s="14"/>
      <c r="B492" s="206"/>
      <c r="C492" s="6"/>
      <c r="D492" s="14"/>
      <c r="E492" s="185"/>
      <c r="F492" s="35"/>
      <c r="G492" s="185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spans="1:27" ht="12.75">
      <c r="A493" s="14"/>
      <c r="B493" s="206"/>
      <c r="C493" s="6"/>
      <c r="D493" s="14"/>
      <c r="E493" s="185"/>
      <c r="F493" s="35"/>
      <c r="G493" s="185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spans="1:27" ht="12.75">
      <c r="A494" s="14"/>
      <c r="B494" s="206"/>
      <c r="C494" s="6"/>
      <c r="D494" s="14"/>
      <c r="E494" s="185"/>
      <c r="F494" s="35"/>
      <c r="G494" s="185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spans="1:27" ht="12.75">
      <c r="A495" s="14"/>
      <c r="B495" s="206"/>
      <c r="C495" s="6"/>
      <c r="D495" s="14"/>
      <c r="E495" s="185"/>
      <c r="F495" s="35"/>
      <c r="G495" s="185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spans="1:27" ht="12.75">
      <c r="A496" s="14"/>
      <c r="B496" s="206"/>
      <c r="C496" s="6"/>
      <c r="D496" s="14"/>
      <c r="E496" s="185"/>
      <c r="F496" s="35"/>
      <c r="G496" s="185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spans="1:27" ht="12.75">
      <c r="A497" s="14"/>
      <c r="B497" s="206"/>
      <c r="C497" s="6"/>
      <c r="D497" s="14"/>
      <c r="E497" s="185"/>
      <c r="F497" s="35"/>
      <c r="G497" s="185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spans="1:27" ht="12.75">
      <c r="A498" s="14"/>
      <c r="B498" s="206"/>
      <c r="C498" s="6"/>
      <c r="D498" s="14"/>
      <c r="E498" s="185"/>
      <c r="F498" s="35"/>
      <c r="G498" s="185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spans="1:27" ht="12.75">
      <c r="A499" s="14"/>
      <c r="B499" s="206"/>
      <c r="C499" s="6"/>
      <c r="D499" s="14"/>
      <c r="E499" s="185"/>
      <c r="F499" s="35"/>
      <c r="G499" s="185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spans="1:27" ht="12.75">
      <c r="A500" s="14"/>
      <c r="B500" s="206"/>
      <c r="C500" s="6"/>
      <c r="D500" s="14"/>
      <c r="E500" s="185"/>
      <c r="F500" s="35"/>
      <c r="G500" s="185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spans="1:27" ht="12.75">
      <c r="A501" s="14"/>
      <c r="B501" s="206"/>
      <c r="C501" s="6"/>
      <c r="D501" s="14"/>
      <c r="E501" s="185"/>
      <c r="F501" s="35"/>
      <c r="G501" s="185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spans="1:27" ht="12.75">
      <c r="A502" s="14"/>
      <c r="B502" s="206"/>
      <c r="C502" s="6"/>
      <c r="D502" s="14"/>
      <c r="E502" s="185"/>
      <c r="F502" s="35"/>
      <c r="G502" s="185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spans="1:27" ht="12.75">
      <c r="A503" s="14"/>
      <c r="B503" s="206"/>
      <c r="C503" s="6"/>
      <c r="D503" s="14"/>
      <c r="E503" s="185"/>
      <c r="F503" s="35"/>
      <c r="G503" s="185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spans="1:27" ht="12.75">
      <c r="A504" s="14"/>
      <c r="B504" s="206"/>
      <c r="C504" s="6"/>
      <c r="D504" s="14"/>
      <c r="E504" s="185"/>
      <c r="F504" s="35"/>
      <c r="G504" s="185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spans="1:27" ht="12.75">
      <c r="A505" s="14"/>
      <c r="B505" s="206"/>
      <c r="C505" s="6"/>
      <c r="D505" s="14"/>
      <c r="E505" s="185"/>
      <c r="F505" s="35"/>
      <c r="G505" s="185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spans="1:27" ht="12.75">
      <c r="A506" s="14"/>
      <c r="B506" s="206"/>
      <c r="C506" s="6"/>
      <c r="D506" s="14"/>
      <c r="E506" s="185"/>
      <c r="F506" s="35"/>
      <c r="G506" s="185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spans="1:27" ht="12.75">
      <c r="A507" s="14"/>
      <c r="B507" s="206"/>
      <c r="C507" s="6"/>
      <c r="D507" s="14"/>
      <c r="E507" s="185"/>
      <c r="F507" s="35"/>
      <c r="G507" s="185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spans="1:27" ht="12.75">
      <c r="A508" s="14"/>
      <c r="B508" s="206"/>
      <c r="C508" s="6"/>
      <c r="D508" s="14"/>
      <c r="E508" s="185"/>
      <c r="F508" s="35"/>
      <c r="G508" s="185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spans="1:27" ht="12.75">
      <c r="A509" s="14"/>
      <c r="B509" s="206"/>
      <c r="C509" s="6"/>
      <c r="D509" s="14"/>
      <c r="E509" s="185"/>
      <c r="F509" s="35"/>
      <c r="G509" s="185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spans="1:27" ht="12.75">
      <c r="A510" s="14"/>
      <c r="B510" s="206"/>
      <c r="C510" s="6"/>
      <c r="D510" s="14"/>
      <c r="E510" s="185"/>
      <c r="F510" s="35"/>
      <c r="G510" s="185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spans="1:27" ht="12.75">
      <c r="A511" s="14"/>
      <c r="B511" s="206"/>
      <c r="C511" s="6"/>
      <c r="D511" s="14"/>
      <c r="E511" s="185"/>
      <c r="F511" s="35"/>
      <c r="G511" s="185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spans="1:27" ht="12.75">
      <c r="A512" s="14"/>
      <c r="B512" s="206"/>
      <c r="C512" s="6"/>
      <c r="D512" s="14"/>
      <c r="E512" s="185"/>
      <c r="F512" s="35"/>
      <c r="G512" s="185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spans="1:27" ht="12.75">
      <c r="A513" s="14"/>
      <c r="B513" s="206"/>
      <c r="C513" s="6"/>
      <c r="D513" s="14"/>
      <c r="E513" s="185"/>
      <c r="F513" s="35"/>
      <c r="G513" s="185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spans="1:27" ht="12.75">
      <c r="A514" s="14"/>
      <c r="B514" s="206"/>
      <c r="C514" s="6"/>
      <c r="D514" s="14"/>
      <c r="E514" s="185"/>
      <c r="F514" s="35"/>
      <c r="G514" s="185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spans="1:27" ht="12.75">
      <c r="A515" s="14"/>
      <c r="B515" s="206"/>
      <c r="C515" s="6"/>
      <c r="D515" s="14"/>
      <c r="E515" s="185"/>
      <c r="F515" s="35"/>
      <c r="G515" s="185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spans="1:27" ht="12.75">
      <c r="A516" s="14"/>
      <c r="B516" s="206"/>
      <c r="C516" s="6"/>
      <c r="D516" s="14"/>
      <c r="E516" s="185"/>
      <c r="F516" s="35"/>
      <c r="G516" s="185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spans="1:27" ht="12.75">
      <c r="A517" s="14"/>
      <c r="B517" s="206"/>
      <c r="C517" s="6"/>
      <c r="D517" s="14"/>
      <c r="E517" s="185"/>
      <c r="F517" s="35"/>
      <c r="G517" s="185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spans="1:27" ht="12.75">
      <c r="A518" s="14"/>
      <c r="B518" s="206"/>
      <c r="C518" s="6"/>
      <c r="D518" s="14"/>
      <c r="E518" s="185"/>
      <c r="F518" s="35"/>
      <c r="G518" s="185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spans="1:27" ht="12.75">
      <c r="A519" s="14"/>
      <c r="B519" s="206"/>
      <c r="C519" s="6"/>
      <c r="D519" s="14"/>
      <c r="E519" s="185"/>
      <c r="F519" s="35"/>
      <c r="G519" s="185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spans="1:27" ht="12.75">
      <c r="A520" s="14"/>
      <c r="B520" s="206"/>
      <c r="C520" s="6"/>
      <c r="D520" s="14"/>
      <c r="E520" s="185"/>
      <c r="F520" s="35"/>
      <c r="G520" s="185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 spans="1:27" ht="12.75">
      <c r="A521" s="14"/>
      <c r="B521" s="206"/>
      <c r="C521" s="6"/>
      <c r="D521" s="14"/>
      <c r="E521" s="185"/>
      <c r="F521" s="35"/>
      <c r="G521" s="185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 spans="1:27" ht="12.75">
      <c r="A522" s="14"/>
      <c r="B522" s="206"/>
      <c r="C522" s="6"/>
      <c r="D522" s="14"/>
      <c r="E522" s="185"/>
      <c r="F522" s="35"/>
      <c r="G522" s="185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 spans="1:27" ht="12.75">
      <c r="A523" s="14"/>
      <c r="B523" s="206"/>
      <c r="C523" s="6"/>
      <c r="D523" s="14"/>
      <c r="E523" s="185"/>
      <c r="F523" s="35"/>
      <c r="G523" s="185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 spans="1:27" ht="12.75">
      <c r="A524" s="14"/>
      <c r="B524" s="206"/>
      <c r="C524" s="6"/>
      <c r="D524" s="14"/>
      <c r="E524" s="185"/>
      <c r="F524" s="35"/>
      <c r="G524" s="185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 spans="1:27" ht="12.75">
      <c r="A525" s="14"/>
      <c r="B525" s="206"/>
      <c r="C525" s="6"/>
      <c r="D525" s="14"/>
      <c r="E525" s="185"/>
      <c r="F525" s="35"/>
      <c r="G525" s="185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 spans="1:27" ht="12.75">
      <c r="A526" s="14"/>
      <c r="B526" s="206"/>
      <c r="C526" s="6"/>
      <c r="D526" s="14"/>
      <c r="E526" s="185"/>
      <c r="F526" s="35"/>
      <c r="G526" s="185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 spans="1:27" ht="12.75">
      <c r="A527" s="14"/>
      <c r="B527" s="206"/>
      <c r="C527" s="6"/>
      <c r="D527" s="14"/>
      <c r="E527" s="185"/>
      <c r="F527" s="35"/>
      <c r="G527" s="185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 spans="1:27" ht="12.75">
      <c r="A528" s="14"/>
      <c r="B528" s="206"/>
      <c r="C528" s="6"/>
      <c r="D528" s="14"/>
      <c r="E528" s="185"/>
      <c r="F528" s="35"/>
      <c r="G528" s="185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 spans="1:27" ht="12.75">
      <c r="A529" s="14"/>
      <c r="B529" s="206"/>
      <c r="C529" s="6"/>
      <c r="D529" s="14"/>
      <c r="E529" s="185"/>
      <c r="F529" s="35"/>
      <c r="G529" s="185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spans="1:27" ht="12.75">
      <c r="A530" s="14"/>
      <c r="B530" s="206"/>
      <c r="C530" s="6"/>
      <c r="D530" s="14"/>
      <c r="E530" s="185"/>
      <c r="F530" s="35"/>
      <c r="G530" s="185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spans="1:27" ht="12.75">
      <c r="A531" s="14"/>
      <c r="B531" s="206"/>
      <c r="C531" s="6"/>
      <c r="D531" s="14"/>
      <c r="E531" s="185"/>
      <c r="F531" s="35"/>
      <c r="G531" s="185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spans="1:27" ht="12.75">
      <c r="A532" s="14"/>
      <c r="B532" s="206"/>
      <c r="C532" s="6"/>
      <c r="D532" s="14"/>
      <c r="E532" s="185"/>
      <c r="F532" s="35"/>
      <c r="G532" s="185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spans="1:27" ht="12.75">
      <c r="A533" s="14"/>
      <c r="B533" s="206"/>
      <c r="C533" s="6"/>
      <c r="D533" s="14"/>
      <c r="E533" s="185"/>
      <c r="F533" s="35"/>
      <c r="G533" s="185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spans="1:27" ht="12.75">
      <c r="A534" s="14"/>
      <c r="B534" s="206"/>
      <c r="C534" s="6"/>
      <c r="D534" s="14"/>
      <c r="E534" s="185"/>
      <c r="F534" s="35"/>
      <c r="G534" s="185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spans="1:27" ht="12.75">
      <c r="A535" s="14"/>
      <c r="B535" s="206"/>
      <c r="C535" s="6"/>
      <c r="D535" s="14"/>
      <c r="E535" s="185"/>
      <c r="F535" s="35"/>
      <c r="G535" s="185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spans="1:27" ht="12.75">
      <c r="A536" s="14"/>
      <c r="B536" s="206"/>
      <c r="C536" s="6"/>
      <c r="D536" s="14"/>
      <c r="E536" s="185"/>
      <c r="F536" s="35"/>
      <c r="G536" s="185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spans="1:27" ht="12.75">
      <c r="A537" s="14"/>
      <c r="B537" s="206"/>
      <c r="C537" s="6"/>
      <c r="D537" s="14"/>
      <c r="E537" s="185"/>
      <c r="F537" s="35"/>
      <c r="G537" s="185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spans="1:27" ht="12.75">
      <c r="A538" s="14"/>
      <c r="B538" s="206"/>
      <c r="C538" s="6"/>
      <c r="D538" s="14"/>
      <c r="E538" s="185"/>
      <c r="F538" s="35"/>
      <c r="G538" s="185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 spans="1:27" ht="12.75">
      <c r="A539" s="14"/>
      <c r="B539" s="206"/>
      <c r="C539" s="6"/>
      <c r="D539" s="14"/>
      <c r="E539" s="185"/>
      <c r="F539" s="35"/>
      <c r="G539" s="185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spans="1:27" ht="12.75">
      <c r="A540" s="14"/>
      <c r="B540" s="206"/>
      <c r="C540" s="6"/>
      <c r="D540" s="14"/>
      <c r="E540" s="185"/>
      <c r="F540" s="35"/>
      <c r="G540" s="185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spans="1:27" ht="12.75">
      <c r="A541" s="14"/>
      <c r="B541" s="206"/>
      <c r="C541" s="6"/>
      <c r="D541" s="14"/>
      <c r="E541" s="185"/>
      <c r="F541" s="35"/>
      <c r="G541" s="185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spans="1:27" ht="12.75">
      <c r="A542" s="14"/>
      <c r="B542" s="206"/>
      <c r="C542" s="6"/>
      <c r="D542" s="14"/>
      <c r="E542" s="185"/>
      <c r="F542" s="35"/>
      <c r="G542" s="185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 spans="1:27" ht="12.75">
      <c r="A543" s="14"/>
      <c r="B543" s="206"/>
      <c r="C543" s="6"/>
      <c r="D543" s="14"/>
      <c r="E543" s="185"/>
      <c r="F543" s="35"/>
      <c r="G543" s="185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spans="1:27" ht="12.75">
      <c r="A544" s="14"/>
      <c r="B544" s="206"/>
      <c r="C544" s="6"/>
      <c r="D544" s="14"/>
      <c r="E544" s="185"/>
      <c r="F544" s="35"/>
      <c r="G544" s="185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spans="1:27" ht="12.75">
      <c r="A545" s="14"/>
      <c r="B545" s="206"/>
      <c r="C545" s="6"/>
      <c r="D545" s="14"/>
      <c r="E545" s="185"/>
      <c r="F545" s="35"/>
      <c r="G545" s="185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spans="1:27" ht="12.75">
      <c r="A546" s="14"/>
      <c r="B546" s="206"/>
      <c r="C546" s="6"/>
      <c r="D546" s="14"/>
      <c r="E546" s="185"/>
      <c r="F546" s="35"/>
      <c r="G546" s="185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spans="1:27" ht="12.75">
      <c r="A547" s="14"/>
      <c r="B547" s="206"/>
      <c r="C547" s="6"/>
      <c r="D547" s="14"/>
      <c r="E547" s="185"/>
      <c r="F547" s="35"/>
      <c r="G547" s="185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spans="1:27" ht="12.75">
      <c r="A548" s="14"/>
      <c r="B548" s="206"/>
      <c r="C548" s="6"/>
      <c r="D548" s="14"/>
      <c r="E548" s="185"/>
      <c r="F548" s="35"/>
      <c r="G548" s="185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spans="1:27" ht="12.75">
      <c r="A549" s="14"/>
      <c r="B549" s="206"/>
      <c r="C549" s="6"/>
      <c r="D549" s="14"/>
      <c r="E549" s="185"/>
      <c r="F549" s="35"/>
      <c r="G549" s="185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spans="1:27" ht="12.75">
      <c r="A550" s="14"/>
      <c r="B550" s="206"/>
      <c r="C550" s="6"/>
      <c r="D550" s="14"/>
      <c r="E550" s="185"/>
      <c r="F550" s="35"/>
      <c r="G550" s="185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spans="1:27" ht="12.75">
      <c r="A551" s="14"/>
      <c r="B551" s="206"/>
      <c r="C551" s="6"/>
      <c r="D551" s="14"/>
      <c r="E551" s="185"/>
      <c r="F551" s="35"/>
      <c r="G551" s="185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spans="1:27" ht="12.75">
      <c r="A552" s="14"/>
      <c r="B552" s="206"/>
      <c r="C552" s="6"/>
      <c r="D552" s="14"/>
      <c r="E552" s="185"/>
      <c r="F552" s="35"/>
      <c r="G552" s="185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 spans="1:27" ht="12.75">
      <c r="A553" s="14"/>
      <c r="B553" s="206"/>
      <c r="C553" s="6"/>
      <c r="D553" s="14"/>
      <c r="E553" s="185"/>
      <c r="F553" s="35"/>
      <c r="G553" s="185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 spans="1:27" ht="12.75">
      <c r="A554" s="14"/>
      <c r="B554" s="206"/>
      <c r="C554" s="6"/>
      <c r="D554" s="14"/>
      <c r="E554" s="185"/>
      <c r="F554" s="35"/>
      <c r="G554" s="185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spans="1:27" ht="12.75">
      <c r="A555" s="14"/>
      <c r="B555" s="206"/>
      <c r="C555" s="6"/>
      <c r="D555" s="14"/>
      <c r="E555" s="185"/>
      <c r="F555" s="35"/>
      <c r="G555" s="185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 spans="1:27" ht="12.75">
      <c r="A556" s="14"/>
      <c r="B556" s="206"/>
      <c r="C556" s="6"/>
      <c r="D556" s="14"/>
      <c r="E556" s="185"/>
      <c r="F556" s="35"/>
      <c r="G556" s="185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 spans="1:27" ht="12.75">
      <c r="A557" s="14"/>
      <c r="B557" s="206"/>
      <c r="C557" s="6"/>
      <c r="D557" s="14"/>
      <c r="E557" s="185"/>
      <c r="F557" s="35"/>
      <c r="G557" s="185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 spans="1:27" ht="12.75">
      <c r="A558" s="14"/>
      <c r="B558" s="206"/>
      <c r="C558" s="6"/>
      <c r="D558" s="14"/>
      <c r="E558" s="185"/>
      <c r="F558" s="35"/>
      <c r="G558" s="185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 spans="1:27" ht="12.75">
      <c r="A559" s="14"/>
      <c r="B559" s="206"/>
      <c r="C559" s="6"/>
      <c r="D559" s="14"/>
      <c r="E559" s="185"/>
      <c r="F559" s="35"/>
      <c r="G559" s="185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 spans="1:27" ht="12.75">
      <c r="A560" s="14"/>
      <c r="B560" s="206"/>
      <c r="C560" s="6"/>
      <c r="D560" s="14"/>
      <c r="E560" s="185"/>
      <c r="F560" s="35"/>
      <c r="G560" s="185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 spans="1:27" ht="12.75">
      <c r="A561" s="14"/>
      <c r="B561" s="206"/>
      <c r="C561" s="6"/>
      <c r="D561" s="14"/>
      <c r="E561" s="185"/>
      <c r="F561" s="35"/>
      <c r="G561" s="185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 spans="1:27" ht="12.75">
      <c r="A562" s="14"/>
      <c r="B562" s="206"/>
      <c r="C562" s="6"/>
      <c r="D562" s="14"/>
      <c r="E562" s="185"/>
      <c r="F562" s="35"/>
      <c r="G562" s="185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 spans="1:27" ht="12.75">
      <c r="A563" s="14"/>
      <c r="B563" s="206"/>
      <c r="C563" s="6"/>
      <c r="D563" s="14"/>
      <c r="E563" s="185"/>
      <c r="F563" s="35"/>
      <c r="G563" s="185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 spans="1:27" ht="12.75">
      <c r="A564" s="14"/>
      <c r="B564" s="206"/>
      <c r="C564" s="6"/>
      <c r="D564" s="14"/>
      <c r="E564" s="185"/>
      <c r="F564" s="35"/>
      <c r="G564" s="185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 spans="1:27" ht="12.75">
      <c r="A565" s="14"/>
      <c r="B565" s="206"/>
      <c r="C565" s="6"/>
      <c r="D565" s="14"/>
      <c r="E565" s="185"/>
      <c r="F565" s="35"/>
      <c r="G565" s="185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 spans="1:27" ht="12.75">
      <c r="A566" s="14"/>
      <c r="B566" s="206"/>
      <c r="C566" s="6"/>
      <c r="D566" s="14"/>
      <c r="E566" s="185"/>
      <c r="F566" s="35"/>
      <c r="G566" s="185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 spans="1:27" ht="12.75">
      <c r="A567" s="14"/>
      <c r="B567" s="206"/>
      <c r="C567" s="6"/>
      <c r="D567" s="14"/>
      <c r="E567" s="185"/>
      <c r="F567" s="35"/>
      <c r="G567" s="185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 spans="1:27" ht="12.75">
      <c r="A568" s="14"/>
      <c r="B568" s="206"/>
      <c r="C568" s="6"/>
      <c r="D568" s="14"/>
      <c r="E568" s="185"/>
      <c r="F568" s="35"/>
      <c r="G568" s="185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 spans="1:27" ht="12.75">
      <c r="A569" s="14"/>
      <c r="B569" s="206"/>
      <c r="C569" s="6"/>
      <c r="D569" s="14"/>
      <c r="E569" s="185"/>
      <c r="F569" s="35"/>
      <c r="G569" s="185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 spans="1:27" ht="12.75">
      <c r="A570" s="14"/>
      <c r="B570" s="206"/>
      <c r="C570" s="6"/>
      <c r="D570" s="14"/>
      <c r="E570" s="185"/>
      <c r="F570" s="35"/>
      <c r="G570" s="185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 spans="1:27" ht="12.75">
      <c r="A571" s="14"/>
      <c r="B571" s="206"/>
      <c r="C571" s="6"/>
      <c r="D571" s="14"/>
      <c r="E571" s="185"/>
      <c r="F571" s="35"/>
      <c r="G571" s="185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 spans="1:27" ht="12.75">
      <c r="A572" s="14"/>
      <c r="B572" s="206"/>
      <c r="C572" s="6"/>
      <c r="D572" s="14"/>
      <c r="E572" s="185"/>
      <c r="F572" s="35"/>
      <c r="G572" s="185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 spans="1:27" ht="12.75">
      <c r="A573" s="14"/>
      <c r="B573" s="206"/>
      <c r="C573" s="6"/>
      <c r="D573" s="14"/>
      <c r="E573" s="185"/>
      <c r="F573" s="35"/>
      <c r="G573" s="185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 spans="1:27" ht="12.75">
      <c r="A574" s="14"/>
      <c r="B574" s="206"/>
      <c r="C574" s="6"/>
      <c r="D574" s="14"/>
      <c r="E574" s="185"/>
      <c r="F574" s="35"/>
      <c r="G574" s="185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 spans="1:27" ht="12.75">
      <c r="A575" s="14"/>
      <c r="B575" s="206"/>
      <c r="C575" s="6"/>
      <c r="D575" s="14"/>
      <c r="E575" s="185"/>
      <c r="F575" s="35"/>
      <c r="G575" s="185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 spans="1:27" ht="12.75">
      <c r="A576" s="14"/>
      <c r="B576" s="206"/>
      <c r="C576" s="6"/>
      <c r="D576" s="14"/>
      <c r="E576" s="185"/>
      <c r="F576" s="35"/>
      <c r="G576" s="185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spans="1:27" ht="12.75">
      <c r="A577" s="14"/>
      <c r="B577" s="206"/>
      <c r="C577" s="6"/>
      <c r="D577" s="14"/>
      <c r="E577" s="185"/>
      <c r="F577" s="35"/>
      <c r="G577" s="185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 spans="1:27" ht="12.75">
      <c r="A578" s="14"/>
      <c r="B578" s="206"/>
      <c r="C578" s="6"/>
      <c r="D578" s="14"/>
      <c r="E578" s="185"/>
      <c r="F578" s="35"/>
      <c r="G578" s="185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 spans="1:27" ht="12.75">
      <c r="A579" s="14"/>
      <c r="B579" s="206"/>
      <c r="C579" s="6"/>
      <c r="D579" s="14"/>
      <c r="E579" s="185"/>
      <c r="F579" s="35"/>
      <c r="G579" s="185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 spans="1:27" ht="12.75">
      <c r="A580" s="14"/>
      <c r="B580" s="206"/>
      <c r="C580" s="6"/>
      <c r="D580" s="14"/>
      <c r="E580" s="185"/>
      <c r="F580" s="35"/>
      <c r="G580" s="185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 spans="1:27" ht="12.75">
      <c r="A581" s="14"/>
      <c r="B581" s="206"/>
      <c r="C581" s="6"/>
      <c r="D581" s="14"/>
      <c r="E581" s="185"/>
      <c r="F581" s="35"/>
      <c r="G581" s="185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 spans="1:27" ht="12.75">
      <c r="A582" s="14"/>
      <c r="B582" s="206"/>
      <c r="C582" s="6"/>
      <c r="D582" s="14"/>
      <c r="E582" s="185"/>
      <c r="F582" s="35"/>
      <c r="G582" s="185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 spans="1:27" ht="12.75">
      <c r="A583" s="14"/>
      <c r="B583" s="206"/>
      <c r="C583" s="6"/>
      <c r="D583" s="14"/>
      <c r="E583" s="185"/>
      <c r="F583" s="35"/>
      <c r="G583" s="185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 spans="1:27" ht="12.75">
      <c r="A584" s="14"/>
      <c r="B584" s="206"/>
      <c r="C584" s="6"/>
      <c r="D584" s="14"/>
      <c r="E584" s="185"/>
      <c r="F584" s="35"/>
      <c r="G584" s="185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 spans="1:27" ht="12.75">
      <c r="A585" s="14"/>
      <c r="B585" s="206"/>
      <c r="C585" s="6"/>
      <c r="D585" s="14"/>
      <c r="E585" s="185"/>
      <c r="F585" s="35"/>
      <c r="G585" s="185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 spans="1:27" ht="12.75">
      <c r="A586" s="14"/>
      <c r="B586" s="206"/>
      <c r="C586" s="6"/>
      <c r="D586" s="14"/>
      <c r="E586" s="185"/>
      <c r="F586" s="35"/>
      <c r="G586" s="185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 spans="1:27" ht="12.75">
      <c r="A587" s="14"/>
      <c r="B587" s="206"/>
      <c r="C587" s="6"/>
      <c r="D587" s="14"/>
      <c r="E587" s="185"/>
      <c r="F587" s="35"/>
      <c r="G587" s="185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 spans="1:27" ht="12.75">
      <c r="A588" s="14"/>
      <c r="B588" s="206"/>
      <c r="C588" s="6"/>
      <c r="D588" s="14"/>
      <c r="E588" s="185"/>
      <c r="F588" s="35"/>
      <c r="G588" s="185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 spans="1:27" ht="12.75">
      <c r="A589" s="14"/>
      <c r="B589" s="206"/>
      <c r="C589" s="6"/>
      <c r="D589" s="14"/>
      <c r="E589" s="185"/>
      <c r="F589" s="35"/>
      <c r="G589" s="185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 spans="1:27" ht="12.75">
      <c r="A590" s="14"/>
      <c r="B590" s="206"/>
      <c r="C590" s="6"/>
      <c r="D590" s="14"/>
      <c r="E590" s="185"/>
      <c r="F590" s="35"/>
      <c r="G590" s="185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 spans="1:27" ht="12.75">
      <c r="A591" s="14"/>
      <c r="B591" s="206"/>
      <c r="C591" s="6"/>
      <c r="D591" s="14"/>
      <c r="E591" s="185"/>
      <c r="F591" s="35"/>
      <c r="G591" s="185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 spans="1:27" ht="12.75">
      <c r="A592" s="14"/>
      <c r="B592" s="206"/>
      <c r="C592" s="6"/>
      <c r="D592" s="14"/>
      <c r="E592" s="185"/>
      <c r="F592" s="35"/>
      <c r="G592" s="185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 spans="1:27" ht="12.75">
      <c r="A593" s="14"/>
      <c r="B593" s="206"/>
      <c r="C593" s="6"/>
      <c r="D593" s="14"/>
      <c r="E593" s="185"/>
      <c r="F593" s="35"/>
      <c r="G593" s="185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 spans="1:27" ht="12.75">
      <c r="A594" s="14"/>
      <c r="B594" s="206"/>
      <c r="C594" s="6"/>
      <c r="D594" s="14"/>
      <c r="E594" s="185"/>
      <c r="F594" s="35"/>
      <c r="G594" s="185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 spans="1:27" ht="12.75">
      <c r="A595" s="14"/>
      <c r="B595" s="206"/>
      <c r="C595" s="6"/>
      <c r="D595" s="14"/>
      <c r="E595" s="185"/>
      <c r="F595" s="35"/>
      <c r="G595" s="185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 spans="1:27" ht="12.75">
      <c r="A596" s="14"/>
      <c r="B596" s="206"/>
      <c r="C596" s="6"/>
      <c r="D596" s="14"/>
      <c r="E596" s="185"/>
      <c r="F596" s="35"/>
      <c r="G596" s="185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 spans="1:27" ht="12.75">
      <c r="A597" s="14"/>
      <c r="B597" s="206"/>
      <c r="C597" s="6"/>
      <c r="D597" s="14"/>
      <c r="E597" s="185"/>
      <c r="F597" s="35"/>
      <c r="G597" s="185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 spans="1:27" ht="12.75">
      <c r="A598" s="14"/>
      <c r="B598" s="206"/>
      <c r="C598" s="6"/>
      <c r="D598" s="14"/>
      <c r="E598" s="185"/>
      <c r="F598" s="35"/>
      <c r="G598" s="185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 spans="1:27" ht="12.75">
      <c r="A599" s="14"/>
      <c r="B599" s="206"/>
      <c r="C599" s="6"/>
      <c r="D599" s="14"/>
      <c r="E599" s="185"/>
      <c r="F599" s="35"/>
      <c r="G599" s="185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 spans="1:27" ht="12.75">
      <c r="A600" s="14"/>
      <c r="B600" s="206"/>
      <c r="C600" s="6"/>
      <c r="D600" s="14"/>
      <c r="E600" s="185"/>
      <c r="F600" s="35"/>
      <c r="G600" s="185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 spans="1:27" ht="12.75">
      <c r="A601" s="14"/>
      <c r="B601" s="206"/>
      <c r="C601" s="6"/>
      <c r="D601" s="14"/>
      <c r="E601" s="185"/>
      <c r="F601" s="35"/>
      <c r="G601" s="185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 spans="1:27" ht="12.75">
      <c r="A602" s="14"/>
      <c r="B602" s="206"/>
      <c r="C602" s="6"/>
      <c r="D602" s="14"/>
      <c r="E602" s="185"/>
      <c r="F602" s="35"/>
      <c r="G602" s="185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 spans="1:27" ht="12.75">
      <c r="A603" s="14"/>
      <c r="B603" s="206"/>
      <c r="C603" s="6"/>
      <c r="D603" s="14"/>
      <c r="E603" s="185"/>
      <c r="F603" s="35"/>
      <c r="G603" s="185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 spans="1:27" ht="12.75">
      <c r="A604" s="14"/>
      <c r="B604" s="206"/>
      <c r="C604" s="6"/>
      <c r="D604" s="14"/>
      <c r="E604" s="185"/>
      <c r="F604" s="35"/>
      <c r="G604" s="185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 spans="1:27" ht="12.75">
      <c r="A605" s="14"/>
      <c r="B605" s="206"/>
      <c r="C605" s="6"/>
      <c r="D605" s="14"/>
      <c r="E605" s="185"/>
      <c r="F605" s="35"/>
      <c r="G605" s="185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 spans="1:27" ht="12.75">
      <c r="A606" s="14"/>
      <c r="B606" s="206"/>
      <c r="C606" s="6"/>
      <c r="D606" s="14"/>
      <c r="E606" s="185"/>
      <c r="F606" s="35"/>
      <c r="G606" s="185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 spans="1:27" ht="12.75">
      <c r="A607" s="14"/>
      <c r="B607" s="206"/>
      <c r="C607" s="6"/>
      <c r="D607" s="14"/>
      <c r="E607" s="185"/>
      <c r="F607" s="35"/>
      <c r="G607" s="185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 spans="1:27" ht="12.75">
      <c r="A608" s="14"/>
      <c r="B608" s="206"/>
      <c r="C608" s="6"/>
      <c r="D608" s="14"/>
      <c r="E608" s="185"/>
      <c r="F608" s="35"/>
      <c r="G608" s="185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 spans="1:27" ht="12.75">
      <c r="A609" s="14"/>
      <c r="B609" s="206"/>
      <c r="C609" s="6"/>
      <c r="D609" s="14"/>
      <c r="E609" s="185"/>
      <c r="F609" s="35"/>
      <c r="G609" s="185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 spans="1:27" ht="12.75">
      <c r="A610" s="14"/>
      <c r="B610" s="206"/>
      <c r="C610" s="6"/>
      <c r="D610" s="14"/>
      <c r="E610" s="185"/>
      <c r="F610" s="35"/>
      <c r="G610" s="185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 spans="1:27" ht="12.75">
      <c r="A611" s="14"/>
      <c r="B611" s="206"/>
      <c r="C611" s="6"/>
      <c r="D611" s="14"/>
      <c r="E611" s="185"/>
      <c r="F611" s="35"/>
      <c r="G611" s="185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 spans="1:27" ht="12.75">
      <c r="A612" s="14"/>
      <c r="B612" s="206"/>
      <c r="C612" s="6"/>
      <c r="D612" s="14"/>
      <c r="E612" s="185"/>
      <c r="F612" s="35"/>
      <c r="G612" s="185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 spans="1:27" ht="12.75">
      <c r="A613" s="14"/>
      <c r="B613" s="206"/>
      <c r="C613" s="6"/>
      <c r="D613" s="14"/>
      <c r="E613" s="185"/>
      <c r="F613" s="35"/>
      <c r="G613" s="185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 spans="1:27" ht="12.75">
      <c r="A614" s="14"/>
      <c r="B614" s="206"/>
      <c r="C614" s="6"/>
      <c r="D614" s="14"/>
      <c r="E614" s="185"/>
      <c r="F614" s="35"/>
      <c r="G614" s="185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 spans="1:27" ht="12.75">
      <c r="A615" s="14"/>
      <c r="B615" s="206"/>
      <c r="C615" s="6"/>
      <c r="D615" s="14"/>
      <c r="E615" s="185"/>
      <c r="F615" s="35"/>
      <c r="G615" s="185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 spans="1:27" ht="12.75">
      <c r="A616" s="14"/>
      <c r="B616" s="206"/>
      <c r="C616" s="6"/>
      <c r="D616" s="14"/>
      <c r="E616" s="185"/>
      <c r="F616" s="35"/>
      <c r="G616" s="185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 spans="1:27" ht="12.75">
      <c r="A617" s="14"/>
      <c r="B617" s="206"/>
      <c r="C617" s="6"/>
      <c r="D617" s="14"/>
      <c r="E617" s="185"/>
      <c r="F617" s="35"/>
      <c r="G617" s="185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 spans="1:27" ht="12.75">
      <c r="A618" s="14"/>
      <c r="B618" s="206"/>
      <c r="C618" s="6"/>
      <c r="D618" s="14"/>
      <c r="E618" s="185"/>
      <c r="F618" s="35"/>
      <c r="G618" s="185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 spans="1:27" ht="12.75">
      <c r="A619" s="14"/>
      <c r="B619" s="206"/>
      <c r="C619" s="6"/>
      <c r="D619" s="14"/>
      <c r="E619" s="185"/>
      <c r="F619" s="35"/>
      <c r="G619" s="185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 spans="1:27" ht="12.75">
      <c r="A620" s="14"/>
      <c r="B620" s="206"/>
      <c r="C620" s="6"/>
      <c r="D620" s="14"/>
      <c r="E620" s="185"/>
      <c r="F620" s="35"/>
      <c r="G620" s="185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 spans="1:27" ht="12.75">
      <c r="A621" s="14"/>
      <c r="B621" s="206"/>
      <c r="C621" s="6"/>
      <c r="D621" s="14"/>
      <c r="E621" s="185"/>
      <c r="F621" s="35"/>
      <c r="G621" s="185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 spans="1:27" ht="12.75">
      <c r="A622" s="14"/>
      <c r="B622" s="206"/>
      <c r="C622" s="6"/>
      <c r="D622" s="14"/>
      <c r="E622" s="185"/>
      <c r="F622" s="35"/>
      <c r="G622" s="185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 spans="1:27" ht="12.75">
      <c r="A623" s="14"/>
      <c r="B623" s="206"/>
      <c r="C623" s="6"/>
      <c r="D623" s="14"/>
      <c r="E623" s="185"/>
      <c r="F623" s="35"/>
      <c r="G623" s="185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 spans="1:27" ht="12.75">
      <c r="A624" s="14"/>
      <c r="B624" s="206"/>
      <c r="C624" s="6"/>
      <c r="D624" s="14"/>
      <c r="E624" s="185"/>
      <c r="F624" s="35"/>
      <c r="G624" s="185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 spans="1:27" ht="12.75">
      <c r="A625" s="14"/>
      <c r="B625" s="206"/>
      <c r="C625" s="6"/>
      <c r="D625" s="14"/>
      <c r="E625" s="185"/>
      <c r="F625" s="35"/>
      <c r="G625" s="185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 spans="1:27" ht="12.75">
      <c r="A626" s="14"/>
      <c r="B626" s="206"/>
      <c r="C626" s="6"/>
      <c r="D626" s="14"/>
      <c r="E626" s="185"/>
      <c r="F626" s="35"/>
      <c r="G626" s="185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 spans="1:27" ht="12.75">
      <c r="A627" s="14"/>
      <c r="B627" s="206"/>
      <c r="C627" s="6"/>
      <c r="D627" s="14"/>
      <c r="E627" s="185"/>
      <c r="F627" s="35"/>
      <c r="G627" s="185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 spans="1:27" ht="12.75">
      <c r="A628" s="14"/>
      <c r="B628" s="206"/>
      <c r="C628" s="6"/>
      <c r="D628" s="14"/>
      <c r="E628" s="185"/>
      <c r="F628" s="35"/>
      <c r="G628" s="185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 spans="1:27" ht="12.75">
      <c r="A629" s="14"/>
      <c r="B629" s="206"/>
      <c r="C629" s="6"/>
      <c r="D629" s="14"/>
      <c r="E629" s="185"/>
      <c r="F629" s="35"/>
      <c r="G629" s="185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 spans="1:27" ht="12.75">
      <c r="A630" s="14"/>
      <c r="B630" s="206"/>
      <c r="C630" s="6"/>
      <c r="D630" s="14"/>
      <c r="E630" s="185"/>
      <c r="F630" s="35"/>
      <c r="G630" s="185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 spans="1:27" ht="12.75">
      <c r="A631" s="14"/>
      <c r="B631" s="206"/>
      <c r="C631" s="6"/>
      <c r="D631" s="14"/>
      <c r="E631" s="185"/>
      <c r="F631" s="35"/>
      <c r="G631" s="185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 spans="1:27" ht="12.75">
      <c r="A632" s="14"/>
      <c r="B632" s="206"/>
      <c r="C632" s="6"/>
      <c r="D632" s="14"/>
      <c r="E632" s="185"/>
      <c r="F632" s="35"/>
      <c r="G632" s="185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 spans="1:27" ht="12.75">
      <c r="A633" s="14"/>
      <c r="B633" s="206"/>
      <c r="C633" s="6"/>
      <c r="D633" s="14"/>
      <c r="E633" s="185"/>
      <c r="F633" s="35"/>
      <c r="G633" s="185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 spans="1:27" ht="12.75">
      <c r="A634" s="14"/>
      <c r="B634" s="206"/>
      <c r="C634" s="6"/>
      <c r="D634" s="14"/>
      <c r="E634" s="185"/>
      <c r="F634" s="35"/>
      <c r="G634" s="185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 spans="1:27" ht="12.75">
      <c r="A635" s="14"/>
      <c r="B635" s="206"/>
      <c r="C635" s="6"/>
      <c r="D635" s="14"/>
      <c r="E635" s="185"/>
      <c r="F635" s="35"/>
      <c r="G635" s="185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 spans="1:27" ht="12.75">
      <c r="A636" s="14"/>
      <c r="B636" s="206"/>
      <c r="C636" s="6"/>
      <c r="D636" s="14"/>
      <c r="E636" s="185"/>
      <c r="F636" s="35"/>
      <c r="G636" s="185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 spans="1:27" ht="12.75">
      <c r="A637" s="14"/>
      <c r="B637" s="206"/>
      <c r="C637" s="6"/>
      <c r="D637" s="14"/>
      <c r="E637" s="185"/>
      <c r="F637" s="35"/>
      <c r="G637" s="185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 spans="1:27" ht="12.75">
      <c r="A638" s="14"/>
      <c r="B638" s="206"/>
      <c r="C638" s="6"/>
      <c r="D638" s="14"/>
      <c r="E638" s="185"/>
      <c r="F638" s="35"/>
      <c r="G638" s="185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 spans="1:27" ht="12.75">
      <c r="A639" s="14"/>
      <c r="B639" s="206"/>
      <c r="C639" s="6"/>
      <c r="D639" s="14"/>
      <c r="E639" s="185"/>
      <c r="F639" s="35"/>
      <c r="G639" s="185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 spans="1:27" ht="12.75">
      <c r="A640" s="14"/>
      <c r="B640" s="206"/>
      <c r="C640" s="6"/>
      <c r="D640" s="14"/>
      <c r="E640" s="185"/>
      <c r="F640" s="35"/>
      <c r="G640" s="185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 spans="1:27" ht="12.75">
      <c r="A641" s="14"/>
      <c r="B641" s="206"/>
      <c r="C641" s="6"/>
      <c r="D641" s="14"/>
      <c r="E641" s="185"/>
      <c r="F641" s="35"/>
      <c r="G641" s="185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 spans="1:27" ht="12.75">
      <c r="A642" s="14"/>
      <c r="B642" s="206"/>
      <c r="C642" s="6"/>
      <c r="D642" s="14"/>
      <c r="E642" s="185"/>
      <c r="F642" s="35"/>
      <c r="G642" s="185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 spans="1:27" ht="12.75">
      <c r="A643" s="14"/>
      <c r="B643" s="206"/>
      <c r="C643" s="6"/>
      <c r="D643" s="14"/>
      <c r="E643" s="185"/>
      <c r="F643" s="35"/>
      <c r="G643" s="185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 spans="1:27" ht="12.75">
      <c r="A644" s="14"/>
      <c r="B644" s="206"/>
      <c r="C644" s="6"/>
      <c r="D644" s="14"/>
      <c r="E644" s="185"/>
      <c r="F644" s="35"/>
      <c r="G644" s="185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 spans="1:27" ht="12.75">
      <c r="A645" s="14"/>
      <c r="B645" s="206"/>
      <c r="C645" s="6"/>
      <c r="D645" s="14"/>
      <c r="E645" s="185"/>
      <c r="F645" s="35"/>
      <c r="G645" s="185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 spans="1:27" ht="12.75">
      <c r="A646" s="14"/>
      <c r="B646" s="206"/>
      <c r="C646" s="6"/>
      <c r="D646" s="14"/>
      <c r="E646" s="185"/>
      <c r="F646" s="35"/>
      <c r="G646" s="185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 spans="1:27" ht="12.75">
      <c r="A647" s="14"/>
      <c r="B647" s="206"/>
      <c r="C647" s="6"/>
      <c r="D647" s="14"/>
      <c r="E647" s="185"/>
      <c r="F647" s="35"/>
      <c r="G647" s="185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 spans="1:27" ht="12.75">
      <c r="A648" s="14"/>
      <c r="B648" s="206"/>
      <c r="C648" s="6"/>
      <c r="D648" s="14"/>
      <c r="E648" s="185"/>
      <c r="F648" s="35"/>
      <c r="G648" s="185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 spans="1:27" ht="12.75">
      <c r="A649" s="14"/>
      <c r="B649" s="206"/>
      <c r="C649" s="6"/>
      <c r="D649" s="14"/>
      <c r="E649" s="185"/>
      <c r="F649" s="35"/>
      <c r="G649" s="185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 spans="1:27" ht="12.75">
      <c r="A650" s="14"/>
      <c r="B650" s="206"/>
      <c r="C650" s="6"/>
      <c r="D650" s="14"/>
      <c r="E650" s="185"/>
      <c r="F650" s="35"/>
      <c r="G650" s="185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 spans="1:27" ht="12.75">
      <c r="A651" s="14"/>
      <c r="B651" s="206"/>
      <c r="C651" s="6"/>
      <c r="D651" s="14"/>
      <c r="E651" s="185"/>
      <c r="F651" s="35"/>
      <c r="G651" s="185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 spans="1:27" ht="12.75">
      <c r="A652" s="14"/>
      <c r="B652" s="206"/>
      <c r="C652" s="6"/>
      <c r="D652" s="14"/>
      <c r="E652" s="185"/>
      <c r="F652" s="35"/>
      <c r="G652" s="185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 spans="1:27" ht="12.75">
      <c r="A653" s="14"/>
      <c r="B653" s="206"/>
      <c r="C653" s="6"/>
      <c r="D653" s="14"/>
      <c r="E653" s="185"/>
      <c r="F653" s="35"/>
      <c r="G653" s="185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 spans="1:27" ht="12.75">
      <c r="A654" s="14"/>
      <c r="B654" s="206"/>
      <c r="C654" s="6"/>
      <c r="D654" s="14"/>
      <c r="E654" s="185"/>
      <c r="F654" s="35"/>
      <c r="G654" s="185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 spans="1:27" ht="12.75">
      <c r="A655" s="14"/>
      <c r="B655" s="206"/>
      <c r="C655" s="6"/>
      <c r="D655" s="14"/>
      <c r="E655" s="185"/>
      <c r="F655" s="35"/>
      <c r="G655" s="185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 spans="1:27" ht="12.75">
      <c r="A656" s="14"/>
      <c r="B656" s="206"/>
      <c r="C656" s="6"/>
      <c r="D656" s="14"/>
      <c r="E656" s="185"/>
      <c r="F656" s="35"/>
      <c r="G656" s="185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 spans="1:27" ht="12.75">
      <c r="A657" s="14"/>
      <c r="B657" s="206"/>
      <c r="C657" s="6"/>
      <c r="D657" s="14"/>
      <c r="E657" s="185"/>
      <c r="F657" s="35"/>
      <c r="G657" s="185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 spans="1:27" ht="12.75">
      <c r="A658" s="14"/>
      <c r="B658" s="206"/>
      <c r="C658" s="6"/>
      <c r="D658" s="14"/>
      <c r="E658" s="185"/>
      <c r="F658" s="35"/>
      <c r="G658" s="185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 spans="1:27" ht="12.75">
      <c r="A659" s="14"/>
      <c r="B659" s="206"/>
      <c r="C659" s="6"/>
      <c r="D659" s="14"/>
      <c r="E659" s="185"/>
      <c r="F659" s="35"/>
      <c r="G659" s="185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 spans="1:27" ht="12.75">
      <c r="A660" s="14"/>
      <c r="B660" s="206"/>
      <c r="C660" s="6"/>
      <c r="D660" s="14"/>
      <c r="E660" s="185"/>
      <c r="F660" s="35"/>
      <c r="G660" s="185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 spans="1:27" ht="12.75">
      <c r="A661" s="14"/>
      <c r="B661" s="206"/>
      <c r="C661" s="6"/>
      <c r="D661" s="14"/>
      <c r="E661" s="185"/>
      <c r="F661" s="35"/>
      <c r="G661" s="185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 spans="1:27" ht="12.75">
      <c r="A662" s="14"/>
      <c r="B662" s="206"/>
      <c r="C662" s="6"/>
      <c r="D662" s="14"/>
      <c r="E662" s="185"/>
      <c r="F662" s="35"/>
      <c r="G662" s="185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 spans="1:27" ht="12.75">
      <c r="A663" s="14"/>
      <c r="B663" s="206"/>
      <c r="C663" s="6"/>
      <c r="D663" s="14"/>
      <c r="E663" s="185"/>
      <c r="F663" s="35"/>
      <c r="G663" s="185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 spans="1:27" ht="12.75">
      <c r="A664" s="14"/>
      <c r="B664" s="206"/>
      <c r="C664" s="6"/>
      <c r="D664" s="14"/>
      <c r="E664" s="185"/>
      <c r="F664" s="35"/>
      <c r="G664" s="185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 spans="1:27" ht="12.75">
      <c r="A665" s="14"/>
      <c r="B665" s="206"/>
      <c r="C665" s="6"/>
      <c r="D665" s="14"/>
      <c r="E665" s="185"/>
      <c r="F665" s="35"/>
      <c r="G665" s="185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 spans="1:27" ht="12.75">
      <c r="A666" s="14"/>
      <c r="B666" s="206"/>
      <c r="C666" s="6"/>
      <c r="D666" s="14"/>
      <c r="E666" s="185"/>
      <c r="F666" s="35"/>
      <c r="G666" s="185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 spans="1:27" ht="12.75">
      <c r="A667" s="14"/>
      <c r="B667" s="206"/>
      <c r="C667" s="6"/>
      <c r="D667" s="14"/>
      <c r="E667" s="185"/>
      <c r="F667" s="35"/>
      <c r="G667" s="185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 spans="1:27" ht="12.75">
      <c r="A668" s="14"/>
      <c r="B668" s="206"/>
      <c r="C668" s="6"/>
      <c r="D668" s="14"/>
      <c r="E668" s="185"/>
      <c r="F668" s="35"/>
      <c r="G668" s="185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 spans="1:27" ht="12.75">
      <c r="A669" s="14"/>
      <c r="B669" s="206"/>
      <c r="C669" s="6"/>
      <c r="D669" s="14"/>
      <c r="E669" s="185"/>
      <c r="F669" s="35"/>
      <c r="G669" s="185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 spans="1:27" ht="12.75">
      <c r="A670" s="14"/>
      <c r="B670" s="206"/>
      <c r="C670" s="6"/>
      <c r="D670" s="14"/>
      <c r="E670" s="185"/>
      <c r="F670" s="35"/>
      <c r="G670" s="185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 spans="1:27" ht="12.75">
      <c r="A671" s="14"/>
      <c r="B671" s="206"/>
      <c r="C671" s="6"/>
      <c r="D671" s="14"/>
      <c r="E671" s="185"/>
      <c r="F671" s="35"/>
      <c r="G671" s="185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 spans="1:27" ht="12.75">
      <c r="A672" s="14"/>
      <c r="B672" s="206"/>
      <c r="C672" s="6"/>
      <c r="D672" s="14"/>
      <c r="E672" s="185"/>
      <c r="F672" s="35"/>
      <c r="G672" s="185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 spans="1:27" ht="12.75">
      <c r="A673" s="14"/>
      <c r="B673" s="206"/>
      <c r="C673" s="6"/>
      <c r="D673" s="14"/>
      <c r="E673" s="185"/>
      <c r="F673" s="35"/>
      <c r="G673" s="185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 spans="1:27" ht="12.75">
      <c r="A674" s="14"/>
      <c r="B674" s="206"/>
      <c r="C674" s="6"/>
      <c r="D674" s="14"/>
      <c r="E674" s="185"/>
      <c r="F674" s="35"/>
      <c r="G674" s="185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 spans="1:27" ht="12.75">
      <c r="A675" s="14"/>
      <c r="B675" s="206"/>
      <c r="C675" s="6"/>
      <c r="D675" s="14"/>
      <c r="E675" s="185"/>
      <c r="F675" s="35"/>
      <c r="G675" s="185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 spans="1:27" ht="12.75">
      <c r="A676" s="14"/>
      <c r="B676" s="206"/>
      <c r="C676" s="6"/>
      <c r="D676" s="14"/>
      <c r="E676" s="185"/>
      <c r="F676" s="35"/>
      <c r="G676" s="185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 spans="1:27" ht="12.75">
      <c r="A677" s="14"/>
      <c r="B677" s="206"/>
      <c r="C677" s="6"/>
      <c r="D677" s="14"/>
      <c r="E677" s="185"/>
      <c r="F677" s="35"/>
      <c r="G677" s="185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 spans="1:27" ht="12.75">
      <c r="A678" s="14"/>
      <c r="B678" s="206"/>
      <c r="C678" s="6"/>
      <c r="D678" s="14"/>
      <c r="E678" s="185"/>
      <c r="F678" s="35"/>
      <c r="G678" s="185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 spans="1:27" ht="12.75">
      <c r="A679" s="14"/>
      <c r="B679" s="206"/>
      <c r="C679" s="6"/>
      <c r="D679" s="14"/>
      <c r="E679" s="185"/>
      <c r="F679" s="35"/>
      <c r="G679" s="185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 spans="1:27" ht="12.75">
      <c r="A680" s="14"/>
      <c r="B680" s="206"/>
      <c r="C680" s="6"/>
      <c r="D680" s="14"/>
      <c r="E680" s="185"/>
      <c r="F680" s="35"/>
      <c r="G680" s="185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 spans="1:27" ht="12.75">
      <c r="A681" s="14"/>
      <c r="B681" s="206"/>
      <c r="C681" s="6"/>
      <c r="D681" s="14"/>
      <c r="E681" s="185"/>
      <c r="F681" s="35"/>
      <c r="G681" s="185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 spans="1:27" ht="12.75">
      <c r="A682" s="14"/>
      <c r="B682" s="206"/>
      <c r="C682" s="6"/>
      <c r="D682" s="14"/>
      <c r="E682" s="185"/>
      <c r="F682" s="35"/>
      <c r="G682" s="185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 spans="1:27" ht="12.75">
      <c r="A683" s="14"/>
      <c r="B683" s="206"/>
      <c r="C683" s="6"/>
      <c r="D683" s="14"/>
      <c r="E683" s="185"/>
      <c r="F683" s="35"/>
      <c r="G683" s="185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 spans="1:27" ht="12.75">
      <c r="A684" s="14"/>
      <c r="B684" s="206"/>
      <c r="C684" s="6"/>
      <c r="D684" s="14"/>
      <c r="E684" s="185"/>
      <c r="F684" s="35"/>
      <c r="G684" s="185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 spans="1:27" ht="12.75">
      <c r="A685" s="14"/>
      <c r="B685" s="206"/>
      <c r="C685" s="6"/>
      <c r="D685" s="14"/>
      <c r="E685" s="185"/>
      <c r="F685" s="35"/>
      <c r="G685" s="185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 spans="1:27" ht="12.75">
      <c r="A686" s="14"/>
      <c r="B686" s="206"/>
      <c r="C686" s="6"/>
      <c r="D686" s="14"/>
      <c r="E686" s="185"/>
      <c r="F686" s="35"/>
      <c r="G686" s="185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 spans="1:27" ht="12.75">
      <c r="A687" s="14"/>
      <c r="B687" s="206"/>
      <c r="C687" s="6"/>
      <c r="D687" s="14"/>
      <c r="E687" s="185"/>
      <c r="F687" s="35"/>
      <c r="G687" s="185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 spans="1:27" ht="12.75">
      <c r="A688" s="14"/>
      <c r="B688" s="206"/>
      <c r="C688" s="6"/>
      <c r="D688" s="14"/>
      <c r="E688" s="185"/>
      <c r="F688" s="35"/>
      <c r="G688" s="185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 spans="1:27" ht="12.75">
      <c r="A689" s="14"/>
      <c r="B689" s="206"/>
      <c r="C689" s="6"/>
      <c r="D689" s="14"/>
      <c r="E689" s="185"/>
      <c r="F689" s="35"/>
      <c r="G689" s="185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 spans="1:27" ht="12.75">
      <c r="A690" s="14"/>
      <c r="B690" s="206"/>
      <c r="C690" s="6"/>
      <c r="D690" s="14"/>
      <c r="E690" s="185"/>
      <c r="F690" s="35"/>
      <c r="G690" s="185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 spans="1:27" ht="12.75">
      <c r="A691" s="14"/>
      <c r="B691" s="206"/>
      <c r="C691" s="6"/>
      <c r="D691" s="14"/>
      <c r="E691" s="185"/>
      <c r="F691" s="35"/>
      <c r="G691" s="185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 spans="1:27" ht="12.75">
      <c r="A692" s="14"/>
      <c r="B692" s="206"/>
      <c r="C692" s="6"/>
      <c r="D692" s="14"/>
      <c r="E692" s="185"/>
      <c r="F692" s="35"/>
      <c r="G692" s="185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 spans="1:27" ht="12.75">
      <c r="A693" s="14"/>
      <c r="B693" s="206"/>
      <c r="C693" s="6"/>
      <c r="D693" s="14"/>
      <c r="E693" s="185"/>
      <c r="F693" s="35"/>
      <c r="G693" s="185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 spans="1:27" ht="12.75">
      <c r="A694" s="14"/>
      <c r="B694" s="206"/>
      <c r="C694" s="6"/>
      <c r="D694" s="14"/>
      <c r="E694" s="185"/>
      <c r="F694" s="35"/>
      <c r="G694" s="185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 spans="1:27" ht="12.75">
      <c r="A695" s="14"/>
      <c r="B695" s="206"/>
      <c r="C695" s="6"/>
      <c r="D695" s="14"/>
      <c r="E695" s="185"/>
      <c r="F695" s="35"/>
      <c r="G695" s="185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 spans="1:27" ht="12.75">
      <c r="A696" s="14"/>
      <c r="B696" s="206"/>
      <c r="C696" s="6"/>
      <c r="D696" s="14"/>
      <c r="E696" s="185"/>
      <c r="F696" s="35"/>
      <c r="G696" s="185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 spans="1:27" ht="12.75">
      <c r="A697" s="14"/>
      <c r="B697" s="206"/>
      <c r="C697" s="6"/>
      <c r="D697" s="14"/>
      <c r="E697" s="185"/>
      <c r="F697" s="35"/>
      <c r="G697" s="185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 spans="1:27" ht="12.75">
      <c r="A698" s="14"/>
      <c r="B698" s="206"/>
      <c r="C698" s="6"/>
      <c r="D698" s="14"/>
      <c r="E698" s="185"/>
      <c r="F698" s="35"/>
      <c r="G698" s="185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 spans="1:27" ht="12.75">
      <c r="A699" s="14"/>
      <c r="B699" s="206"/>
      <c r="C699" s="6"/>
      <c r="D699" s="14"/>
      <c r="E699" s="185"/>
      <c r="F699" s="35"/>
      <c r="G699" s="185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 spans="1:27" ht="12.75">
      <c r="A700" s="14"/>
      <c r="B700" s="206"/>
      <c r="C700" s="6"/>
      <c r="D700" s="14"/>
      <c r="E700" s="185"/>
      <c r="F700" s="35"/>
      <c r="G700" s="185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 spans="1:27" ht="12.75">
      <c r="A701" s="14"/>
      <c r="B701" s="206"/>
      <c r="C701" s="6"/>
      <c r="D701" s="14"/>
      <c r="E701" s="185"/>
      <c r="F701" s="35"/>
      <c r="G701" s="185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 spans="1:27" ht="12.75">
      <c r="A702" s="14"/>
      <c r="B702" s="206"/>
      <c r="C702" s="6"/>
      <c r="D702" s="14"/>
      <c r="E702" s="185"/>
      <c r="F702" s="35"/>
      <c r="G702" s="185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 spans="1:27" ht="12.75">
      <c r="A703" s="14"/>
      <c r="B703" s="206"/>
      <c r="C703" s="6"/>
      <c r="D703" s="14"/>
      <c r="E703" s="185"/>
      <c r="F703" s="35"/>
      <c r="G703" s="185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 spans="1:27" ht="12.75">
      <c r="A704" s="14"/>
      <c r="B704" s="206"/>
      <c r="C704" s="6"/>
      <c r="D704" s="14"/>
      <c r="E704" s="185"/>
      <c r="F704" s="35"/>
      <c r="G704" s="185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 spans="1:27" ht="12.75">
      <c r="A705" s="14"/>
      <c r="B705" s="206"/>
      <c r="C705" s="6"/>
      <c r="D705" s="14"/>
      <c r="E705" s="185"/>
      <c r="F705" s="35"/>
      <c r="G705" s="185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 spans="1:27" ht="12.75">
      <c r="A706" s="14"/>
      <c r="B706" s="206"/>
      <c r="C706" s="6"/>
      <c r="D706" s="14"/>
      <c r="E706" s="185"/>
      <c r="F706" s="35"/>
      <c r="G706" s="185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 spans="1:27" ht="12.75">
      <c r="A707" s="14"/>
      <c r="B707" s="206"/>
      <c r="C707" s="6"/>
      <c r="D707" s="14"/>
      <c r="E707" s="185"/>
      <c r="F707" s="35"/>
      <c r="G707" s="185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 spans="1:27" ht="12.75">
      <c r="A708" s="14"/>
      <c r="B708" s="206"/>
      <c r="C708" s="6"/>
      <c r="D708" s="14"/>
      <c r="E708" s="185"/>
      <c r="F708" s="35"/>
      <c r="G708" s="185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 spans="1:27" ht="12.75">
      <c r="A709" s="14"/>
      <c r="B709" s="206"/>
      <c r="C709" s="6"/>
      <c r="D709" s="14"/>
      <c r="E709" s="185"/>
      <c r="F709" s="35"/>
      <c r="G709" s="185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 spans="1:27" ht="12.75">
      <c r="A710" s="14"/>
      <c r="B710" s="206"/>
      <c r="C710" s="6"/>
      <c r="D710" s="14"/>
      <c r="E710" s="185"/>
      <c r="F710" s="35"/>
      <c r="G710" s="185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 spans="1:27" ht="12.75">
      <c r="A711" s="14"/>
      <c r="B711" s="206"/>
      <c r="C711" s="6"/>
      <c r="D711" s="14"/>
      <c r="E711" s="185"/>
      <c r="F711" s="35"/>
      <c r="G711" s="185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 spans="1:27" ht="12.75">
      <c r="A712" s="14"/>
      <c r="B712" s="206"/>
      <c r="C712" s="6"/>
      <c r="D712" s="14"/>
      <c r="E712" s="185"/>
      <c r="F712" s="35"/>
      <c r="G712" s="185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 spans="1:27" ht="12.75">
      <c r="A713" s="14"/>
      <c r="B713" s="206"/>
      <c r="C713" s="6"/>
      <c r="D713" s="14"/>
      <c r="E713" s="185"/>
      <c r="F713" s="35"/>
      <c r="G713" s="185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 spans="1:27" ht="12.75">
      <c r="A714" s="14"/>
      <c r="B714" s="206"/>
      <c r="C714" s="6"/>
      <c r="D714" s="14"/>
      <c r="E714" s="185"/>
      <c r="F714" s="35"/>
      <c r="G714" s="185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 spans="1:27" ht="12.75">
      <c r="A715" s="14"/>
      <c r="B715" s="206"/>
      <c r="C715" s="6"/>
      <c r="D715" s="14"/>
      <c r="E715" s="185"/>
      <c r="F715" s="35"/>
      <c r="G715" s="185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 spans="1:27" ht="12.75">
      <c r="A716" s="14"/>
      <c r="B716" s="206"/>
      <c r="C716" s="6"/>
      <c r="D716" s="14"/>
      <c r="E716" s="185"/>
      <c r="F716" s="35"/>
      <c r="G716" s="185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 spans="1:27" ht="12.75">
      <c r="A717" s="14"/>
      <c r="B717" s="206"/>
      <c r="C717" s="6"/>
      <c r="D717" s="14"/>
      <c r="E717" s="185"/>
      <c r="F717" s="35"/>
      <c r="G717" s="185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 spans="1:27" ht="12.75">
      <c r="A718" s="14"/>
      <c r="B718" s="206"/>
      <c r="C718" s="6"/>
      <c r="D718" s="14"/>
      <c r="E718" s="185"/>
      <c r="F718" s="35"/>
      <c r="G718" s="185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 spans="1:27" ht="12.75">
      <c r="A719" s="14"/>
      <c r="B719" s="206"/>
      <c r="C719" s="6"/>
      <c r="D719" s="14"/>
      <c r="E719" s="185"/>
      <c r="F719" s="35"/>
      <c r="G719" s="185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 spans="1:27" ht="12.75">
      <c r="A720" s="14"/>
      <c r="B720" s="206"/>
      <c r="C720" s="6"/>
      <c r="D720" s="14"/>
      <c r="E720" s="185"/>
      <c r="F720" s="35"/>
      <c r="G720" s="185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 spans="1:27" ht="12.75">
      <c r="A721" s="14"/>
      <c r="B721" s="206"/>
      <c r="C721" s="6"/>
      <c r="D721" s="14"/>
      <c r="E721" s="185"/>
      <c r="F721" s="35"/>
      <c r="G721" s="185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 spans="1:27" ht="12.75">
      <c r="A722" s="14"/>
      <c r="B722" s="206"/>
      <c r="C722" s="6"/>
      <c r="D722" s="14"/>
      <c r="E722" s="185"/>
      <c r="F722" s="35"/>
      <c r="G722" s="185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 spans="1:27" ht="12.75">
      <c r="A723" s="14"/>
      <c r="B723" s="206"/>
      <c r="C723" s="6"/>
      <c r="D723" s="14"/>
      <c r="E723" s="185"/>
      <c r="F723" s="35"/>
      <c r="G723" s="185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 spans="1:27" ht="12.75">
      <c r="A724" s="14"/>
      <c r="B724" s="206"/>
      <c r="C724" s="6"/>
      <c r="D724" s="14"/>
      <c r="E724" s="185"/>
      <c r="F724" s="35"/>
      <c r="G724" s="185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 spans="1:27" ht="12.75">
      <c r="A725" s="14"/>
      <c r="B725" s="206"/>
      <c r="C725" s="6"/>
      <c r="D725" s="14"/>
      <c r="E725" s="185"/>
      <c r="F725" s="35"/>
      <c r="G725" s="185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 spans="1:27" ht="12.75">
      <c r="A726" s="14"/>
      <c r="B726" s="206"/>
      <c r="C726" s="6"/>
      <c r="D726" s="14"/>
      <c r="E726" s="185"/>
      <c r="F726" s="35"/>
      <c r="G726" s="185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 spans="1:27" ht="12.75">
      <c r="A727" s="14"/>
      <c r="B727" s="206"/>
      <c r="C727" s="6"/>
      <c r="D727" s="14"/>
      <c r="E727" s="185"/>
      <c r="F727" s="35"/>
      <c r="G727" s="185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 spans="1:27" ht="12.75">
      <c r="A728" s="14"/>
      <c r="B728" s="206"/>
      <c r="C728" s="6"/>
      <c r="D728" s="14"/>
      <c r="E728" s="185"/>
      <c r="F728" s="35"/>
      <c r="G728" s="185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 spans="1:27" ht="12.75">
      <c r="A729" s="14"/>
      <c r="B729" s="206"/>
      <c r="C729" s="6"/>
      <c r="D729" s="14"/>
      <c r="E729" s="185"/>
      <c r="F729" s="35"/>
      <c r="G729" s="185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 spans="1:27" ht="12.75">
      <c r="A730" s="14"/>
      <c r="B730" s="206"/>
      <c r="C730" s="6"/>
      <c r="D730" s="14"/>
      <c r="E730" s="185"/>
      <c r="F730" s="35"/>
      <c r="G730" s="185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 spans="1:27" ht="12.75">
      <c r="A731" s="14"/>
      <c r="B731" s="206"/>
      <c r="C731" s="6"/>
      <c r="D731" s="14"/>
      <c r="E731" s="185"/>
      <c r="F731" s="35"/>
      <c r="G731" s="185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 spans="1:27" ht="12.75">
      <c r="A732" s="14"/>
      <c r="B732" s="206"/>
      <c r="C732" s="6"/>
      <c r="D732" s="14"/>
      <c r="E732" s="185"/>
      <c r="F732" s="35"/>
      <c r="G732" s="185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 spans="1:27" ht="12.75">
      <c r="A733" s="14"/>
      <c r="B733" s="206"/>
      <c r="C733" s="6"/>
      <c r="D733" s="14"/>
      <c r="E733" s="185"/>
      <c r="F733" s="35"/>
      <c r="G733" s="185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 spans="1:27" ht="12.75">
      <c r="A734" s="14"/>
      <c r="B734" s="206"/>
      <c r="C734" s="6"/>
      <c r="D734" s="14"/>
      <c r="E734" s="185"/>
      <c r="F734" s="35"/>
      <c r="G734" s="185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 spans="1:27" ht="12.75">
      <c r="A735" s="14"/>
      <c r="B735" s="206"/>
      <c r="C735" s="6"/>
      <c r="D735" s="14"/>
      <c r="E735" s="185"/>
      <c r="F735" s="35"/>
      <c r="G735" s="185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 spans="1:27" ht="12.75">
      <c r="A736" s="14"/>
      <c r="B736" s="206"/>
      <c r="C736" s="6"/>
      <c r="D736" s="14"/>
      <c r="E736" s="185"/>
      <c r="F736" s="35"/>
      <c r="G736" s="185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 spans="1:27" ht="12.75">
      <c r="A737" s="14"/>
      <c r="B737" s="206"/>
      <c r="C737" s="6"/>
      <c r="D737" s="14"/>
      <c r="E737" s="185"/>
      <c r="F737" s="35"/>
      <c r="G737" s="185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 spans="1:27" ht="12.75">
      <c r="A738" s="14"/>
      <c r="B738" s="206"/>
      <c r="C738" s="6"/>
      <c r="D738" s="14"/>
      <c r="E738" s="185"/>
      <c r="F738" s="35"/>
      <c r="G738" s="185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 spans="1:27" ht="12.75">
      <c r="A739" s="14"/>
      <c r="B739" s="206"/>
      <c r="C739" s="6"/>
      <c r="D739" s="14"/>
      <c r="E739" s="185"/>
      <c r="F739" s="35"/>
      <c r="G739" s="185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 spans="1:27" ht="12.75">
      <c r="A740" s="14"/>
      <c r="B740" s="206"/>
      <c r="C740" s="6"/>
      <c r="D740" s="14"/>
      <c r="E740" s="185"/>
      <c r="F740" s="35"/>
      <c r="G740" s="185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 spans="1:27" ht="12.75">
      <c r="A741" s="14"/>
      <c r="B741" s="206"/>
      <c r="C741" s="6"/>
      <c r="D741" s="14"/>
      <c r="E741" s="185"/>
      <c r="F741" s="35"/>
      <c r="G741" s="185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 spans="1:27" ht="12.75">
      <c r="A742" s="14"/>
      <c r="B742" s="206"/>
      <c r="C742" s="6"/>
      <c r="D742" s="14"/>
      <c r="E742" s="185"/>
      <c r="F742" s="35"/>
      <c r="G742" s="185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 spans="1:27" ht="12.75">
      <c r="A743" s="14"/>
      <c r="B743" s="206"/>
      <c r="C743" s="6"/>
      <c r="D743" s="14"/>
      <c r="E743" s="185"/>
      <c r="F743" s="35"/>
      <c r="G743" s="185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 spans="1:27" ht="12.75">
      <c r="A744" s="14"/>
      <c r="B744" s="206"/>
      <c r="C744" s="6"/>
      <c r="D744" s="14"/>
      <c r="E744" s="185"/>
      <c r="F744" s="35"/>
      <c r="G744" s="185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 spans="1:27" ht="12.75">
      <c r="A745" s="14"/>
      <c r="B745" s="206"/>
      <c r="C745" s="6"/>
      <c r="D745" s="14"/>
      <c r="E745" s="185"/>
      <c r="F745" s="35"/>
      <c r="G745" s="185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 spans="1:27" ht="12.75">
      <c r="A746" s="14"/>
      <c r="B746" s="206"/>
      <c r="C746" s="6"/>
      <c r="D746" s="14"/>
      <c r="E746" s="185"/>
      <c r="F746" s="35"/>
      <c r="G746" s="185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 spans="1:27" ht="12.75">
      <c r="A747" s="14"/>
      <c r="B747" s="206"/>
      <c r="C747" s="6"/>
      <c r="D747" s="14"/>
      <c r="E747" s="185"/>
      <c r="F747" s="35"/>
      <c r="G747" s="185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 spans="1:27" ht="12.75">
      <c r="A748" s="14"/>
      <c r="B748" s="206"/>
      <c r="C748" s="6"/>
      <c r="D748" s="14"/>
      <c r="E748" s="185"/>
      <c r="F748" s="35"/>
      <c r="G748" s="185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 spans="1:27" ht="12.75">
      <c r="A749" s="14"/>
      <c r="B749" s="206"/>
      <c r="C749" s="6"/>
      <c r="D749" s="14"/>
      <c r="E749" s="185"/>
      <c r="F749" s="35"/>
      <c r="G749" s="185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 spans="1:27" ht="12.75">
      <c r="A750" s="14"/>
      <c r="B750" s="206"/>
      <c r="C750" s="6"/>
      <c r="D750" s="14"/>
      <c r="E750" s="185"/>
      <c r="F750" s="35"/>
      <c r="G750" s="185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 spans="1:27" ht="12.75">
      <c r="A751" s="14"/>
      <c r="B751" s="206"/>
      <c r="C751" s="6"/>
      <c r="D751" s="14"/>
      <c r="E751" s="185"/>
      <c r="F751" s="35"/>
      <c r="G751" s="185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 spans="1:27" ht="12.75">
      <c r="A752" s="14"/>
      <c r="B752" s="206"/>
      <c r="C752" s="6"/>
      <c r="D752" s="14"/>
      <c r="E752" s="185"/>
      <c r="F752" s="35"/>
      <c r="G752" s="185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 spans="1:27" ht="12.75">
      <c r="A753" s="14"/>
      <c r="B753" s="206"/>
      <c r="C753" s="6"/>
      <c r="D753" s="14"/>
      <c r="E753" s="185"/>
      <c r="F753" s="35"/>
      <c r="G753" s="185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 spans="1:27" ht="12.75">
      <c r="A754" s="14"/>
      <c r="B754" s="206"/>
      <c r="C754" s="6"/>
      <c r="D754" s="14"/>
      <c r="E754" s="185"/>
      <c r="F754" s="35"/>
      <c r="G754" s="185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 spans="1:27" ht="12.75">
      <c r="A755" s="14"/>
      <c r="B755" s="206"/>
      <c r="C755" s="6"/>
      <c r="D755" s="14"/>
      <c r="E755" s="185"/>
      <c r="F755" s="35"/>
      <c r="G755" s="185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 spans="1:27" ht="12.75">
      <c r="A756" s="14"/>
      <c r="B756" s="206"/>
      <c r="C756" s="6"/>
      <c r="D756" s="14"/>
      <c r="E756" s="185"/>
      <c r="F756" s="35"/>
      <c r="G756" s="185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 spans="1:27" ht="12.75">
      <c r="A757" s="14"/>
      <c r="B757" s="206"/>
      <c r="C757" s="6"/>
      <c r="D757" s="14"/>
      <c r="E757" s="185"/>
      <c r="F757" s="35"/>
      <c r="G757" s="185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 spans="1:27" ht="12.75">
      <c r="A758" s="14"/>
      <c r="B758" s="206"/>
      <c r="C758" s="6"/>
      <c r="D758" s="14"/>
      <c r="E758" s="185"/>
      <c r="F758" s="35"/>
      <c r="G758" s="185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 spans="1:27" ht="12.75">
      <c r="A759" s="14"/>
      <c r="B759" s="206"/>
      <c r="C759" s="6"/>
      <c r="D759" s="14"/>
      <c r="E759" s="185"/>
      <c r="F759" s="35"/>
      <c r="G759" s="185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 spans="1:27" ht="12.75">
      <c r="A760" s="14"/>
      <c r="B760" s="206"/>
      <c r="C760" s="6"/>
      <c r="D760" s="14"/>
      <c r="E760" s="185"/>
      <c r="F760" s="35"/>
      <c r="G760" s="185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spans="1:27" ht="12.75">
      <c r="A761" s="14"/>
      <c r="B761" s="206"/>
      <c r="C761" s="6"/>
      <c r="D761" s="14"/>
      <c r="E761" s="185"/>
      <c r="F761" s="35"/>
      <c r="G761" s="185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 spans="1:27" ht="12.75">
      <c r="A762" s="14"/>
      <c r="B762" s="206"/>
      <c r="C762" s="6"/>
      <c r="D762" s="14"/>
      <c r="E762" s="185"/>
      <c r="F762" s="35"/>
      <c r="G762" s="185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 spans="1:27" ht="12.75">
      <c r="A763" s="14"/>
      <c r="B763" s="206"/>
      <c r="C763" s="6"/>
      <c r="D763" s="14"/>
      <c r="E763" s="185"/>
      <c r="F763" s="35"/>
      <c r="G763" s="185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 spans="1:27" ht="12.75">
      <c r="A764" s="14"/>
      <c r="B764" s="206"/>
      <c r="C764" s="6"/>
      <c r="D764" s="14"/>
      <c r="E764" s="185"/>
      <c r="F764" s="35"/>
      <c r="G764" s="185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 spans="1:27" ht="12.75">
      <c r="A765" s="14"/>
      <c r="B765" s="206"/>
      <c r="C765" s="6"/>
      <c r="D765" s="14"/>
      <c r="E765" s="185"/>
      <c r="F765" s="35"/>
      <c r="G765" s="185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 spans="1:27" ht="12.75">
      <c r="A766" s="14"/>
      <c r="B766" s="206"/>
      <c r="C766" s="6"/>
      <c r="D766" s="14"/>
      <c r="E766" s="185"/>
      <c r="F766" s="35"/>
      <c r="G766" s="185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 spans="1:27" ht="12.75">
      <c r="A767" s="14"/>
      <c r="B767" s="206"/>
      <c r="C767" s="6"/>
      <c r="D767" s="14"/>
      <c r="E767" s="185"/>
      <c r="F767" s="35"/>
      <c r="G767" s="185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 spans="1:27" ht="12.75">
      <c r="A768" s="14"/>
      <c r="B768" s="206"/>
      <c r="C768" s="6"/>
      <c r="D768" s="14"/>
      <c r="E768" s="185"/>
      <c r="F768" s="35"/>
      <c r="G768" s="185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 spans="1:27" ht="12.75">
      <c r="A769" s="14"/>
      <c r="B769" s="206"/>
      <c r="C769" s="6"/>
      <c r="D769" s="14"/>
      <c r="E769" s="185"/>
      <c r="F769" s="35"/>
      <c r="G769" s="185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spans="1:27" ht="12.75">
      <c r="A770" s="14"/>
      <c r="B770" s="206"/>
      <c r="C770" s="6"/>
      <c r="D770" s="14"/>
      <c r="E770" s="185"/>
      <c r="F770" s="35"/>
      <c r="G770" s="185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 spans="1:27" ht="12.75">
      <c r="A771" s="14"/>
      <c r="B771" s="206"/>
      <c r="C771" s="6"/>
      <c r="D771" s="14"/>
      <c r="E771" s="185"/>
      <c r="F771" s="35"/>
      <c r="G771" s="185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 spans="1:27" ht="12.75">
      <c r="A772" s="14"/>
      <c r="B772" s="206"/>
      <c r="C772" s="6"/>
      <c r="D772" s="14"/>
      <c r="E772" s="185"/>
      <c r="F772" s="35"/>
      <c r="G772" s="185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 spans="1:27" ht="12.75">
      <c r="A773" s="14"/>
      <c r="B773" s="206"/>
      <c r="C773" s="6"/>
      <c r="D773" s="14"/>
      <c r="E773" s="185"/>
      <c r="F773" s="35"/>
      <c r="G773" s="185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 spans="1:27" ht="12.75">
      <c r="A774" s="14"/>
      <c r="B774" s="206"/>
      <c r="C774" s="6"/>
      <c r="D774" s="14"/>
      <c r="E774" s="185"/>
      <c r="F774" s="35"/>
      <c r="G774" s="185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 spans="1:27" ht="12.75">
      <c r="A775" s="14"/>
      <c r="B775" s="206"/>
      <c r="C775" s="6"/>
      <c r="D775" s="14"/>
      <c r="E775" s="185"/>
      <c r="F775" s="35"/>
      <c r="G775" s="185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 spans="1:27" ht="12.75">
      <c r="A776" s="14"/>
      <c r="B776" s="206"/>
      <c r="C776" s="6"/>
      <c r="D776" s="14"/>
      <c r="E776" s="185"/>
      <c r="F776" s="35"/>
      <c r="G776" s="185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 spans="1:27" ht="12.75">
      <c r="A777" s="14"/>
      <c r="B777" s="206"/>
      <c r="C777" s="6"/>
      <c r="D777" s="14"/>
      <c r="E777" s="185"/>
      <c r="F777" s="35"/>
      <c r="G777" s="185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 spans="1:27" ht="12.75">
      <c r="A778" s="14"/>
      <c r="B778" s="206"/>
      <c r="C778" s="6"/>
      <c r="D778" s="14"/>
      <c r="E778" s="185"/>
      <c r="F778" s="35"/>
      <c r="G778" s="185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 spans="1:27" ht="12.75">
      <c r="A779" s="14"/>
      <c r="B779" s="206"/>
      <c r="C779" s="6"/>
      <c r="D779" s="14"/>
      <c r="E779" s="185"/>
      <c r="F779" s="35"/>
      <c r="G779" s="185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 spans="1:27" ht="12.75">
      <c r="A780" s="14"/>
      <c r="B780" s="206"/>
      <c r="C780" s="6"/>
      <c r="D780" s="14"/>
      <c r="E780" s="185"/>
      <c r="F780" s="35"/>
      <c r="G780" s="185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 spans="1:27" ht="12.75">
      <c r="A781" s="14"/>
      <c r="B781" s="206"/>
      <c r="C781" s="6"/>
      <c r="D781" s="14"/>
      <c r="E781" s="185"/>
      <c r="F781" s="35"/>
      <c r="G781" s="185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 spans="1:27" ht="12.75">
      <c r="A782" s="14"/>
      <c r="B782" s="206"/>
      <c r="C782" s="6"/>
      <c r="D782" s="14"/>
      <c r="E782" s="185"/>
      <c r="F782" s="35"/>
      <c r="G782" s="185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 spans="1:27" ht="12.75">
      <c r="A783" s="14"/>
      <c r="B783" s="206"/>
      <c r="C783" s="6"/>
      <c r="D783" s="14"/>
      <c r="E783" s="185"/>
      <c r="F783" s="35"/>
      <c r="G783" s="185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 spans="1:27" ht="12.75">
      <c r="A784" s="14"/>
      <c r="B784" s="206"/>
      <c r="C784" s="6"/>
      <c r="D784" s="14"/>
      <c r="E784" s="185"/>
      <c r="F784" s="35"/>
      <c r="G784" s="185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 spans="1:27" ht="12.75">
      <c r="A785" s="14"/>
      <c r="B785" s="206"/>
      <c r="C785" s="6"/>
      <c r="D785" s="14"/>
      <c r="E785" s="185"/>
      <c r="F785" s="35"/>
      <c r="G785" s="185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 spans="1:27" ht="12.75">
      <c r="A786" s="14"/>
      <c r="B786" s="206"/>
      <c r="C786" s="6"/>
      <c r="D786" s="14"/>
      <c r="E786" s="185"/>
      <c r="F786" s="35"/>
      <c r="G786" s="185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 spans="1:27" ht="12.75">
      <c r="A787" s="14"/>
      <c r="B787" s="206"/>
      <c r="C787" s="6"/>
      <c r="D787" s="14"/>
      <c r="E787" s="185"/>
      <c r="F787" s="35"/>
      <c r="G787" s="185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 spans="1:27" ht="12.75">
      <c r="A788" s="14"/>
      <c r="B788" s="206"/>
      <c r="C788" s="6"/>
      <c r="D788" s="14"/>
      <c r="E788" s="185"/>
      <c r="F788" s="35"/>
      <c r="G788" s="185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 spans="1:27" ht="12.75">
      <c r="A789" s="14"/>
      <c r="B789" s="206"/>
      <c r="C789" s="6"/>
      <c r="D789" s="14"/>
      <c r="E789" s="185"/>
      <c r="F789" s="35"/>
      <c r="G789" s="185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 spans="1:27" ht="12.75">
      <c r="A790" s="14"/>
      <c r="B790" s="206"/>
      <c r="C790" s="6"/>
      <c r="D790" s="14"/>
      <c r="E790" s="185"/>
      <c r="F790" s="35"/>
      <c r="G790" s="185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 spans="1:27" ht="12.75">
      <c r="A791" s="14"/>
      <c r="B791" s="206"/>
      <c r="C791" s="6"/>
      <c r="D791" s="14"/>
      <c r="E791" s="185"/>
      <c r="F791" s="35"/>
      <c r="G791" s="185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 spans="1:27" ht="12.75">
      <c r="A792" s="14"/>
      <c r="B792" s="206"/>
      <c r="C792" s="6"/>
      <c r="D792" s="14"/>
      <c r="E792" s="185"/>
      <c r="F792" s="35"/>
      <c r="G792" s="185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 spans="1:27" ht="12.75">
      <c r="A793" s="14"/>
      <c r="B793" s="206"/>
      <c r="C793" s="6"/>
      <c r="D793" s="14"/>
      <c r="E793" s="185"/>
      <c r="F793" s="35"/>
      <c r="G793" s="185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 spans="1:27" ht="12.75">
      <c r="A794" s="14"/>
      <c r="B794" s="206"/>
      <c r="C794" s="6"/>
      <c r="D794" s="14"/>
      <c r="E794" s="185"/>
      <c r="F794" s="35"/>
      <c r="G794" s="185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 spans="1:27" ht="12.75">
      <c r="A795" s="14"/>
      <c r="B795" s="206"/>
      <c r="C795" s="6"/>
      <c r="D795" s="14"/>
      <c r="E795" s="185"/>
      <c r="F795" s="35"/>
      <c r="G795" s="185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 spans="1:27" ht="12.75">
      <c r="A796" s="14"/>
      <c r="B796" s="206"/>
      <c r="C796" s="6"/>
      <c r="D796" s="14"/>
      <c r="E796" s="185"/>
      <c r="F796" s="35"/>
      <c r="G796" s="185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 spans="1:27" ht="12.75">
      <c r="A797" s="14"/>
      <c r="B797" s="206"/>
      <c r="C797" s="6"/>
      <c r="D797" s="14"/>
      <c r="E797" s="185"/>
      <c r="F797" s="35"/>
      <c r="G797" s="185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 spans="1:27" ht="12.75">
      <c r="A798" s="14"/>
      <c r="B798" s="206"/>
      <c r="C798" s="6"/>
      <c r="D798" s="14"/>
      <c r="E798" s="185"/>
      <c r="F798" s="35"/>
      <c r="G798" s="185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 spans="1:27" ht="12.75">
      <c r="A799" s="14"/>
      <c r="B799" s="206"/>
      <c r="C799" s="6"/>
      <c r="D799" s="14"/>
      <c r="E799" s="185"/>
      <c r="F799" s="35"/>
      <c r="G799" s="185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 spans="1:27" ht="12.75">
      <c r="A800" s="14"/>
      <c r="B800" s="206"/>
      <c r="C800" s="6"/>
      <c r="D800" s="14"/>
      <c r="E800" s="185"/>
      <c r="F800" s="35"/>
      <c r="G800" s="185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 spans="1:27" ht="12.75">
      <c r="A801" s="14"/>
      <c r="B801" s="206"/>
      <c r="C801" s="6"/>
      <c r="D801" s="14"/>
      <c r="E801" s="185"/>
      <c r="F801" s="35"/>
      <c r="G801" s="185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 spans="1:27" ht="12.75">
      <c r="A802" s="14"/>
      <c r="B802" s="206"/>
      <c r="C802" s="6"/>
      <c r="D802" s="14"/>
      <c r="E802" s="185"/>
      <c r="F802" s="35"/>
      <c r="G802" s="185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 spans="1:27" ht="12.75">
      <c r="A803" s="14"/>
      <c r="B803" s="206"/>
      <c r="C803" s="6"/>
      <c r="D803" s="14"/>
      <c r="E803" s="185"/>
      <c r="F803" s="35"/>
      <c r="G803" s="185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 spans="1:27" ht="12.75">
      <c r="A804" s="14"/>
      <c r="B804" s="206"/>
      <c r="C804" s="6"/>
      <c r="D804" s="14"/>
      <c r="E804" s="185"/>
      <c r="F804" s="35"/>
      <c r="G804" s="185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 spans="1:27" ht="12.75">
      <c r="A805" s="14"/>
      <c r="B805" s="206"/>
      <c r="C805" s="6"/>
      <c r="D805" s="14"/>
      <c r="E805" s="185"/>
      <c r="F805" s="35"/>
      <c r="G805" s="185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 spans="1:27" ht="12.75">
      <c r="A806" s="14"/>
      <c r="B806" s="206"/>
      <c r="C806" s="6"/>
      <c r="D806" s="14"/>
      <c r="E806" s="185"/>
      <c r="F806" s="35"/>
      <c r="G806" s="185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 spans="1:27" ht="12.75">
      <c r="A807" s="14"/>
      <c r="B807" s="206"/>
      <c r="C807" s="6"/>
      <c r="D807" s="14"/>
      <c r="E807" s="185"/>
      <c r="F807" s="35"/>
      <c r="G807" s="185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 spans="1:27" ht="12.75">
      <c r="A808" s="14"/>
      <c r="B808" s="206"/>
      <c r="C808" s="6"/>
      <c r="D808" s="14"/>
      <c r="E808" s="185"/>
      <c r="F808" s="35"/>
      <c r="G808" s="185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 spans="1:27" ht="12.75">
      <c r="A809" s="14"/>
      <c r="B809" s="206"/>
      <c r="C809" s="6"/>
      <c r="D809" s="14"/>
      <c r="E809" s="185"/>
      <c r="F809" s="35"/>
      <c r="G809" s="185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 spans="1:27" ht="12.75">
      <c r="A810" s="14"/>
      <c r="B810" s="206"/>
      <c r="C810" s="6"/>
      <c r="D810" s="14"/>
      <c r="E810" s="185"/>
      <c r="F810" s="35"/>
      <c r="G810" s="185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 spans="1:27" ht="12.75">
      <c r="A811" s="14"/>
      <c r="B811" s="206"/>
      <c r="C811" s="6"/>
      <c r="D811" s="14"/>
      <c r="E811" s="185"/>
      <c r="F811" s="35"/>
      <c r="G811" s="185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 spans="1:27" ht="12.75">
      <c r="A812" s="14"/>
      <c r="B812" s="206"/>
      <c r="C812" s="6"/>
      <c r="D812" s="14"/>
      <c r="E812" s="185"/>
      <c r="F812" s="35"/>
      <c r="G812" s="185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 spans="1:27" ht="12.75">
      <c r="A813" s="14"/>
      <c r="B813" s="206"/>
      <c r="C813" s="6"/>
      <c r="D813" s="14"/>
      <c r="E813" s="185"/>
      <c r="F813" s="35"/>
      <c r="G813" s="185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 spans="1:27" ht="12.75">
      <c r="A814" s="14"/>
      <c r="B814" s="206"/>
      <c r="C814" s="6"/>
      <c r="D814" s="14"/>
      <c r="E814" s="185"/>
      <c r="F814" s="35"/>
      <c r="G814" s="185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 spans="1:27" ht="12.75">
      <c r="A815" s="14"/>
      <c r="B815" s="206"/>
      <c r="C815" s="6"/>
      <c r="D815" s="14"/>
      <c r="E815" s="185"/>
      <c r="F815" s="35"/>
      <c r="G815" s="185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 spans="1:27" ht="12.75">
      <c r="A816" s="14"/>
      <c r="B816" s="206"/>
      <c r="C816" s="6"/>
      <c r="D816" s="14"/>
      <c r="E816" s="185"/>
      <c r="F816" s="35"/>
      <c r="G816" s="185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 spans="1:27" ht="12.75">
      <c r="A817" s="14"/>
      <c r="B817" s="206"/>
      <c r="C817" s="6"/>
      <c r="D817" s="14"/>
      <c r="E817" s="185"/>
      <c r="F817" s="35"/>
      <c r="G817" s="185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 spans="1:27" ht="12.75">
      <c r="A818" s="14"/>
      <c r="B818" s="206"/>
      <c r="C818" s="6"/>
      <c r="D818" s="14"/>
      <c r="E818" s="185"/>
      <c r="F818" s="35"/>
      <c r="G818" s="185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 spans="1:27" ht="12.75">
      <c r="A819" s="14"/>
      <c r="B819" s="206"/>
      <c r="C819" s="6"/>
      <c r="D819" s="14"/>
      <c r="E819" s="185"/>
      <c r="F819" s="35"/>
      <c r="G819" s="185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 spans="1:27" ht="12.75">
      <c r="A820" s="14"/>
      <c r="B820" s="206"/>
      <c r="C820" s="6"/>
      <c r="D820" s="14"/>
      <c r="E820" s="185"/>
      <c r="F820" s="35"/>
      <c r="G820" s="185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 spans="1:27" ht="12.75">
      <c r="A821" s="14"/>
      <c r="B821" s="206"/>
      <c r="C821" s="6"/>
      <c r="D821" s="14"/>
      <c r="E821" s="185"/>
      <c r="F821" s="35"/>
      <c r="G821" s="185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 spans="1:27" ht="12.75">
      <c r="A822" s="14"/>
      <c r="B822" s="206"/>
      <c r="C822" s="6"/>
      <c r="D822" s="14"/>
      <c r="E822" s="185"/>
      <c r="F822" s="35"/>
      <c r="G822" s="185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 spans="1:27" ht="12.75">
      <c r="A823" s="14"/>
      <c r="B823" s="206"/>
      <c r="C823" s="6"/>
      <c r="D823" s="14"/>
      <c r="E823" s="185"/>
      <c r="F823" s="35"/>
      <c r="G823" s="185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 spans="1:27" ht="12.75">
      <c r="A824" s="14"/>
      <c r="B824" s="206"/>
      <c r="C824" s="6"/>
      <c r="D824" s="14"/>
      <c r="E824" s="185"/>
      <c r="F824" s="35"/>
      <c r="G824" s="185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 spans="1:27" ht="12.75">
      <c r="A825" s="14"/>
      <c r="B825" s="206"/>
      <c r="C825" s="6"/>
      <c r="D825" s="14"/>
      <c r="E825" s="185"/>
      <c r="F825" s="35"/>
      <c r="G825" s="185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 spans="1:27" ht="12.75">
      <c r="A826" s="14"/>
      <c r="B826" s="206"/>
      <c r="C826" s="6"/>
      <c r="D826" s="14"/>
      <c r="E826" s="185"/>
      <c r="F826" s="35"/>
      <c r="G826" s="185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 spans="1:27" ht="12.75">
      <c r="A827" s="14"/>
      <c r="B827" s="206"/>
      <c r="C827" s="6"/>
      <c r="D827" s="14"/>
      <c r="E827" s="185"/>
      <c r="F827" s="35"/>
      <c r="G827" s="185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 spans="1:27" ht="12.75">
      <c r="A828" s="14"/>
      <c r="B828" s="206"/>
      <c r="C828" s="6"/>
      <c r="D828" s="14"/>
      <c r="E828" s="185"/>
      <c r="F828" s="35"/>
      <c r="G828" s="185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 spans="1:27" ht="12.75">
      <c r="A829" s="14"/>
      <c r="B829" s="206"/>
      <c r="C829" s="6"/>
      <c r="D829" s="14"/>
      <c r="E829" s="185"/>
      <c r="F829" s="35"/>
      <c r="G829" s="185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 spans="1:27" ht="12.75">
      <c r="A830" s="14"/>
      <c r="B830" s="206"/>
      <c r="C830" s="6"/>
      <c r="D830" s="14"/>
      <c r="E830" s="185"/>
      <c r="F830" s="35"/>
      <c r="G830" s="185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 spans="1:27" ht="12.75">
      <c r="A831" s="14"/>
      <c r="B831" s="206"/>
      <c r="C831" s="6"/>
      <c r="D831" s="14"/>
      <c r="E831" s="185"/>
      <c r="F831" s="35"/>
      <c r="G831" s="185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 spans="1:27" ht="12.75">
      <c r="A832" s="14"/>
      <c r="B832" s="206"/>
      <c r="C832" s="6"/>
      <c r="D832" s="14"/>
      <c r="E832" s="185"/>
      <c r="F832" s="35"/>
      <c r="G832" s="185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 spans="1:27" ht="12.75">
      <c r="A833" s="14"/>
      <c r="B833" s="206"/>
      <c r="C833" s="6"/>
      <c r="D833" s="14"/>
      <c r="E833" s="185"/>
      <c r="F833" s="35"/>
      <c r="G833" s="185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 spans="1:27" ht="12.75">
      <c r="A834" s="14"/>
      <c r="B834" s="206"/>
      <c r="C834" s="6"/>
      <c r="D834" s="14"/>
      <c r="E834" s="185"/>
      <c r="F834" s="35"/>
      <c r="G834" s="185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 spans="1:27" ht="12.75">
      <c r="A835" s="14"/>
      <c r="B835" s="206"/>
      <c r="C835" s="6"/>
      <c r="D835" s="14"/>
      <c r="E835" s="185"/>
      <c r="F835" s="35"/>
      <c r="G835" s="185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 spans="1:27" ht="12.75">
      <c r="A836" s="14"/>
      <c r="B836" s="206"/>
      <c r="C836" s="6"/>
      <c r="D836" s="14"/>
      <c r="E836" s="185"/>
      <c r="F836" s="35"/>
      <c r="G836" s="185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 spans="1:27" ht="12.75">
      <c r="A837" s="14"/>
      <c r="B837" s="206"/>
      <c r="C837" s="6"/>
      <c r="D837" s="14"/>
      <c r="E837" s="185"/>
      <c r="F837" s="35"/>
      <c r="G837" s="185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 spans="1:27" ht="12.75">
      <c r="A838" s="14"/>
      <c r="B838" s="206"/>
      <c r="C838" s="6"/>
      <c r="D838" s="14"/>
      <c r="E838" s="185"/>
      <c r="F838" s="35"/>
      <c r="G838" s="185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 spans="1:27" ht="12.75">
      <c r="A839" s="14"/>
      <c r="B839" s="206"/>
      <c r="C839" s="6"/>
      <c r="D839" s="14"/>
      <c r="E839" s="185"/>
      <c r="F839" s="35"/>
      <c r="G839" s="185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 spans="1:27" ht="12.75">
      <c r="A840" s="14"/>
      <c r="B840" s="206"/>
      <c r="C840" s="6"/>
      <c r="D840" s="14"/>
      <c r="E840" s="185"/>
      <c r="F840" s="35"/>
      <c r="G840" s="185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 spans="1:27" ht="12.75">
      <c r="A841" s="14"/>
      <c r="B841" s="206"/>
      <c r="C841" s="6"/>
      <c r="D841" s="14"/>
      <c r="E841" s="185"/>
      <c r="F841" s="35"/>
      <c r="G841" s="185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 spans="1:27" ht="12.75">
      <c r="A842" s="14"/>
      <c r="B842" s="206"/>
      <c r="C842" s="6"/>
      <c r="D842" s="14"/>
      <c r="E842" s="185"/>
      <c r="F842" s="35"/>
      <c r="G842" s="185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 spans="1:27" ht="12.75">
      <c r="A843" s="14"/>
      <c r="B843" s="206"/>
      <c r="C843" s="6"/>
      <c r="D843" s="14"/>
      <c r="E843" s="185"/>
      <c r="F843" s="35"/>
      <c r="G843" s="185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 spans="1:27" ht="12.75">
      <c r="A844" s="14"/>
      <c r="B844" s="206"/>
      <c r="C844" s="6"/>
      <c r="D844" s="14"/>
      <c r="E844" s="185"/>
      <c r="F844" s="35"/>
      <c r="G844" s="185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 spans="1:27" ht="12.75">
      <c r="A845" s="14"/>
      <c r="B845" s="206"/>
      <c r="C845" s="6"/>
      <c r="D845" s="14"/>
      <c r="E845" s="185"/>
      <c r="F845" s="35"/>
      <c r="G845" s="185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 spans="1:27" ht="12.75">
      <c r="A846" s="14"/>
      <c r="B846" s="206"/>
      <c r="C846" s="6"/>
      <c r="D846" s="14"/>
      <c r="E846" s="185"/>
      <c r="F846" s="35"/>
      <c r="G846" s="185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 spans="1:27" ht="12.75">
      <c r="A847" s="14"/>
      <c r="B847" s="206"/>
      <c r="C847" s="6"/>
      <c r="D847" s="14"/>
      <c r="E847" s="185"/>
      <c r="F847" s="35"/>
      <c r="G847" s="185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 spans="1:27" ht="12.75">
      <c r="A848" s="14"/>
      <c r="B848" s="206"/>
      <c r="C848" s="6"/>
      <c r="D848" s="14"/>
      <c r="E848" s="185"/>
      <c r="F848" s="35"/>
      <c r="G848" s="185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 spans="1:27" ht="12.75">
      <c r="A849" s="14"/>
      <c r="B849" s="206"/>
      <c r="C849" s="6"/>
      <c r="D849" s="14"/>
      <c r="E849" s="185"/>
      <c r="F849" s="35"/>
      <c r="G849" s="185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 spans="1:27" ht="12.75">
      <c r="A850" s="14"/>
      <c r="B850" s="206"/>
      <c r="C850" s="6"/>
      <c r="D850" s="14"/>
      <c r="E850" s="185"/>
      <c r="F850" s="35"/>
      <c r="G850" s="185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 spans="1:27" ht="12.75">
      <c r="A851" s="14"/>
      <c r="B851" s="206"/>
      <c r="C851" s="6"/>
      <c r="D851" s="14"/>
      <c r="E851" s="185"/>
      <c r="F851" s="35"/>
      <c r="G851" s="185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 spans="1:27" ht="12.75">
      <c r="A852" s="14"/>
      <c r="B852" s="206"/>
      <c r="C852" s="6"/>
      <c r="D852" s="14"/>
      <c r="E852" s="185"/>
      <c r="F852" s="35"/>
      <c r="G852" s="185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 spans="1:27" ht="12.75">
      <c r="A853" s="14"/>
      <c r="B853" s="206"/>
      <c r="C853" s="6"/>
      <c r="D853" s="14"/>
      <c r="E853" s="185"/>
      <c r="F853" s="35"/>
      <c r="G853" s="185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 spans="1:27" ht="12.75">
      <c r="A854" s="14"/>
      <c r="B854" s="206"/>
      <c r="C854" s="6"/>
      <c r="D854" s="14"/>
      <c r="E854" s="185"/>
      <c r="F854" s="35"/>
      <c r="G854" s="185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 spans="1:27" ht="12.75">
      <c r="A855" s="14"/>
      <c r="B855" s="206"/>
      <c r="C855" s="6"/>
      <c r="D855" s="14"/>
      <c r="E855" s="185"/>
      <c r="F855" s="35"/>
      <c r="G855" s="185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 spans="1:27" ht="12.75">
      <c r="A856" s="14"/>
      <c r="B856" s="206"/>
      <c r="C856" s="6"/>
      <c r="D856" s="14"/>
      <c r="E856" s="185"/>
      <c r="F856" s="35"/>
      <c r="G856" s="185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 spans="1:27" ht="12.75">
      <c r="A857" s="14"/>
      <c r="B857" s="206"/>
      <c r="C857" s="6"/>
      <c r="D857" s="14"/>
      <c r="E857" s="185"/>
      <c r="F857" s="35"/>
      <c r="G857" s="185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 spans="1:27" ht="12.75">
      <c r="A858" s="14"/>
      <c r="B858" s="206"/>
      <c r="C858" s="6"/>
      <c r="D858" s="14"/>
      <c r="E858" s="185"/>
      <c r="F858" s="35"/>
      <c r="G858" s="185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 spans="1:27" ht="12.75">
      <c r="A859" s="14"/>
      <c r="B859" s="206"/>
      <c r="C859" s="6"/>
      <c r="D859" s="14"/>
      <c r="E859" s="185"/>
      <c r="F859" s="35"/>
      <c r="G859" s="185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 spans="1:27" ht="12.75">
      <c r="A860" s="14"/>
      <c r="B860" s="206"/>
      <c r="C860" s="6"/>
      <c r="D860" s="14"/>
      <c r="E860" s="185"/>
      <c r="F860" s="35"/>
      <c r="G860" s="185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 spans="1:27" ht="12.75">
      <c r="A861" s="14"/>
      <c r="B861" s="206"/>
      <c r="C861" s="6"/>
      <c r="D861" s="14"/>
      <c r="E861" s="185"/>
      <c r="F861" s="35"/>
      <c r="G861" s="185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 spans="1:27" ht="12.75">
      <c r="A862" s="14"/>
      <c r="B862" s="206"/>
      <c r="C862" s="6"/>
      <c r="D862" s="14"/>
      <c r="E862" s="185"/>
      <c r="F862" s="35"/>
      <c r="G862" s="185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 spans="1:27" ht="12.75">
      <c r="A863" s="14"/>
      <c r="B863" s="206"/>
      <c r="C863" s="6"/>
      <c r="D863" s="14"/>
      <c r="E863" s="185"/>
      <c r="F863" s="35"/>
      <c r="G863" s="185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 spans="1:27" ht="12.75">
      <c r="A864" s="14"/>
      <c r="B864" s="206"/>
      <c r="C864" s="6"/>
      <c r="D864" s="14"/>
      <c r="E864" s="185"/>
      <c r="F864" s="35"/>
      <c r="G864" s="185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 spans="1:27" ht="12.75">
      <c r="A865" s="14"/>
      <c r="B865" s="206"/>
      <c r="C865" s="6"/>
      <c r="D865" s="14"/>
      <c r="E865" s="185"/>
      <c r="F865" s="35"/>
      <c r="G865" s="185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 spans="1:27" ht="12.75">
      <c r="A866" s="14"/>
      <c r="B866" s="206"/>
      <c r="C866" s="6"/>
      <c r="D866" s="14"/>
      <c r="E866" s="185"/>
      <c r="F866" s="35"/>
      <c r="G866" s="185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 spans="1:27" ht="12.75">
      <c r="A867" s="14"/>
      <c r="B867" s="206"/>
      <c r="C867" s="6"/>
      <c r="D867" s="14"/>
      <c r="E867" s="185"/>
      <c r="F867" s="35"/>
      <c r="G867" s="185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 spans="1:27" ht="12.75">
      <c r="A868" s="14"/>
      <c r="B868" s="206"/>
      <c r="C868" s="6"/>
      <c r="D868" s="14"/>
      <c r="E868" s="185"/>
      <c r="F868" s="35"/>
      <c r="G868" s="185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 spans="1:27" ht="12.75">
      <c r="A869" s="14"/>
      <c r="B869" s="206"/>
      <c r="C869" s="6"/>
      <c r="D869" s="14"/>
      <c r="E869" s="185"/>
      <c r="F869" s="35"/>
      <c r="G869" s="185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 spans="1:27" ht="12.75">
      <c r="A870" s="14"/>
      <c r="B870" s="206"/>
      <c r="C870" s="6"/>
      <c r="D870" s="14"/>
      <c r="E870" s="185"/>
      <c r="F870" s="35"/>
      <c r="G870" s="185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 spans="1:27" ht="12.75">
      <c r="A871" s="14"/>
      <c r="B871" s="206"/>
      <c r="C871" s="6"/>
      <c r="D871" s="14"/>
      <c r="E871" s="185"/>
      <c r="F871" s="35"/>
      <c r="G871" s="185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 spans="1:27" ht="12.75">
      <c r="A872" s="14"/>
      <c r="B872" s="206"/>
      <c r="C872" s="6"/>
      <c r="D872" s="14"/>
      <c r="E872" s="185"/>
      <c r="F872" s="35"/>
      <c r="G872" s="185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 spans="1:27" ht="12.75">
      <c r="A873" s="14"/>
      <c r="B873" s="206"/>
      <c r="C873" s="6"/>
      <c r="D873" s="14"/>
      <c r="E873" s="185"/>
      <c r="F873" s="35"/>
      <c r="G873" s="185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 spans="1:27" ht="12.75">
      <c r="A874" s="14"/>
      <c r="B874" s="206"/>
      <c r="C874" s="6"/>
      <c r="D874" s="14"/>
      <c r="E874" s="185"/>
      <c r="F874" s="35"/>
      <c r="G874" s="185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 spans="1:27" ht="12.75">
      <c r="A875" s="14"/>
      <c r="B875" s="206"/>
      <c r="C875" s="6"/>
      <c r="D875" s="14"/>
      <c r="E875" s="185"/>
      <c r="F875" s="35"/>
      <c r="G875" s="185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 spans="1:27" ht="12.75">
      <c r="A876" s="14"/>
      <c r="B876" s="206"/>
      <c r="C876" s="6"/>
      <c r="D876" s="14"/>
      <c r="E876" s="185"/>
      <c r="F876" s="35"/>
      <c r="G876" s="185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 spans="1:27" ht="12.75">
      <c r="A877" s="14"/>
      <c r="B877" s="206"/>
      <c r="C877" s="6"/>
      <c r="D877" s="14"/>
      <c r="E877" s="185"/>
      <c r="F877" s="35"/>
      <c r="G877" s="185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 spans="1:27" ht="12.75">
      <c r="A878" s="14"/>
      <c r="B878" s="206"/>
      <c r="C878" s="6"/>
      <c r="D878" s="14"/>
      <c r="E878" s="185"/>
      <c r="F878" s="35"/>
      <c r="G878" s="185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 spans="1:27" ht="12.75">
      <c r="A879" s="14"/>
      <c r="B879" s="206"/>
      <c r="C879" s="6"/>
      <c r="D879" s="14"/>
      <c r="E879" s="185"/>
      <c r="F879" s="35"/>
      <c r="G879" s="185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 spans="1:27" ht="12.75">
      <c r="A880" s="14"/>
      <c r="B880" s="206"/>
      <c r="C880" s="6"/>
      <c r="D880" s="14"/>
      <c r="E880" s="185"/>
      <c r="F880" s="35"/>
      <c r="G880" s="185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 spans="1:27" ht="12.75">
      <c r="A881" s="14"/>
      <c r="B881" s="206"/>
      <c r="C881" s="6"/>
      <c r="D881" s="14"/>
      <c r="E881" s="185"/>
      <c r="F881" s="35"/>
      <c r="G881" s="185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 spans="1:27" ht="12.75">
      <c r="A882" s="14"/>
      <c r="B882" s="206"/>
      <c r="C882" s="6"/>
      <c r="D882" s="14"/>
      <c r="E882" s="185"/>
      <c r="F882" s="35"/>
      <c r="G882" s="185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 spans="1:27" ht="12.75">
      <c r="A883" s="14"/>
      <c r="B883" s="206"/>
      <c r="C883" s="6"/>
      <c r="D883" s="14"/>
      <c r="E883" s="185"/>
      <c r="F883" s="35"/>
      <c r="G883" s="185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 spans="1:27" ht="12.75">
      <c r="A884" s="14"/>
      <c r="B884" s="206"/>
      <c r="C884" s="6"/>
      <c r="D884" s="14"/>
      <c r="E884" s="185"/>
      <c r="F884" s="35"/>
      <c r="G884" s="185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 spans="1:27" ht="12.75">
      <c r="A885" s="14"/>
      <c r="B885" s="206"/>
      <c r="C885" s="6"/>
      <c r="D885" s="14"/>
      <c r="E885" s="185"/>
      <c r="F885" s="35"/>
      <c r="G885" s="185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 spans="1:27" ht="12.75">
      <c r="A886" s="14"/>
      <c r="B886" s="206"/>
      <c r="C886" s="6"/>
      <c r="D886" s="14"/>
      <c r="E886" s="185"/>
      <c r="F886" s="35"/>
      <c r="G886" s="185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 spans="1:27" ht="12.75">
      <c r="A887" s="14"/>
      <c r="B887" s="206"/>
      <c r="C887" s="6"/>
      <c r="D887" s="14"/>
      <c r="E887" s="185"/>
      <c r="F887" s="35"/>
      <c r="G887" s="185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 spans="1:27" ht="12.75">
      <c r="A888" s="14"/>
      <c r="B888" s="206"/>
      <c r="C888" s="6"/>
      <c r="D888" s="14"/>
      <c r="E888" s="185"/>
      <c r="F888" s="35"/>
      <c r="G888" s="185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 spans="1:27" ht="12.75">
      <c r="A889" s="14"/>
      <c r="B889" s="206"/>
      <c r="C889" s="6"/>
      <c r="D889" s="14"/>
      <c r="E889" s="185"/>
      <c r="F889" s="35"/>
      <c r="G889" s="185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 spans="1:27" ht="12.75">
      <c r="A890" s="14"/>
      <c r="B890" s="206"/>
      <c r="C890" s="6"/>
      <c r="D890" s="14"/>
      <c r="E890" s="185"/>
      <c r="F890" s="35"/>
      <c r="G890" s="185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 spans="1:27" ht="12.75">
      <c r="A891" s="14"/>
      <c r="B891" s="206"/>
      <c r="C891" s="6"/>
      <c r="D891" s="14"/>
      <c r="E891" s="185"/>
      <c r="F891" s="35"/>
      <c r="G891" s="185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 spans="1:27" ht="12.75">
      <c r="A892" s="14"/>
      <c r="B892" s="206"/>
      <c r="C892" s="6"/>
      <c r="D892" s="14"/>
      <c r="E892" s="185"/>
      <c r="F892" s="35"/>
      <c r="G892" s="185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 spans="1:27" ht="12.75">
      <c r="A893" s="14"/>
      <c r="B893" s="206"/>
      <c r="C893" s="6"/>
      <c r="D893" s="14"/>
      <c r="E893" s="185"/>
      <c r="F893" s="35"/>
      <c r="G893" s="185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 spans="1:27" ht="12.75">
      <c r="A894" s="14"/>
      <c r="B894" s="206"/>
      <c r="C894" s="6"/>
      <c r="D894" s="14"/>
      <c r="E894" s="185"/>
      <c r="F894" s="35"/>
      <c r="G894" s="185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 spans="1:27" ht="12.75">
      <c r="A895" s="14"/>
      <c r="B895" s="206"/>
      <c r="C895" s="6"/>
      <c r="D895" s="14"/>
      <c r="E895" s="185"/>
      <c r="F895" s="35"/>
      <c r="G895" s="185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 spans="1:27" ht="12.75">
      <c r="A896" s="14"/>
      <c r="B896" s="206"/>
      <c r="C896" s="6"/>
      <c r="D896" s="14"/>
      <c r="E896" s="185"/>
      <c r="F896" s="35"/>
      <c r="G896" s="185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 spans="1:27" ht="12.75">
      <c r="A897" s="14"/>
      <c r="B897" s="206"/>
      <c r="C897" s="6"/>
      <c r="D897" s="14"/>
      <c r="E897" s="185"/>
      <c r="F897" s="35"/>
      <c r="G897" s="185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 spans="1:27" ht="12.75">
      <c r="A898" s="14"/>
      <c r="B898" s="206"/>
      <c r="C898" s="6"/>
      <c r="D898" s="14"/>
      <c r="E898" s="185"/>
      <c r="F898" s="35"/>
      <c r="G898" s="185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 spans="1:27" ht="12.75">
      <c r="A899" s="14"/>
      <c r="B899" s="206"/>
      <c r="C899" s="6"/>
      <c r="D899" s="14"/>
      <c r="E899" s="185"/>
      <c r="F899" s="35"/>
      <c r="G899" s="185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 spans="1:27" ht="12.75">
      <c r="A900" s="14"/>
      <c r="B900" s="206"/>
      <c r="C900" s="6"/>
      <c r="D900" s="14"/>
      <c r="E900" s="185"/>
      <c r="F900" s="35"/>
      <c r="G900" s="185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 spans="1:27" ht="12.75">
      <c r="A901" s="14"/>
      <c r="B901" s="206"/>
      <c r="C901" s="6"/>
      <c r="D901" s="14"/>
      <c r="E901" s="185"/>
      <c r="F901" s="35"/>
      <c r="G901" s="185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 spans="1:27" ht="12.75">
      <c r="A902" s="14"/>
      <c r="B902" s="206"/>
      <c r="C902" s="6"/>
      <c r="D902" s="14"/>
      <c r="E902" s="185"/>
      <c r="F902" s="35"/>
      <c r="G902" s="185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 spans="1:27" ht="12.75">
      <c r="A903" s="14"/>
      <c r="B903" s="206"/>
      <c r="C903" s="6"/>
      <c r="D903" s="14"/>
      <c r="E903" s="185"/>
      <c r="F903" s="35"/>
      <c r="G903" s="185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 spans="1:27" ht="12.75">
      <c r="A904" s="14"/>
      <c r="B904" s="206"/>
      <c r="C904" s="6"/>
      <c r="D904" s="14"/>
      <c r="E904" s="185"/>
      <c r="F904" s="35"/>
      <c r="G904" s="185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 spans="1:27" ht="12.75">
      <c r="A905" s="14"/>
      <c r="B905" s="206"/>
      <c r="C905" s="6"/>
      <c r="D905" s="14"/>
      <c r="E905" s="185"/>
      <c r="F905" s="35"/>
      <c r="G905" s="185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 spans="1:27" ht="12.75">
      <c r="A906" s="14"/>
      <c r="B906" s="206"/>
      <c r="C906" s="6"/>
      <c r="D906" s="14"/>
      <c r="E906" s="185"/>
      <c r="F906" s="35"/>
      <c r="G906" s="185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 spans="1:27" ht="12.75">
      <c r="A907" s="14"/>
      <c r="B907" s="206"/>
      <c r="C907" s="6"/>
      <c r="D907" s="14"/>
      <c r="E907" s="185"/>
      <c r="F907" s="35"/>
      <c r="G907" s="185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 spans="1:27" ht="12.75">
      <c r="A908" s="14"/>
      <c r="B908" s="206"/>
      <c r="C908" s="6"/>
      <c r="D908" s="14"/>
      <c r="E908" s="185"/>
      <c r="F908" s="35"/>
      <c r="G908" s="185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 spans="1:27" ht="12.75">
      <c r="A909" s="14"/>
      <c r="B909" s="206"/>
      <c r="C909" s="6"/>
      <c r="D909" s="14"/>
      <c r="E909" s="185"/>
      <c r="F909" s="35"/>
      <c r="G909" s="185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 spans="1:27" ht="12.75">
      <c r="A910" s="14"/>
      <c r="B910" s="206"/>
      <c r="C910" s="6"/>
      <c r="D910" s="14"/>
      <c r="E910" s="185"/>
      <c r="F910" s="35"/>
      <c r="G910" s="185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 spans="1:27" ht="12.75">
      <c r="A911" s="14"/>
      <c r="B911" s="206"/>
      <c r="C911" s="6"/>
      <c r="D911" s="14"/>
      <c r="E911" s="185"/>
      <c r="F911" s="35"/>
      <c r="G911" s="185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 spans="1:27" ht="12.75">
      <c r="A912" s="14"/>
      <c r="B912" s="206"/>
      <c r="C912" s="6"/>
      <c r="D912" s="14"/>
      <c r="E912" s="185"/>
      <c r="F912" s="35"/>
      <c r="G912" s="185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 spans="1:27" ht="12.75">
      <c r="A913" s="14"/>
      <c r="B913" s="206"/>
      <c r="C913" s="6"/>
      <c r="D913" s="14"/>
      <c r="E913" s="185"/>
      <c r="F913" s="35"/>
      <c r="G913" s="185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 spans="1:27" ht="12.75">
      <c r="A914" s="14"/>
      <c r="B914" s="206"/>
      <c r="C914" s="6"/>
      <c r="D914" s="14"/>
      <c r="E914" s="185"/>
      <c r="F914" s="35"/>
      <c r="G914" s="185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 spans="1:27" ht="12.75">
      <c r="A915" s="14"/>
      <c r="B915" s="206"/>
      <c r="C915" s="6"/>
      <c r="D915" s="14"/>
      <c r="E915" s="185"/>
      <c r="F915" s="35"/>
      <c r="G915" s="185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 spans="1:27" ht="12.75">
      <c r="A916" s="14"/>
      <c r="B916" s="206"/>
      <c r="C916" s="6"/>
      <c r="D916" s="14"/>
      <c r="E916" s="185"/>
      <c r="F916" s="35"/>
      <c r="G916" s="185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 spans="1:27" ht="12.75">
      <c r="A917" s="14"/>
      <c r="B917" s="206"/>
      <c r="C917" s="6"/>
      <c r="D917" s="14"/>
      <c r="E917" s="185"/>
      <c r="F917" s="35"/>
      <c r="G917" s="185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 spans="1:27" ht="12.75">
      <c r="A918" s="14"/>
      <c r="B918" s="206"/>
      <c r="C918" s="6"/>
      <c r="D918" s="14"/>
      <c r="E918" s="185"/>
      <c r="F918" s="35"/>
      <c r="G918" s="185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 spans="1:27" ht="12.75">
      <c r="A919" s="14"/>
      <c r="B919" s="206"/>
      <c r="C919" s="6"/>
      <c r="D919" s="14"/>
      <c r="E919" s="185"/>
      <c r="F919" s="35"/>
      <c r="G919" s="185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 spans="1:27" ht="12.75">
      <c r="A920" s="14"/>
      <c r="B920" s="206"/>
      <c r="C920" s="6"/>
      <c r="D920" s="14"/>
      <c r="E920" s="185"/>
      <c r="F920" s="35"/>
      <c r="G920" s="185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 spans="1:27" ht="12.75">
      <c r="A921" s="14"/>
      <c r="B921" s="206"/>
      <c r="C921" s="6"/>
      <c r="D921" s="14"/>
      <c r="E921" s="185"/>
      <c r="F921" s="35"/>
      <c r="G921" s="185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 spans="1:27" ht="12.75">
      <c r="A922" s="14"/>
      <c r="B922" s="206"/>
      <c r="C922" s="6"/>
      <c r="D922" s="14"/>
      <c r="E922" s="185"/>
      <c r="F922" s="35"/>
      <c r="G922" s="185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 spans="1:27" ht="12.75">
      <c r="A923" s="14"/>
      <c r="B923" s="206"/>
      <c r="C923" s="6"/>
      <c r="D923" s="14"/>
      <c r="E923" s="185"/>
      <c r="F923" s="35"/>
      <c r="G923" s="185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 spans="1:27" ht="12.75">
      <c r="A924" s="14"/>
      <c r="B924" s="206"/>
      <c r="C924" s="6"/>
      <c r="D924" s="14"/>
      <c r="E924" s="185"/>
      <c r="F924" s="35"/>
      <c r="G924" s="185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 spans="1:27" ht="12.75">
      <c r="A925" s="14"/>
      <c r="B925" s="206"/>
      <c r="C925" s="6"/>
      <c r="D925" s="14"/>
      <c r="E925" s="185"/>
      <c r="F925" s="35"/>
      <c r="G925" s="185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 spans="1:27" ht="12.75">
      <c r="A926" s="14"/>
      <c r="B926" s="206"/>
      <c r="C926" s="6"/>
      <c r="D926" s="14"/>
      <c r="E926" s="185"/>
      <c r="F926" s="35"/>
      <c r="G926" s="185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 spans="1:27" ht="12.75">
      <c r="A927" s="14"/>
      <c r="B927" s="206"/>
      <c r="C927" s="6"/>
      <c r="D927" s="14"/>
      <c r="E927" s="185"/>
      <c r="F927" s="35"/>
      <c r="G927" s="185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 spans="1:27" ht="12.75">
      <c r="A928" s="14"/>
      <c r="B928" s="206"/>
      <c r="C928" s="6"/>
      <c r="D928" s="14"/>
      <c r="E928" s="185"/>
      <c r="F928" s="35"/>
      <c r="G928" s="185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 spans="1:27" ht="12.75">
      <c r="A929" s="14"/>
      <c r="B929" s="206"/>
      <c r="C929" s="6"/>
      <c r="D929" s="14"/>
      <c r="E929" s="185"/>
      <c r="F929" s="35"/>
      <c r="G929" s="185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 spans="1:27" ht="12.75">
      <c r="A930" s="14"/>
      <c r="B930" s="206"/>
      <c r="C930" s="6"/>
      <c r="D930" s="14"/>
      <c r="E930" s="185"/>
      <c r="F930" s="35"/>
      <c r="G930" s="185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 spans="1:27" ht="12.75">
      <c r="A931" s="14"/>
      <c r="B931" s="206"/>
      <c r="C931" s="6"/>
      <c r="D931" s="14"/>
      <c r="E931" s="185"/>
      <c r="F931" s="35"/>
      <c r="G931" s="185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 spans="1:27" ht="12.75">
      <c r="A932" s="14"/>
      <c r="B932" s="206"/>
      <c r="C932" s="6"/>
      <c r="D932" s="14"/>
      <c r="E932" s="185"/>
      <c r="F932" s="35"/>
      <c r="G932" s="185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 spans="1:27" ht="12.75">
      <c r="A933" s="14"/>
      <c r="B933" s="206"/>
      <c r="C933" s="6"/>
      <c r="D933" s="14"/>
      <c r="E933" s="185"/>
      <c r="F933" s="35"/>
      <c r="G933" s="185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 spans="1:27" ht="12.75">
      <c r="A934" s="14"/>
      <c r="B934" s="206"/>
      <c r="C934" s="6"/>
      <c r="D934" s="14"/>
      <c r="E934" s="185"/>
      <c r="F934" s="35"/>
      <c r="G934" s="185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 spans="1:27" ht="12.75">
      <c r="A935" s="14"/>
      <c r="B935" s="206"/>
      <c r="C935" s="6"/>
      <c r="D935" s="14"/>
      <c r="E935" s="185"/>
      <c r="F935" s="35"/>
      <c r="G935" s="185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 spans="1:27" ht="12.75">
      <c r="A936" s="14"/>
      <c r="B936" s="206"/>
      <c r="C936" s="6"/>
      <c r="D936" s="14"/>
      <c r="E936" s="185"/>
      <c r="F936" s="35"/>
      <c r="G936" s="185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 spans="1:27" ht="12.75">
      <c r="A937" s="14"/>
      <c r="B937" s="206"/>
      <c r="C937" s="6"/>
      <c r="D937" s="14"/>
      <c r="E937" s="185"/>
      <c r="F937" s="35"/>
      <c r="G937" s="185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 spans="1:27" ht="12.75">
      <c r="A938" s="14"/>
      <c r="B938" s="206"/>
      <c r="C938" s="6"/>
      <c r="D938" s="14"/>
      <c r="E938" s="185"/>
      <c r="F938" s="35"/>
      <c r="G938" s="185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 spans="1:27" ht="12.75">
      <c r="A939" s="14"/>
      <c r="B939" s="206"/>
      <c r="C939" s="6"/>
      <c r="D939" s="14"/>
      <c r="E939" s="185"/>
      <c r="F939" s="35"/>
      <c r="G939" s="185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 spans="1:27" ht="12.75">
      <c r="A940" s="14"/>
      <c r="B940" s="206"/>
      <c r="C940" s="6"/>
      <c r="D940" s="14"/>
      <c r="E940" s="185"/>
      <c r="F940" s="35"/>
      <c r="G940" s="185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 spans="1:27" ht="12.75">
      <c r="A941" s="14"/>
      <c r="B941" s="206"/>
      <c r="C941" s="6"/>
      <c r="D941" s="14"/>
      <c r="E941" s="185"/>
      <c r="F941" s="35"/>
      <c r="G941" s="185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 spans="1:27" ht="12.75">
      <c r="A942" s="14"/>
      <c r="B942" s="206"/>
      <c r="C942" s="6"/>
      <c r="D942" s="14"/>
      <c r="E942" s="185"/>
      <c r="F942" s="35"/>
      <c r="G942" s="185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 spans="1:27" ht="12.75">
      <c r="A943" s="14"/>
      <c r="B943" s="206"/>
      <c r="C943" s="6"/>
      <c r="D943" s="14"/>
      <c r="E943" s="185"/>
      <c r="F943" s="35"/>
      <c r="G943" s="185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 spans="1:27" ht="12.75">
      <c r="A944" s="14"/>
      <c r="B944" s="206"/>
      <c r="C944" s="6"/>
      <c r="D944" s="14"/>
      <c r="E944" s="185"/>
      <c r="F944" s="35"/>
      <c r="G944" s="185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 spans="1:27" ht="12.75">
      <c r="A945" s="14"/>
      <c r="B945" s="206"/>
      <c r="C945" s="6"/>
      <c r="D945" s="14"/>
      <c r="E945" s="185"/>
      <c r="F945" s="35"/>
      <c r="G945" s="185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 spans="1:27" ht="12.75">
      <c r="A946" s="14"/>
      <c r="B946" s="206"/>
      <c r="C946" s="6"/>
      <c r="D946" s="14"/>
      <c r="E946" s="185"/>
      <c r="F946" s="35"/>
      <c r="G946" s="185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 spans="1:27" ht="12.75">
      <c r="A947" s="14"/>
      <c r="B947" s="206"/>
      <c r="C947" s="6"/>
      <c r="D947" s="14"/>
      <c r="E947" s="185"/>
      <c r="F947" s="35"/>
      <c r="G947" s="185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 spans="1:27" ht="12.75">
      <c r="A948" s="14"/>
      <c r="B948" s="206"/>
      <c r="C948" s="6"/>
      <c r="D948" s="14"/>
      <c r="E948" s="185"/>
      <c r="F948" s="35"/>
      <c r="G948" s="185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 spans="1:27" ht="12.75">
      <c r="A949" s="14"/>
      <c r="B949" s="206"/>
      <c r="C949" s="6"/>
      <c r="D949" s="14"/>
      <c r="E949" s="185"/>
      <c r="F949" s="35"/>
      <c r="G949" s="185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 spans="1:27" ht="12.75">
      <c r="A950" s="14"/>
      <c r="B950" s="206"/>
      <c r="C950" s="6"/>
      <c r="D950" s="14"/>
      <c r="E950" s="185"/>
      <c r="F950" s="35"/>
      <c r="G950" s="185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 spans="1:27" ht="12.75">
      <c r="A951" s="14"/>
      <c r="B951" s="206"/>
      <c r="C951" s="6"/>
      <c r="D951" s="14"/>
      <c r="E951" s="185"/>
      <c r="F951" s="35"/>
      <c r="G951" s="185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 spans="1:27" ht="12.75">
      <c r="A952" s="14"/>
      <c r="B952" s="206"/>
      <c r="C952" s="6"/>
      <c r="D952" s="14"/>
      <c r="E952" s="185"/>
      <c r="F952" s="35"/>
      <c r="G952" s="185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 spans="1:27" ht="12.75">
      <c r="A953" s="14"/>
      <c r="B953" s="206"/>
      <c r="C953" s="6"/>
      <c r="D953" s="14"/>
      <c r="E953" s="185"/>
      <c r="F953" s="35"/>
      <c r="G953" s="185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 spans="1:27" ht="12.75">
      <c r="A954" s="14"/>
      <c r="B954" s="206"/>
      <c r="C954" s="6"/>
      <c r="D954" s="14"/>
      <c r="E954" s="185"/>
      <c r="F954" s="35"/>
      <c r="G954" s="185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 spans="1:27" ht="12.75">
      <c r="A955" s="14"/>
      <c r="B955" s="206"/>
      <c r="C955" s="6"/>
      <c r="D955" s="14"/>
      <c r="E955" s="185"/>
      <c r="F955" s="35"/>
      <c r="G955" s="185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 spans="1:27" ht="12.75">
      <c r="A956" s="14"/>
      <c r="B956" s="206"/>
      <c r="C956" s="6"/>
      <c r="D956" s="14"/>
      <c r="E956" s="185"/>
      <c r="F956" s="35"/>
      <c r="G956" s="185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 spans="1:27" ht="12.75">
      <c r="A957" s="14"/>
      <c r="B957" s="206"/>
      <c r="C957" s="6"/>
      <c r="D957" s="14"/>
      <c r="E957" s="185"/>
      <c r="F957" s="35"/>
      <c r="G957" s="185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 spans="1:27" ht="12.75">
      <c r="A958" s="14"/>
      <c r="B958" s="206"/>
      <c r="C958" s="6"/>
      <c r="D958" s="14"/>
      <c r="E958" s="185"/>
      <c r="F958" s="35"/>
      <c r="G958" s="185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 spans="1:27" ht="12.75">
      <c r="A959" s="14"/>
      <c r="B959" s="206"/>
      <c r="C959" s="6"/>
      <c r="D959" s="14"/>
      <c r="E959" s="185"/>
      <c r="F959" s="35"/>
      <c r="G959" s="185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 spans="1:27" ht="12.75">
      <c r="A960" s="14"/>
      <c r="B960" s="206"/>
      <c r="C960" s="6"/>
      <c r="D960" s="14"/>
      <c r="E960" s="185"/>
      <c r="F960" s="35"/>
      <c r="G960" s="185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 spans="1:27" ht="12.75">
      <c r="A961" s="14"/>
      <c r="B961" s="206"/>
      <c r="C961" s="6"/>
      <c r="D961" s="14"/>
      <c r="E961" s="185"/>
      <c r="F961" s="35"/>
      <c r="G961" s="185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 spans="1:27" ht="12.75">
      <c r="A962" s="14"/>
      <c r="B962" s="206"/>
      <c r="C962" s="6"/>
      <c r="D962" s="14"/>
      <c r="E962" s="185"/>
      <c r="F962" s="35"/>
      <c r="G962" s="185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 spans="1:27" ht="12.75">
      <c r="A963" s="14"/>
      <c r="B963" s="206"/>
      <c r="C963" s="6"/>
      <c r="D963" s="14"/>
      <c r="E963" s="185"/>
      <c r="F963" s="35"/>
      <c r="G963" s="185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 spans="1:27" ht="12.75">
      <c r="A964" s="14"/>
      <c r="B964" s="183"/>
      <c r="C964" s="208"/>
      <c r="D964" s="14"/>
      <c r="E964" s="185"/>
      <c r="F964" s="35"/>
      <c r="G964" s="185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 spans="1:27" ht="12.75">
      <c r="A965" s="14"/>
      <c r="B965" s="183"/>
      <c r="C965" s="208"/>
      <c r="D965" s="14"/>
      <c r="E965" s="185"/>
      <c r="F965" s="35"/>
      <c r="G965" s="185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 spans="1:27" ht="12.75">
      <c r="A966" s="14"/>
      <c r="B966" s="183"/>
      <c r="C966" s="208"/>
      <c r="D966" s="14"/>
      <c r="E966" s="185"/>
      <c r="F966" s="35"/>
      <c r="G966" s="185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 spans="1:27" ht="12.75">
      <c r="A967" s="14"/>
      <c r="B967" s="183"/>
      <c r="C967" s="208"/>
      <c r="D967" s="14"/>
      <c r="E967" s="185"/>
      <c r="F967" s="35"/>
      <c r="G967" s="185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 spans="1:27" ht="12.75">
      <c r="A968" s="14"/>
      <c r="B968" s="183"/>
      <c r="C968" s="208"/>
      <c r="D968" s="14"/>
      <c r="E968" s="185"/>
      <c r="F968" s="35"/>
      <c r="G968" s="185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 spans="1:27" ht="12.75">
      <c r="A969" s="14"/>
      <c r="B969" s="183"/>
      <c r="C969" s="208"/>
      <c r="D969" s="14"/>
      <c r="E969" s="185"/>
      <c r="F969" s="35"/>
      <c r="G969" s="185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 spans="1:27" ht="12.75">
      <c r="A970" s="14"/>
      <c r="B970" s="183"/>
      <c r="C970" s="208"/>
      <c r="D970" s="14"/>
      <c r="E970" s="185"/>
      <c r="F970" s="35"/>
      <c r="G970" s="185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 spans="1:27" ht="12.75">
      <c r="A971" s="14"/>
      <c r="B971" s="183"/>
      <c r="C971" s="208"/>
      <c r="D971" s="14"/>
      <c r="E971" s="185"/>
      <c r="F971" s="35"/>
      <c r="G971" s="185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AB973"/>
  <sheetViews>
    <sheetView workbookViewId="0"/>
  </sheetViews>
  <sheetFormatPr defaultColWidth="12.5703125" defaultRowHeight="15.75" customHeight="1"/>
  <cols>
    <col min="1" max="1" width="6.28515625" customWidth="1"/>
    <col min="2" max="2" width="23.7109375" customWidth="1"/>
    <col min="3" max="3" width="10" customWidth="1"/>
    <col min="4" max="4" width="19.28515625" customWidth="1"/>
    <col min="5" max="5" width="23.42578125" customWidth="1"/>
    <col min="8" max="8" width="14.85546875" customWidth="1"/>
    <col min="9" max="9" width="18.5703125" customWidth="1"/>
    <col min="10" max="10" width="6.5703125" customWidth="1"/>
    <col min="11" max="11" width="18.42578125" customWidth="1"/>
    <col min="13" max="13" width="14.28515625" customWidth="1"/>
    <col min="14" max="14" width="15.7109375" customWidth="1"/>
  </cols>
  <sheetData>
    <row r="1" spans="1:28" ht="12.75">
      <c r="A1" s="132" t="s">
        <v>76</v>
      </c>
      <c r="B1" s="4" t="s">
        <v>77</v>
      </c>
      <c r="C1" s="6"/>
      <c r="D1" s="6"/>
      <c r="E1" s="8"/>
      <c r="F1" s="11"/>
      <c r="G1" s="8"/>
      <c r="H1" s="6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pans="1:28" ht="25.5">
      <c r="A2" s="133">
        <v>0</v>
      </c>
      <c r="B2" s="20" t="s">
        <v>7</v>
      </c>
      <c r="C2" s="22" t="s">
        <v>8</v>
      </c>
      <c r="D2" s="22" t="s">
        <v>9</v>
      </c>
      <c r="E2" s="24" t="s">
        <v>10</v>
      </c>
      <c r="F2" s="26" t="s">
        <v>11</v>
      </c>
      <c r="G2" s="24" t="s">
        <v>12</v>
      </c>
      <c r="H2" s="22" t="s">
        <v>13</v>
      </c>
      <c r="I2" s="14"/>
      <c r="J2" s="134" t="s">
        <v>5</v>
      </c>
      <c r="K2" s="134" t="s">
        <v>78</v>
      </c>
      <c r="L2" s="136" t="s">
        <v>79</v>
      </c>
      <c r="M2" s="134" t="s">
        <v>80</v>
      </c>
      <c r="N2" s="139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ht="12.75">
      <c r="A3" s="141">
        <v>1</v>
      </c>
      <c r="B3" s="142" t="s">
        <v>75</v>
      </c>
      <c r="C3" s="44"/>
      <c r="D3" s="44"/>
      <c r="E3" s="46" t="s">
        <v>18</v>
      </c>
      <c r="F3" s="48"/>
      <c r="G3" s="46"/>
      <c r="H3" s="44"/>
      <c r="I3" s="143"/>
      <c r="J3" s="144">
        <v>1</v>
      </c>
      <c r="K3" s="78"/>
      <c r="L3" s="145"/>
      <c r="M3" s="146"/>
      <c r="N3" s="78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</row>
    <row r="4" spans="1:28" ht="24" customHeight="1">
      <c r="A4" s="37">
        <v>2</v>
      </c>
      <c r="B4" s="42" t="s">
        <v>20</v>
      </c>
      <c r="C4" s="73"/>
      <c r="D4" s="44"/>
      <c r="E4" s="46" t="s">
        <v>18</v>
      </c>
      <c r="F4" s="48"/>
      <c r="G4" s="40"/>
      <c r="H4" s="6"/>
      <c r="I4" s="151"/>
      <c r="J4" s="144">
        <v>2</v>
      </c>
      <c r="K4" s="100"/>
      <c r="L4" s="144"/>
      <c r="M4" s="110"/>
      <c r="N4" s="100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spans="1:28" ht="12.75">
      <c r="A5" s="37">
        <v>3</v>
      </c>
      <c r="B5" s="29" t="s">
        <v>23</v>
      </c>
      <c r="C5" s="6">
        <v>10</v>
      </c>
      <c r="D5" s="6"/>
      <c r="E5" s="45" t="s">
        <v>89</v>
      </c>
      <c r="F5" s="47">
        <v>30</v>
      </c>
      <c r="G5" s="40"/>
      <c r="H5" s="49"/>
      <c r="I5" s="33" t="s">
        <v>90</v>
      </c>
      <c r="J5" s="144">
        <v>3</v>
      </c>
      <c r="K5" s="29" t="s">
        <v>23</v>
      </c>
      <c r="L5" s="144" t="s">
        <v>90</v>
      </c>
      <c r="M5" s="144">
        <v>30000</v>
      </c>
      <c r="N5" s="100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 spans="1:28" ht="12.75">
      <c r="A6" s="2">
        <v>4</v>
      </c>
      <c r="B6" s="29" t="s">
        <v>26</v>
      </c>
      <c r="C6" s="6">
        <v>10</v>
      </c>
      <c r="D6" s="6"/>
      <c r="E6" s="45" t="s">
        <v>89</v>
      </c>
      <c r="F6" s="47">
        <v>30</v>
      </c>
      <c r="G6" s="8"/>
      <c r="H6" s="6"/>
      <c r="I6" s="33" t="s">
        <v>90</v>
      </c>
      <c r="J6" s="144">
        <v>4</v>
      </c>
      <c r="K6" s="29" t="s">
        <v>26</v>
      </c>
      <c r="L6" s="144" t="s">
        <v>90</v>
      </c>
      <c r="M6" s="144">
        <v>14000</v>
      </c>
      <c r="N6" s="100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spans="1:28" ht="12.75">
      <c r="A7" s="2">
        <v>5</v>
      </c>
      <c r="B7" s="29" t="s">
        <v>29</v>
      </c>
      <c r="C7" s="6">
        <v>10</v>
      </c>
      <c r="D7" s="6"/>
      <c r="E7" s="45" t="s">
        <v>89</v>
      </c>
      <c r="F7" s="47">
        <v>30</v>
      </c>
      <c r="G7" s="40"/>
      <c r="H7" s="6"/>
      <c r="I7" s="33" t="s">
        <v>90</v>
      </c>
      <c r="J7" s="144">
        <v>5</v>
      </c>
      <c r="K7" s="29" t="s">
        <v>29</v>
      </c>
      <c r="L7" s="144" t="s">
        <v>90</v>
      </c>
      <c r="M7" s="144">
        <v>32000</v>
      </c>
      <c r="N7" s="100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spans="1:28" ht="12.75">
      <c r="A8" s="37">
        <v>6</v>
      </c>
      <c r="B8" s="29" t="s">
        <v>36</v>
      </c>
      <c r="C8" s="6">
        <v>7</v>
      </c>
      <c r="D8" s="6"/>
      <c r="E8" s="45" t="s">
        <v>89</v>
      </c>
      <c r="F8" s="47">
        <v>30</v>
      </c>
      <c r="G8" s="40"/>
      <c r="H8" s="6"/>
      <c r="I8" s="33" t="s">
        <v>91</v>
      </c>
      <c r="J8" s="144">
        <v>6</v>
      </c>
      <c r="K8" s="29" t="s">
        <v>36</v>
      </c>
      <c r="L8" s="144" t="s">
        <v>91</v>
      </c>
      <c r="M8" s="144">
        <v>31450</v>
      </c>
      <c r="N8" s="100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spans="1:28" ht="12.75">
      <c r="A9" s="141">
        <v>7</v>
      </c>
      <c r="B9" s="75" t="s">
        <v>92</v>
      </c>
      <c r="C9" s="77"/>
      <c r="D9" s="86"/>
      <c r="E9" s="157" t="s">
        <v>93</v>
      </c>
      <c r="F9" s="158">
        <v>15</v>
      </c>
      <c r="G9" s="46"/>
      <c r="H9" s="159"/>
      <c r="I9" s="143" t="s">
        <v>94</v>
      </c>
      <c r="J9" s="145">
        <v>7</v>
      </c>
      <c r="K9" s="78"/>
      <c r="L9" s="78"/>
      <c r="M9" s="78"/>
      <c r="N9" s="160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</row>
    <row r="10" spans="1:28" ht="12.75">
      <c r="A10" s="2">
        <v>8</v>
      </c>
      <c r="B10" s="4" t="s">
        <v>95</v>
      </c>
      <c r="C10" s="59">
        <v>7</v>
      </c>
      <c r="D10" s="6"/>
      <c r="E10" s="45" t="s">
        <v>89</v>
      </c>
      <c r="F10" s="47">
        <v>30</v>
      </c>
      <c r="G10" s="8"/>
      <c r="H10" s="6"/>
      <c r="I10" s="71"/>
      <c r="J10" s="144">
        <v>8</v>
      </c>
      <c r="K10" s="100"/>
      <c r="L10" s="100"/>
      <c r="M10" s="161"/>
      <c r="N10" s="100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spans="1:28" ht="12.75">
      <c r="A11" s="141">
        <v>9</v>
      </c>
      <c r="B11" s="75" t="s">
        <v>97</v>
      </c>
      <c r="C11" s="77"/>
      <c r="D11" s="86"/>
      <c r="E11" s="77" t="s">
        <v>98</v>
      </c>
      <c r="F11" s="158">
        <v>14</v>
      </c>
      <c r="G11" s="8"/>
      <c r="H11" s="59" t="s">
        <v>99</v>
      </c>
      <c r="I11" s="14"/>
      <c r="J11" s="144">
        <v>9</v>
      </c>
      <c r="K11" s="100"/>
      <c r="L11" s="100"/>
      <c r="M11" s="161"/>
      <c r="N11" s="100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spans="1:28" ht="12.75">
      <c r="A12" s="169">
        <v>10</v>
      </c>
      <c r="B12" s="152" t="s">
        <v>100</v>
      </c>
      <c r="C12" s="153">
        <v>5</v>
      </c>
      <c r="D12" s="138"/>
      <c r="E12" s="171" t="s">
        <v>89</v>
      </c>
      <c r="F12" s="173">
        <v>30</v>
      </c>
      <c r="G12" s="174"/>
      <c r="H12" s="137"/>
      <c r="I12" s="176"/>
      <c r="J12" s="178">
        <v>10</v>
      </c>
      <c r="K12" s="138"/>
      <c r="L12" s="138"/>
      <c r="M12" s="138"/>
      <c r="N12" s="138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</row>
    <row r="13" spans="1:28" ht="12.75">
      <c r="A13" s="2">
        <v>11</v>
      </c>
      <c r="B13" s="97" t="s">
        <v>107</v>
      </c>
      <c r="C13" s="98">
        <v>5</v>
      </c>
      <c r="D13" s="6"/>
      <c r="E13" s="105" t="s">
        <v>109</v>
      </c>
      <c r="F13" s="47">
        <v>15</v>
      </c>
      <c r="G13" s="8"/>
      <c r="H13" s="6"/>
      <c r="I13" s="71"/>
      <c r="J13" s="144">
        <v>11</v>
      </c>
      <c r="K13" s="100"/>
      <c r="L13" s="100"/>
      <c r="M13" s="100"/>
      <c r="N13" s="100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 spans="1:28" ht="12.75">
      <c r="A14" s="2">
        <v>12</v>
      </c>
      <c r="B14" s="4" t="s">
        <v>110</v>
      </c>
      <c r="C14" s="59">
        <v>10</v>
      </c>
      <c r="D14" s="6"/>
      <c r="E14" s="45" t="s">
        <v>112</v>
      </c>
      <c r="F14" s="47">
        <v>23</v>
      </c>
      <c r="G14" s="8"/>
      <c r="H14" s="6"/>
      <c r="I14" s="14"/>
      <c r="J14" s="144">
        <v>12</v>
      </c>
      <c r="K14" s="100"/>
      <c r="L14" s="100"/>
      <c r="M14" s="100"/>
      <c r="N14" s="100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 spans="1:28" ht="12.75">
      <c r="A15" s="2">
        <v>13</v>
      </c>
      <c r="B15" s="89" t="s">
        <v>115</v>
      </c>
      <c r="C15" s="59">
        <v>7</v>
      </c>
      <c r="D15" s="6"/>
      <c r="E15" s="45" t="s">
        <v>117</v>
      </c>
      <c r="F15" s="47">
        <v>17</v>
      </c>
      <c r="G15" s="45" t="s">
        <v>118</v>
      </c>
      <c r="H15" s="49"/>
      <c r="I15" s="33"/>
      <c r="J15" s="144">
        <v>13</v>
      </c>
      <c r="K15" s="100"/>
      <c r="L15" s="100"/>
      <c r="M15" s="100"/>
      <c r="N15" s="100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spans="1:28" ht="12.75">
      <c r="A16" s="90">
        <v>14</v>
      </c>
      <c r="B16" s="4" t="s">
        <v>61</v>
      </c>
      <c r="C16" s="59">
        <v>7</v>
      </c>
      <c r="D16" s="6"/>
      <c r="E16" s="45" t="s">
        <v>120</v>
      </c>
      <c r="F16" s="47"/>
      <c r="G16" s="8"/>
      <c r="H16" s="6"/>
      <c r="I16" s="14"/>
      <c r="J16" s="144">
        <v>14</v>
      </c>
      <c r="K16" s="100"/>
      <c r="L16" s="100"/>
      <c r="M16" s="100"/>
      <c r="N16" s="100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spans="1:28" ht="12.75">
      <c r="A17" s="90">
        <v>15</v>
      </c>
      <c r="B17" s="104" t="s">
        <v>121</v>
      </c>
      <c r="C17" s="98">
        <v>7</v>
      </c>
      <c r="D17" s="6"/>
      <c r="E17" s="192" t="s">
        <v>124</v>
      </c>
      <c r="F17" s="11"/>
      <c r="G17" s="45" t="s">
        <v>118</v>
      </c>
      <c r="H17" s="6"/>
      <c r="I17" s="14"/>
      <c r="J17" s="144">
        <v>15</v>
      </c>
      <c r="K17" s="100"/>
      <c r="L17" s="100"/>
      <c r="M17" s="100"/>
      <c r="N17" s="100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 spans="1:28" ht="12.75">
      <c r="A18" s="90">
        <v>16</v>
      </c>
      <c r="B18" s="4" t="s">
        <v>129</v>
      </c>
      <c r="C18" s="59"/>
      <c r="D18" s="6"/>
      <c r="E18" s="45" t="s">
        <v>130</v>
      </c>
      <c r="F18" s="11"/>
      <c r="G18" s="45">
        <v>29750</v>
      </c>
      <c r="H18" s="6"/>
      <c r="I18" s="33" t="s">
        <v>131</v>
      </c>
      <c r="J18" s="144">
        <v>16</v>
      </c>
      <c r="K18" s="100"/>
      <c r="L18" s="100"/>
      <c r="M18" s="100"/>
      <c r="N18" s="100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 spans="1:28" ht="12.75">
      <c r="A19" s="2">
        <v>17</v>
      </c>
      <c r="B19" s="104"/>
      <c r="C19" s="98"/>
      <c r="D19" s="6"/>
      <c r="E19" s="105"/>
      <c r="F19" s="11"/>
      <c r="G19" s="8"/>
      <c r="H19" s="6"/>
      <c r="I19" s="14"/>
      <c r="J19" s="144">
        <v>17</v>
      </c>
      <c r="K19" s="100"/>
      <c r="L19" s="100"/>
      <c r="M19" s="100"/>
      <c r="N19" s="100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spans="1:28" ht="12.75">
      <c r="A20" s="90">
        <v>18</v>
      </c>
      <c r="B20" s="104"/>
      <c r="C20" s="92"/>
      <c r="D20" s="6"/>
      <c r="E20" s="105"/>
      <c r="F20" s="11"/>
      <c r="G20" s="8"/>
      <c r="H20" s="6"/>
      <c r="I20" s="14"/>
      <c r="J20" s="144">
        <v>18</v>
      </c>
      <c r="K20" s="100"/>
      <c r="L20" s="100"/>
      <c r="M20" s="100"/>
      <c r="N20" s="100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 spans="1:28" ht="12.75">
      <c r="A21" s="90">
        <v>19</v>
      </c>
      <c r="B21" s="54"/>
      <c r="C21" s="6"/>
      <c r="D21" s="6"/>
      <c r="E21" s="56"/>
      <c r="F21" s="58"/>
      <c r="G21" s="8"/>
      <c r="H21" s="6"/>
      <c r="I21" s="14"/>
      <c r="J21" s="144">
        <v>19</v>
      </c>
      <c r="K21" s="100"/>
      <c r="L21" s="100"/>
      <c r="M21" s="100"/>
      <c r="N21" s="197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 spans="1:28" ht="12.75">
      <c r="A22" s="2">
        <v>20</v>
      </c>
      <c r="B22" s="54"/>
      <c r="C22" s="6"/>
      <c r="D22" s="6"/>
      <c r="E22" s="8"/>
      <c r="F22" s="11"/>
      <c r="G22" s="8"/>
      <c r="H22" s="6"/>
      <c r="I22" s="14"/>
      <c r="J22" s="144">
        <v>20</v>
      </c>
      <c r="K22" s="100"/>
      <c r="L22" s="100"/>
      <c r="M22" s="161"/>
      <c r="N22" s="100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 spans="1:28" ht="12.75">
      <c r="A23" s="90">
        <v>21</v>
      </c>
      <c r="B23" s="54"/>
      <c r="C23" s="6"/>
      <c r="D23" s="6"/>
      <c r="E23" s="8"/>
      <c r="F23" s="11"/>
      <c r="G23" s="8"/>
      <c r="H23" s="6"/>
      <c r="I23" s="14"/>
      <c r="J23" s="144">
        <v>21</v>
      </c>
      <c r="K23" s="100"/>
      <c r="L23" s="100"/>
      <c r="M23" s="100"/>
      <c r="N23" s="100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 spans="1:28" ht="12.75">
      <c r="A24" s="2"/>
      <c r="B24" s="29"/>
      <c r="C24" s="6">
        <f>SUM(C3:C20)</f>
        <v>85</v>
      </c>
      <c r="D24" s="6">
        <f>SUM(D3:D14)</f>
        <v>0</v>
      </c>
      <c r="E24" s="8"/>
      <c r="F24" s="11">
        <f>SUM(F3:F19)</f>
        <v>264</v>
      </c>
      <c r="G24" s="8">
        <f>SUM(G3:G16)</f>
        <v>0</v>
      </c>
      <c r="H24" s="6">
        <f>SUM(H3:H12)</f>
        <v>0</v>
      </c>
      <c r="I24" s="14"/>
      <c r="J24" s="144">
        <v>22</v>
      </c>
      <c r="K24" s="100"/>
      <c r="L24" s="100"/>
      <c r="M24" s="100"/>
      <c r="N24" s="100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 spans="1:28" ht="12.75">
      <c r="A25" s="114"/>
      <c r="B25" s="29"/>
      <c r="C25" s="6"/>
      <c r="D25" s="116"/>
      <c r="E25" s="118"/>
      <c r="F25" s="120"/>
      <c r="G25" s="121"/>
      <c r="H25" s="1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 spans="1:28" ht="12.75">
      <c r="A26" s="2"/>
      <c r="B26" s="4" t="s">
        <v>77</v>
      </c>
      <c r="C26" s="6"/>
      <c r="D26" s="6"/>
      <c r="E26" s="8"/>
      <c r="F26" s="11"/>
      <c r="G26" s="8"/>
      <c r="H26" s="6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 spans="1:28" ht="25.5">
      <c r="A27" s="123" t="s">
        <v>5</v>
      </c>
      <c r="B27" s="125" t="s">
        <v>74</v>
      </c>
      <c r="C27" s="127" t="s">
        <v>8</v>
      </c>
      <c r="D27" s="127" t="s">
        <v>9</v>
      </c>
      <c r="E27" s="129" t="s">
        <v>10</v>
      </c>
      <c r="F27" s="131" t="s">
        <v>11</v>
      </c>
      <c r="G27" s="129" t="s">
        <v>12</v>
      </c>
      <c r="H27" s="127" t="s">
        <v>13</v>
      </c>
      <c r="I27" s="14"/>
      <c r="J27" s="134" t="s">
        <v>5</v>
      </c>
      <c r="K27" s="134" t="s">
        <v>78</v>
      </c>
      <c r="L27" s="136" t="s">
        <v>79</v>
      </c>
      <c r="M27" s="134" t="s">
        <v>80</v>
      </c>
      <c r="N27" s="139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 spans="1:28" ht="12.75">
      <c r="A28" s="141">
        <v>1</v>
      </c>
      <c r="B28" s="42" t="s">
        <v>75</v>
      </c>
      <c r="C28" s="44"/>
      <c r="D28" s="44"/>
      <c r="E28" s="46" t="s">
        <v>76</v>
      </c>
      <c r="F28" s="48"/>
      <c r="G28" s="46"/>
      <c r="H28" s="44"/>
      <c r="I28" s="147"/>
      <c r="J28" s="144">
        <v>1</v>
      </c>
      <c r="K28" s="78"/>
      <c r="L28" s="145"/>
      <c r="M28" s="146"/>
      <c r="N28" s="78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</row>
    <row r="29" spans="1:28" ht="33" customHeight="1">
      <c r="A29" s="141">
        <v>2</v>
      </c>
      <c r="B29" s="42" t="s">
        <v>20</v>
      </c>
      <c r="C29" s="44"/>
      <c r="D29" s="44"/>
      <c r="E29" s="46" t="s">
        <v>18</v>
      </c>
      <c r="F29" s="48"/>
      <c r="G29" s="46"/>
      <c r="H29" s="44"/>
      <c r="I29" s="147"/>
      <c r="J29" s="144">
        <v>2</v>
      </c>
      <c r="K29" s="100"/>
      <c r="L29" s="144"/>
      <c r="M29" s="110"/>
      <c r="N29" s="100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</row>
    <row r="30" spans="1:28" ht="12.75">
      <c r="A30" s="2">
        <v>3</v>
      </c>
      <c r="B30" s="29" t="s">
        <v>29</v>
      </c>
      <c r="C30" s="6">
        <v>10</v>
      </c>
      <c r="D30" s="6"/>
      <c r="E30" s="45" t="s">
        <v>89</v>
      </c>
      <c r="F30" s="47">
        <v>29</v>
      </c>
      <c r="G30" s="8"/>
      <c r="H30" s="6"/>
      <c r="I30" s="14"/>
      <c r="J30" s="144">
        <v>3</v>
      </c>
      <c r="K30" s="29" t="s">
        <v>29</v>
      </c>
      <c r="L30" s="144"/>
      <c r="M30" s="144" t="s">
        <v>139</v>
      </c>
      <c r="N30" s="100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 spans="1:28" ht="12.75">
      <c r="A31" s="2">
        <v>4</v>
      </c>
      <c r="B31" s="29" t="s">
        <v>26</v>
      </c>
      <c r="C31" s="6">
        <v>10</v>
      </c>
      <c r="D31" s="6"/>
      <c r="E31" s="45" t="s">
        <v>89</v>
      </c>
      <c r="F31" s="47">
        <v>29</v>
      </c>
      <c r="G31" s="8"/>
      <c r="H31" s="6"/>
      <c r="I31" s="14"/>
      <c r="J31" s="144">
        <v>4</v>
      </c>
      <c r="K31" s="29" t="s">
        <v>26</v>
      </c>
      <c r="L31" s="144"/>
      <c r="M31" s="144">
        <v>14000</v>
      </c>
      <c r="N31" s="100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 spans="1:28" ht="12.75">
      <c r="A32" s="2">
        <v>5</v>
      </c>
      <c r="B32" s="29" t="s">
        <v>36</v>
      </c>
      <c r="C32" s="6">
        <v>7</v>
      </c>
      <c r="D32" s="6"/>
      <c r="E32" s="45" t="s">
        <v>89</v>
      </c>
      <c r="F32" s="47">
        <v>29</v>
      </c>
      <c r="G32" s="8"/>
      <c r="H32" s="6"/>
      <c r="I32" s="14"/>
      <c r="J32" s="144">
        <v>5</v>
      </c>
      <c r="K32" s="29" t="s">
        <v>36</v>
      </c>
      <c r="L32" s="144" t="s">
        <v>91</v>
      </c>
      <c r="M32" s="144" t="s">
        <v>140</v>
      </c>
      <c r="N32" s="100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 spans="1:28" ht="12.75">
      <c r="A33" s="2">
        <v>6</v>
      </c>
      <c r="B33" s="97" t="s">
        <v>141</v>
      </c>
      <c r="C33" s="98">
        <v>7</v>
      </c>
      <c r="D33" s="92"/>
      <c r="E33" s="98" t="s">
        <v>142</v>
      </c>
      <c r="F33" s="200">
        <v>13</v>
      </c>
      <c r="G33" s="51" t="s">
        <v>118</v>
      </c>
      <c r="H33" s="6"/>
      <c r="I33" s="71"/>
      <c r="J33" s="144">
        <v>6</v>
      </c>
      <c r="K33" s="29"/>
      <c r="L33" s="144"/>
      <c r="M33" s="144"/>
      <c r="N33" s="100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 spans="1:28" ht="12.75">
      <c r="A34" s="37">
        <v>7</v>
      </c>
      <c r="B34" s="4" t="s">
        <v>95</v>
      </c>
      <c r="C34" s="6">
        <v>7</v>
      </c>
      <c r="D34" s="6"/>
      <c r="E34" s="45" t="s">
        <v>89</v>
      </c>
      <c r="F34" s="47">
        <v>29</v>
      </c>
      <c r="G34" s="8"/>
      <c r="H34" s="6"/>
      <c r="I34" s="14"/>
      <c r="J34" s="144">
        <v>7</v>
      </c>
      <c r="K34" s="100"/>
      <c r="L34" s="100"/>
      <c r="M34" s="100"/>
      <c r="N34" s="197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 spans="1:28" ht="12.75">
      <c r="A35" s="2">
        <v>8</v>
      </c>
      <c r="B35" s="75" t="s">
        <v>92</v>
      </c>
      <c r="C35" s="77"/>
      <c r="D35" s="86"/>
      <c r="E35" s="157" t="s">
        <v>93</v>
      </c>
      <c r="F35" s="158">
        <v>15</v>
      </c>
      <c r="G35" s="46"/>
      <c r="H35" s="6"/>
      <c r="I35" s="14"/>
      <c r="J35" s="144">
        <v>8</v>
      </c>
      <c r="K35" s="100"/>
      <c r="L35" s="100"/>
      <c r="M35" s="161"/>
      <c r="N35" s="100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 spans="1:28" ht="12.75">
      <c r="A36" s="2">
        <v>9</v>
      </c>
      <c r="B36" s="201" t="s">
        <v>100</v>
      </c>
      <c r="C36" s="59">
        <v>5</v>
      </c>
      <c r="D36" s="6"/>
      <c r="E36" s="45" t="s">
        <v>89</v>
      </c>
      <c r="F36" s="47">
        <v>30</v>
      </c>
      <c r="G36" s="8"/>
      <c r="H36" s="6"/>
      <c r="I36" s="14"/>
      <c r="J36" s="144">
        <v>9</v>
      </c>
      <c r="K36" s="100"/>
      <c r="L36" s="100"/>
      <c r="M36" s="161"/>
      <c r="N36" s="100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 spans="1:28" ht="12.75">
      <c r="A37" s="2">
        <v>10</v>
      </c>
      <c r="B37" s="97" t="s">
        <v>107</v>
      </c>
      <c r="C37" s="98">
        <v>5</v>
      </c>
      <c r="D37" s="6"/>
      <c r="E37" s="105" t="s">
        <v>109</v>
      </c>
      <c r="F37" s="200">
        <v>15</v>
      </c>
      <c r="G37" s="8"/>
      <c r="H37" s="6"/>
      <c r="I37" s="14"/>
      <c r="J37" s="178">
        <v>10</v>
      </c>
      <c r="K37" s="138"/>
      <c r="L37" s="138"/>
      <c r="M37" s="138"/>
      <c r="N37" s="138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 spans="1:28" ht="12.75">
      <c r="A38" s="2">
        <v>11</v>
      </c>
      <c r="B38" s="97" t="s">
        <v>143</v>
      </c>
      <c r="C38" s="98">
        <v>10</v>
      </c>
      <c r="D38" s="144"/>
      <c r="E38" s="102" t="s">
        <v>144</v>
      </c>
      <c r="F38" s="103">
        <v>30</v>
      </c>
      <c r="G38" s="8"/>
      <c r="H38" s="6"/>
      <c r="I38" s="14"/>
      <c r="J38" s="144">
        <v>11</v>
      </c>
      <c r="K38" s="100"/>
      <c r="L38" s="100"/>
      <c r="M38" s="100"/>
      <c r="N38" s="100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 spans="1:28" ht="12.75">
      <c r="A39" s="2">
        <v>12</v>
      </c>
      <c r="B39" s="4" t="s">
        <v>145</v>
      </c>
      <c r="C39" s="59">
        <v>7</v>
      </c>
      <c r="D39" s="6"/>
      <c r="E39" s="45" t="s">
        <v>146</v>
      </c>
      <c r="F39" s="47" t="s">
        <v>118</v>
      </c>
      <c r="G39" s="203" t="s">
        <v>18</v>
      </c>
      <c r="H39" s="100"/>
      <c r="I39" s="14"/>
      <c r="J39" s="144">
        <v>12</v>
      </c>
      <c r="K39" s="100"/>
      <c r="L39" s="100"/>
      <c r="M39" s="100"/>
      <c r="N39" s="100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 spans="1:28" ht="12.75">
      <c r="A40" s="6">
        <v>13</v>
      </c>
      <c r="B40" s="104" t="s">
        <v>147</v>
      </c>
      <c r="C40" s="98">
        <v>7</v>
      </c>
      <c r="D40" s="6"/>
      <c r="E40" s="192" t="s">
        <v>148</v>
      </c>
      <c r="F40" s="103" t="s">
        <v>118</v>
      </c>
      <c r="G40" s="109"/>
      <c r="H40" s="150"/>
      <c r="I40" s="33" t="s">
        <v>149</v>
      </c>
      <c r="J40" s="144">
        <v>13</v>
      </c>
      <c r="K40" s="100"/>
      <c r="L40" s="100"/>
      <c r="M40" s="100"/>
      <c r="N40" s="100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 spans="1:28" ht="12.75">
      <c r="A41" s="90">
        <v>14</v>
      </c>
      <c r="B41" s="4" t="s">
        <v>110</v>
      </c>
      <c r="C41" s="59">
        <v>10</v>
      </c>
      <c r="D41" s="6"/>
      <c r="E41" s="45" t="s">
        <v>112</v>
      </c>
      <c r="F41" s="47">
        <v>23</v>
      </c>
      <c r="G41" s="8"/>
      <c r="H41" s="49"/>
      <c r="I41" s="14"/>
      <c r="J41" s="144">
        <v>14</v>
      </c>
      <c r="K41" s="100"/>
      <c r="L41" s="100"/>
      <c r="M41" s="100"/>
      <c r="N41" s="100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 spans="1:28" ht="12.75">
      <c r="A42" s="204">
        <v>15</v>
      </c>
      <c r="B42" s="104" t="s">
        <v>150</v>
      </c>
      <c r="C42" s="98"/>
      <c r="D42" s="92"/>
      <c r="E42" s="105" t="s">
        <v>99</v>
      </c>
      <c r="F42" s="205"/>
      <c r="G42" s="94"/>
      <c r="H42" s="92"/>
      <c r="I42" s="14"/>
      <c r="J42" s="144">
        <v>15</v>
      </c>
      <c r="K42" s="100"/>
      <c r="L42" s="100"/>
      <c r="M42" s="100"/>
      <c r="N42" s="100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 spans="1:28" ht="12.75">
      <c r="A43" s="2">
        <v>16</v>
      </c>
      <c r="B43" s="155"/>
      <c r="C43" s="49"/>
      <c r="D43" s="6"/>
      <c r="E43" s="8"/>
      <c r="F43" s="11"/>
      <c r="G43" s="8"/>
      <c r="H43" s="6"/>
      <c r="I43" s="14"/>
      <c r="J43" s="144">
        <v>16</v>
      </c>
      <c r="K43" s="100"/>
      <c r="L43" s="100"/>
      <c r="M43" s="100"/>
      <c r="N43" s="100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 spans="1:28" ht="12.75">
      <c r="A44" s="2">
        <v>17</v>
      </c>
      <c r="B44" s="29"/>
      <c r="C44" s="6"/>
      <c r="D44" s="6"/>
      <c r="E44" s="8"/>
      <c r="F44" s="11"/>
      <c r="G44" s="8"/>
      <c r="H44" s="6"/>
      <c r="I44" s="14"/>
      <c r="J44" s="144">
        <v>17</v>
      </c>
      <c r="K44" s="100"/>
      <c r="L44" s="100"/>
      <c r="M44" s="100"/>
      <c r="N44" s="100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 spans="1:28" ht="12.75">
      <c r="A45" s="2">
        <v>18</v>
      </c>
      <c r="B45" s="29"/>
      <c r="C45" s="6"/>
      <c r="D45" s="6"/>
      <c r="E45" s="8"/>
      <c r="F45" s="11"/>
      <c r="G45" s="8"/>
      <c r="H45" s="6"/>
      <c r="I45" s="14"/>
      <c r="J45" s="144">
        <v>18</v>
      </c>
      <c r="K45" s="100"/>
      <c r="L45" s="100"/>
      <c r="M45" s="100"/>
      <c r="N45" s="100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 spans="1:28" ht="12.75">
      <c r="A46" s="2"/>
      <c r="B46" s="29"/>
      <c r="C46" s="6"/>
      <c r="D46" s="6"/>
      <c r="E46" s="8"/>
      <c r="F46" s="11"/>
      <c r="G46" s="8"/>
      <c r="H46" s="6"/>
      <c r="I46" s="14"/>
      <c r="J46" s="144">
        <v>19</v>
      </c>
      <c r="K46" s="100"/>
      <c r="L46" s="100"/>
      <c r="M46" s="100"/>
      <c r="N46" s="197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 spans="1:28" ht="12.75">
      <c r="A47" s="2"/>
      <c r="B47" s="29"/>
      <c r="C47" s="6">
        <f t="shared" ref="C47:D47" si="0">SUM(C28:C45)</f>
        <v>85</v>
      </c>
      <c r="D47" s="6">
        <f t="shared" si="0"/>
        <v>0</v>
      </c>
      <c r="E47" s="8"/>
      <c r="F47" s="11">
        <f>SUM(F28:F46)</f>
        <v>242</v>
      </c>
      <c r="G47" s="8">
        <f>SUM(G28:G43)</f>
        <v>0</v>
      </c>
      <c r="H47" s="6"/>
      <c r="I47" s="14"/>
      <c r="J47" s="144">
        <v>20</v>
      </c>
      <c r="K47" s="100"/>
      <c r="L47" s="100"/>
      <c r="M47" s="161"/>
      <c r="N47" s="100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 spans="1:28" ht="12.75">
      <c r="A48" s="116"/>
      <c r="B48" s="29"/>
      <c r="C48" s="6"/>
      <c r="D48" s="116"/>
      <c r="E48" s="118"/>
      <c r="F48" s="120"/>
      <c r="G48" s="118"/>
      <c r="H48" s="116"/>
      <c r="I48" s="14"/>
      <c r="J48" s="144">
        <v>21</v>
      </c>
      <c r="K48" s="100"/>
      <c r="L48" s="100"/>
      <c r="M48" s="100"/>
      <c r="N48" s="100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 spans="1:28" ht="12.75">
      <c r="A49" s="2"/>
      <c r="B49" s="29"/>
      <c r="C49" s="6"/>
      <c r="D49" s="6"/>
      <c r="E49" s="8"/>
      <c r="F49" s="11"/>
      <c r="G49" s="8"/>
      <c r="H49" s="6"/>
      <c r="I49" s="14"/>
      <c r="J49" s="144">
        <v>22</v>
      </c>
      <c r="K49" s="100"/>
      <c r="L49" s="100"/>
      <c r="M49" s="100"/>
      <c r="N49" s="100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 spans="1:28" ht="12.75">
      <c r="A50" s="123"/>
      <c r="B50" s="125" t="s">
        <v>96</v>
      </c>
      <c r="C50" s="162"/>
      <c r="D50" s="162"/>
      <c r="E50" s="164"/>
      <c r="F50" s="166"/>
      <c r="G50" s="164"/>
      <c r="H50" s="162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 spans="1:28" ht="12.75">
      <c r="A51" s="2">
        <v>1</v>
      </c>
      <c r="B51" s="4" t="s">
        <v>101</v>
      </c>
      <c r="C51" s="59" t="s">
        <v>77</v>
      </c>
      <c r="D51" s="6"/>
      <c r="E51" s="8"/>
      <c r="F51" s="11"/>
      <c r="G51" s="45" t="s">
        <v>102</v>
      </c>
      <c r="H51" s="6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 spans="1:28" ht="12.75">
      <c r="A52" s="116"/>
      <c r="B52" s="172"/>
      <c r="C52" s="116"/>
      <c r="D52" s="116"/>
      <c r="E52" s="118"/>
      <c r="F52" s="120"/>
      <c r="G52" s="118"/>
      <c r="H52" s="116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 spans="1:28" ht="12.75">
      <c r="A53" s="175"/>
      <c r="B53" s="177" t="s">
        <v>106</v>
      </c>
      <c r="C53" s="175"/>
      <c r="D53" s="175"/>
      <c r="E53" s="179"/>
      <c r="F53" s="180"/>
      <c r="G53" s="179"/>
      <c r="H53" s="175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 spans="1:28" ht="12.75">
      <c r="A54" s="100">
        <v>1</v>
      </c>
      <c r="B54" s="181" t="s">
        <v>101</v>
      </c>
      <c r="C54" s="144" t="s">
        <v>77</v>
      </c>
      <c r="D54" s="100"/>
      <c r="E54" s="109"/>
      <c r="F54" s="110"/>
      <c r="G54" s="109" t="s">
        <v>108</v>
      </c>
      <c r="H54" s="100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 spans="1:28" ht="12.75">
      <c r="A55" s="14"/>
      <c r="B55" s="183"/>
      <c r="C55" s="14"/>
      <c r="D55" s="14"/>
      <c r="E55" s="185"/>
      <c r="F55" s="35"/>
      <c r="G55" s="185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 spans="1:28" ht="12.75">
      <c r="A56" s="189"/>
      <c r="B56" s="191" t="s">
        <v>122</v>
      </c>
      <c r="C56" s="189"/>
      <c r="D56" s="189"/>
      <c r="E56" s="193"/>
      <c r="F56" s="194" t="s">
        <v>113</v>
      </c>
      <c r="G56" s="193"/>
      <c r="H56" s="189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 spans="1:28" ht="12.75">
      <c r="A57" s="2" t="s">
        <v>114</v>
      </c>
      <c r="B57" s="4" t="s">
        <v>128</v>
      </c>
      <c r="C57" s="59" t="s">
        <v>77</v>
      </c>
      <c r="D57" s="6"/>
      <c r="E57" s="8"/>
      <c r="F57" s="47">
        <v>31</v>
      </c>
      <c r="G57" s="45">
        <v>25000</v>
      </c>
      <c r="H57" s="6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 spans="1:28" ht="12.75">
      <c r="A58" s="59" t="s">
        <v>151</v>
      </c>
      <c r="B58" s="29"/>
      <c r="C58" s="59" t="s">
        <v>77</v>
      </c>
      <c r="D58" s="6"/>
      <c r="E58" s="8"/>
      <c r="F58" s="47">
        <v>31</v>
      </c>
      <c r="G58" s="8"/>
      <c r="H58" s="6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 spans="1:28" ht="12.75">
      <c r="A59" s="59" t="s">
        <v>152</v>
      </c>
      <c r="B59" s="29"/>
      <c r="C59" s="59" t="s">
        <v>77</v>
      </c>
      <c r="D59" s="6"/>
      <c r="E59" s="8"/>
      <c r="F59" s="47"/>
      <c r="G59" s="8"/>
      <c r="H59" s="6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 spans="1:28" ht="12.75">
      <c r="A60" s="59" t="s">
        <v>153</v>
      </c>
      <c r="B60" s="29"/>
      <c r="C60" s="59" t="s">
        <v>77</v>
      </c>
      <c r="D60" s="6"/>
      <c r="E60" s="8"/>
      <c r="F60" s="47"/>
      <c r="G60" s="8"/>
      <c r="H60" s="6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 spans="1:28" ht="12.75">
      <c r="A61" s="59" t="s">
        <v>132</v>
      </c>
      <c r="B61" s="4" t="s">
        <v>154</v>
      </c>
      <c r="C61" s="59" t="s">
        <v>77</v>
      </c>
      <c r="D61" s="6"/>
      <c r="E61" s="8"/>
      <c r="F61" s="47">
        <v>31</v>
      </c>
      <c r="G61" s="8"/>
      <c r="H61" s="6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 spans="1:28" ht="12.75">
      <c r="A62" s="14"/>
      <c r="B62" s="183"/>
      <c r="C62" s="14"/>
      <c r="D62" s="14"/>
      <c r="E62" s="185"/>
      <c r="F62" s="35"/>
      <c r="G62" s="185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 spans="1:28" ht="12.75">
      <c r="A63" s="189"/>
      <c r="B63" s="196" t="s">
        <v>111</v>
      </c>
      <c r="C63" s="189"/>
      <c r="D63" s="189"/>
      <c r="E63" s="193"/>
      <c r="F63" s="194" t="s">
        <v>113</v>
      </c>
      <c r="G63" s="193"/>
      <c r="H63" s="189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 spans="1:28" ht="12.75">
      <c r="A64" s="2" t="s">
        <v>114</v>
      </c>
      <c r="B64" s="29" t="s">
        <v>116</v>
      </c>
      <c r="C64" s="59" t="s">
        <v>77</v>
      </c>
      <c r="D64" s="6"/>
      <c r="E64" s="8"/>
      <c r="F64" s="47">
        <v>31</v>
      </c>
      <c r="G64" s="45">
        <v>7500</v>
      </c>
      <c r="H64" s="6"/>
      <c r="I64" s="33" t="s">
        <v>136</v>
      </c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 spans="1:28" ht="12.75">
      <c r="A65" s="6" t="s">
        <v>119</v>
      </c>
      <c r="B65" s="29" t="s">
        <v>116</v>
      </c>
      <c r="C65" s="59" t="s">
        <v>77</v>
      </c>
      <c r="D65" s="6"/>
      <c r="E65" s="8"/>
      <c r="F65" s="47">
        <v>31</v>
      </c>
      <c r="G65" s="45">
        <v>6500</v>
      </c>
      <c r="H65" s="6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 spans="1:28" ht="12.75">
      <c r="A66" s="116"/>
      <c r="B66" s="172"/>
      <c r="C66" s="116"/>
      <c r="D66" s="116"/>
      <c r="E66" s="118"/>
      <c r="F66" s="120"/>
      <c r="G66" s="118"/>
      <c r="H66" s="116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 spans="1:28" ht="12.75">
      <c r="A67" s="184"/>
      <c r="B67" s="186" t="s">
        <v>123</v>
      </c>
      <c r="C67" s="187"/>
      <c r="D67" s="187"/>
      <c r="E67" s="188"/>
      <c r="F67" s="190" t="s">
        <v>113</v>
      </c>
      <c r="G67" s="188"/>
      <c r="H67" s="187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 spans="1:28" ht="12.75">
      <c r="A68" s="2" t="s">
        <v>114</v>
      </c>
      <c r="B68" s="29" t="s">
        <v>125</v>
      </c>
      <c r="C68" s="59" t="s">
        <v>77</v>
      </c>
      <c r="D68" s="59" t="s">
        <v>155</v>
      </c>
      <c r="E68" s="45" t="s">
        <v>1</v>
      </c>
      <c r="F68" s="47">
        <v>30</v>
      </c>
      <c r="G68" s="45">
        <v>10000</v>
      </c>
      <c r="H68" s="6"/>
      <c r="I68" s="33" t="s">
        <v>156</v>
      </c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 spans="1:28" ht="12.75">
      <c r="A69" s="2" t="s">
        <v>119</v>
      </c>
      <c r="B69" s="4" t="s">
        <v>92</v>
      </c>
      <c r="C69" s="59" t="s">
        <v>77</v>
      </c>
      <c r="D69" s="6"/>
      <c r="E69" s="45" t="s">
        <v>77</v>
      </c>
      <c r="F69" s="47">
        <v>30</v>
      </c>
      <c r="G69" s="8">
        <v>7000</v>
      </c>
      <c r="H69" s="6"/>
      <c r="I69" s="33" t="s">
        <v>157</v>
      </c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 spans="1:28" ht="12.75">
      <c r="A70" s="14"/>
      <c r="B70" s="183"/>
      <c r="C70" s="14"/>
      <c r="D70" s="116"/>
      <c r="E70" s="118"/>
      <c r="F70" s="120"/>
      <c r="G70" s="118"/>
      <c r="H70" s="116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 spans="1:28" ht="12.75">
      <c r="A71" s="14"/>
      <c r="B71" s="207" t="s">
        <v>158</v>
      </c>
      <c r="C71" s="14"/>
      <c r="D71" s="14"/>
      <c r="E71" s="185"/>
      <c r="F71" s="35"/>
      <c r="G71" s="185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 spans="1:28" ht="12.75">
      <c r="A72" s="14"/>
      <c r="B72" s="183"/>
      <c r="C72" s="14"/>
      <c r="D72" s="14"/>
      <c r="E72" s="185"/>
      <c r="F72" s="35"/>
      <c r="G72" s="185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 spans="1:28" ht="12.75">
      <c r="A73" s="14"/>
      <c r="B73" s="183"/>
      <c r="C73" s="14"/>
      <c r="D73" s="14"/>
      <c r="E73" s="185"/>
      <c r="F73" s="35"/>
      <c r="G73" s="185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 spans="1:28" ht="12.75">
      <c r="A74" s="14"/>
      <c r="B74" s="183"/>
      <c r="C74" s="14"/>
      <c r="D74" s="14"/>
      <c r="E74" s="185"/>
      <c r="F74" s="35"/>
      <c r="G74" s="185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 spans="1:28" ht="12.75">
      <c r="A75" s="14"/>
      <c r="B75" s="183"/>
      <c r="C75" s="14"/>
      <c r="D75" s="14"/>
      <c r="E75" s="185"/>
      <c r="F75" s="35"/>
      <c r="G75" s="185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 spans="1:28" ht="12.75">
      <c r="A76" s="14"/>
      <c r="B76" s="183"/>
      <c r="C76" s="14"/>
      <c r="D76" s="14"/>
      <c r="E76" s="185"/>
      <c r="F76" s="35"/>
      <c r="G76" s="185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 spans="1:28" ht="12.75">
      <c r="A77" s="14"/>
      <c r="B77" s="183"/>
      <c r="C77" s="14"/>
      <c r="D77" s="14"/>
      <c r="E77" s="185"/>
      <c r="F77" s="35"/>
      <c r="G77" s="185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 spans="1:28" ht="12.75">
      <c r="A78" s="14"/>
      <c r="B78" s="183"/>
      <c r="C78" s="14"/>
      <c r="D78" s="14"/>
      <c r="E78" s="185"/>
      <c r="F78" s="35"/>
      <c r="G78" s="185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 spans="1:28" ht="12.75">
      <c r="A79" s="14"/>
      <c r="B79" s="183"/>
      <c r="C79" s="14"/>
      <c r="D79" s="14"/>
      <c r="E79" s="185"/>
      <c r="F79" s="35"/>
      <c r="G79" s="185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spans="1:28" ht="12.75">
      <c r="A80" s="14"/>
      <c r="B80" s="183"/>
      <c r="C80" s="14"/>
      <c r="D80" s="14"/>
      <c r="E80" s="185"/>
      <c r="F80" s="35"/>
      <c r="G80" s="185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 spans="1:28" ht="12.75">
      <c r="A81" s="14"/>
      <c r="B81" s="183"/>
      <c r="C81" s="14"/>
      <c r="D81" s="14"/>
      <c r="E81" s="185"/>
      <c r="F81" s="35"/>
      <c r="G81" s="185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 spans="1:28" ht="12.75">
      <c r="A82" s="14"/>
      <c r="B82" s="183"/>
      <c r="C82" s="14"/>
      <c r="D82" s="14"/>
      <c r="E82" s="185"/>
      <c r="F82" s="35"/>
      <c r="G82" s="185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 spans="1:28" ht="12.75">
      <c r="A83" s="14"/>
      <c r="B83" s="183"/>
      <c r="C83" s="14"/>
      <c r="D83" s="14"/>
      <c r="E83" s="185"/>
      <c r="F83" s="35"/>
      <c r="G83" s="185"/>
      <c r="H83" s="14"/>
      <c r="I83" s="33" t="s">
        <v>138</v>
      </c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spans="1:28" ht="12.75">
      <c r="A84" s="14"/>
      <c r="B84" s="183"/>
      <c r="C84" s="14"/>
      <c r="D84" s="14"/>
      <c r="E84" s="185"/>
      <c r="F84" s="35"/>
      <c r="G84" s="185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 spans="1:28" ht="12.75">
      <c r="A85" s="14"/>
      <c r="B85" s="183"/>
      <c r="C85" s="14"/>
      <c r="D85" s="14"/>
      <c r="E85" s="185"/>
      <c r="F85" s="35"/>
      <c r="G85" s="185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 spans="1:28" ht="12.75">
      <c r="A86" s="14"/>
      <c r="B86" s="183"/>
      <c r="C86" s="14"/>
      <c r="D86" s="14"/>
      <c r="E86" s="185"/>
      <c r="F86" s="35"/>
      <c r="G86" s="185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 spans="1:28" ht="12.75">
      <c r="A87" s="14"/>
      <c r="B87" s="183"/>
      <c r="C87" s="14"/>
      <c r="D87" s="14"/>
      <c r="E87" s="185"/>
      <c r="F87" s="35"/>
      <c r="G87" s="185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 spans="1:28" ht="12.75">
      <c r="A88" s="14"/>
      <c r="B88" s="183"/>
      <c r="C88" s="14"/>
      <c r="D88" s="14"/>
      <c r="E88" s="185"/>
      <c r="F88" s="35"/>
      <c r="G88" s="185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 spans="1:28" ht="12.75">
      <c r="A89" s="14"/>
      <c r="B89" s="183"/>
      <c r="C89" s="14"/>
      <c r="D89" s="14"/>
      <c r="E89" s="185"/>
      <c r="F89" s="35"/>
      <c r="G89" s="185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 spans="1:28" ht="12.75">
      <c r="A90" s="14"/>
      <c r="B90" s="183"/>
      <c r="C90" s="14"/>
      <c r="D90" s="14"/>
      <c r="E90" s="185"/>
      <c r="F90" s="35"/>
      <c r="G90" s="185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 spans="1:28" ht="12.75">
      <c r="A91" s="14"/>
      <c r="B91" s="183"/>
      <c r="C91" s="14"/>
      <c r="D91" s="14"/>
      <c r="E91" s="185"/>
      <c r="F91" s="35"/>
      <c r="G91" s="185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 spans="1:28" ht="12.75">
      <c r="A92" s="14"/>
      <c r="B92" s="183"/>
      <c r="C92" s="14"/>
      <c r="D92" s="14"/>
      <c r="E92" s="185"/>
      <c r="F92" s="35"/>
      <c r="G92" s="185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 spans="1:28" ht="12.75">
      <c r="A93" s="14"/>
      <c r="B93" s="183"/>
      <c r="C93" s="14"/>
      <c r="D93" s="14"/>
      <c r="E93" s="185"/>
      <c r="F93" s="35"/>
      <c r="G93" s="185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 spans="1:28" ht="12.75">
      <c r="A94" s="14"/>
      <c r="B94" s="183"/>
      <c r="C94" s="14"/>
      <c r="D94" s="14"/>
      <c r="E94" s="185"/>
      <c r="F94" s="35"/>
      <c r="G94" s="185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 spans="1:28" ht="12.75">
      <c r="A95" s="14"/>
      <c r="B95" s="183"/>
      <c r="C95" s="14"/>
      <c r="D95" s="14"/>
      <c r="E95" s="185"/>
      <c r="F95" s="35"/>
      <c r="G95" s="185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 spans="1:28" ht="12.75">
      <c r="A96" s="14"/>
      <c r="B96" s="183"/>
      <c r="C96" s="14"/>
      <c r="D96" s="14"/>
      <c r="E96" s="185"/>
      <c r="F96" s="35"/>
      <c r="G96" s="185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 spans="1:28" ht="12.75">
      <c r="A97" s="14"/>
      <c r="B97" s="183"/>
      <c r="C97" s="14"/>
      <c r="D97" s="14"/>
      <c r="E97" s="185"/>
      <c r="F97" s="35"/>
      <c r="G97" s="185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 spans="1:28" ht="12.75">
      <c r="A98" s="14"/>
      <c r="B98" s="183"/>
      <c r="C98" s="14"/>
      <c r="D98" s="14"/>
      <c r="E98" s="185"/>
      <c r="F98" s="35"/>
      <c r="G98" s="185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 spans="1:28" ht="12.75">
      <c r="A99" s="14"/>
      <c r="B99" s="183"/>
      <c r="C99" s="14"/>
      <c r="D99" s="14"/>
      <c r="E99" s="185"/>
      <c r="F99" s="35"/>
      <c r="G99" s="185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 spans="1:28" ht="12.75">
      <c r="A100" s="14"/>
      <c r="B100" s="183"/>
      <c r="C100" s="14"/>
      <c r="D100" s="14"/>
      <c r="E100" s="185"/>
      <c r="F100" s="35"/>
      <c r="G100" s="185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 spans="1:28" ht="12.75">
      <c r="A101" s="14"/>
      <c r="B101" s="183"/>
      <c r="C101" s="14"/>
      <c r="D101" s="14"/>
      <c r="E101" s="185"/>
      <c r="F101" s="35"/>
      <c r="G101" s="185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 spans="1:28" ht="12.75">
      <c r="A102" s="14"/>
      <c r="B102" s="183"/>
      <c r="C102" s="14"/>
      <c r="D102" s="14"/>
      <c r="E102" s="185"/>
      <c r="F102" s="35"/>
      <c r="G102" s="185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 spans="1:28" ht="12.75">
      <c r="A103" s="14"/>
      <c r="B103" s="183"/>
      <c r="C103" s="14"/>
      <c r="D103" s="14"/>
      <c r="E103" s="185"/>
      <c r="F103" s="35"/>
      <c r="G103" s="185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 spans="1:28" ht="12.75">
      <c r="A104" s="14"/>
      <c r="B104" s="183"/>
      <c r="C104" s="14"/>
      <c r="D104" s="14"/>
      <c r="E104" s="185"/>
      <c r="F104" s="35"/>
      <c r="G104" s="185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 spans="1:28" ht="12.75">
      <c r="A105" s="14"/>
      <c r="B105" s="183"/>
      <c r="C105" s="14"/>
      <c r="D105" s="14"/>
      <c r="E105" s="185"/>
      <c r="F105" s="35"/>
      <c r="G105" s="185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 spans="1:28" ht="12.75">
      <c r="A106" s="14"/>
      <c r="B106" s="183"/>
      <c r="C106" s="14"/>
      <c r="D106" s="14"/>
      <c r="E106" s="185"/>
      <c r="F106" s="35"/>
      <c r="G106" s="185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 spans="1:28" ht="12.75">
      <c r="A107" s="14"/>
      <c r="B107" s="183"/>
      <c r="C107" s="14"/>
      <c r="D107" s="14"/>
      <c r="E107" s="185"/>
      <c r="F107" s="35"/>
      <c r="G107" s="185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 spans="1:28" ht="12.75">
      <c r="A108" s="14"/>
      <c r="B108" s="183"/>
      <c r="C108" s="14"/>
      <c r="D108" s="14"/>
      <c r="E108" s="185"/>
      <c r="F108" s="35"/>
      <c r="G108" s="185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 spans="1:28" ht="12.75">
      <c r="A109" s="14"/>
      <c r="B109" s="183"/>
      <c r="C109" s="14"/>
      <c r="D109" s="14"/>
      <c r="E109" s="185"/>
      <c r="F109" s="35"/>
      <c r="G109" s="185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 spans="1:28" ht="12.75">
      <c r="A110" s="14"/>
      <c r="B110" s="183"/>
      <c r="C110" s="14"/>
      <c r="D110" s="14"/>
      <c r="E110" s="185"/>
      <c r="F110" s="35"/>
      <c r="G110" s="185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 spans="1:28" ht="12.75">
      <c r="A111" s="14"/>
      <c r="B111" s="183"/>
      <c r="C111" s="14"/>
      <c r="D111" s="14"/>
      <c r="E111" s="185"/>
      <c r="F111" s="35"/>
      <c r="G111" s="185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 spans="1:28" ht="12.75">
      <c r="A112" s="14"/>
      <c r="B112" s="183"/>
      <c r="C112" s="14"/>
      <c r="D112" s="14"/>
      <c r="E112" s="185"/>
      <c r="F112" s="35"/>
      <c r="G112" s="185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 spans="1:28" ht="12.75">
      <c r="A113" s="14"/>
      <c r="B113" s="183"/>
      <c r="C113" s="14"/>
      <c r="D113" s="14"/>
      <c r="E113" s="185"/>
      <c r="F113" s="35"/>
      <c r="G113" s="185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 spans="1:28" ht="12.75">
      <c r="A114" s="14"/>
      <c r="B114" s="183"/>
      <c r="C114" s="14"/>
      <c r="D114" s="14"/>
      <c r="E114" s="185"/>
      <c r="F114" s="35"/>
      <c r="G114" s="185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 spans="1:28" ht="12.75">
      <c r="A115" s="14"/>
      <c r="B115" s="183"/>
      <c r="C115" s="14"/>
      <c r="D115" s="14"/>
      <c r="E115" s="185"/>
      <c r="F115" s="35"/>
      <c r="G115" s="185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 spans="1:28" ht="12.75">
      <c r="A116" s="14"/>
      <c r="B116" s="183"/>
      <c r="C116" s="14"/>
      <c r="D116" s="14"/>
      <c r="E116" s="185"/>
      <c r="F116" s="35"/>
      <c r="G116" s="185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 spans="1:28" ht="12.75">
      <c r="A117" s="14"/>
      <c r="B117" s="183"/>
      <c r="C117" s="14"/>
      <c r="D117" s="14"/>
      <c r="E117" s="185"/>
      <c r="F117" s="35"/>
      <c r="G117" s="185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 spans="1:28" ht="12.75">
      <c r="A118" s="14"/>
      <c r="B118" s="183"/>
      <c r="C118" s="14"/>
      <c r="D118" s="14"/>
      <c r="E118" s="185"/>
      <c r="F118" s="35"/>
      <c r="G118" s="185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 spans="1:28" ht="12.75">
      <c r="A119" s="14"/>
      <c r="B119" s="183"/>
      <c r="C119" s="14"/>
      <c r="D119" s="14"/>
      <c r="E119" s="185"/>
      <c r="F119" s="35"/>
      <c r="G119" s="185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 spans="1:28" ht="12.75">
      <c r="A120" s="14"/>
      <c r="B120" s="183"/>
      <c r="C120" s="14"/>
      <c r="D120" s="14"/>
      <c r="E120" s="185"/>
      <c r="F120" s="35"/>
      <c r="G120" s="185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 spans="1:28" ht="12.75">
      <c r="A121" s="14"/>
      <c r="B121" s="183"/>
      <c r="C121" s="14"/>
      <c r="D121" s="14"/>
      <c r="E121" s="185"/>
      <c r="F121" s="35"/>
      <c r="G121" s="185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 spans="1:28" ht="12.75">
      <c r="A122" s="14"/>
      <c r="B122" s="183"/>
      <c r="C122" s="14"/>
      <c r="D122" s="14"/>
      <c r="E122" s="185"/>
      <c r="F122" s="35"/>
      <c r="G122" s="185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 spans="1:28" ht="12.75">
      <c r="A123" s="14"/>
      <c r="B123" s="183"/>
      <c r="C123" s="14"/>
      <c r="D123" s="14"/>
      <c r="E123" s="185"/>
      <c r="F123" s="35"/>
      <c r="G123" s="185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 spans="1:28" ht="12.75">
      <c r="A124" s="14"/>
      <c r="B124" s="183"/>
      <c r="C124" s="14"/>
      <c r="D124" s="14"/>
      <c r="E124" s="185"/>
      <c r="F124" s="35"/>
      <c r="G124" s="185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 spans="1:28" ht="12.75">
      <c r="A125" s="14"/>
      <c r="B125" s="183"/>
      <c r="C125" s="14"/>
      <c r="D125" s="14"/>
      <c r="E125" s="185"/>
      <c r="F125" s="35"/>
      <c r="G125" s="185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 spans="1:28" ht="12.75">
      <c r="A126" s="14"/>
      <c r="B126" s="183"/>
      <c r="C126" s="14"/>
      <c r="D126" s="14"/>
      <c r="E126" s="185"/>
      <c r="F126" s="35"/>
      <c r="G126" s="185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spans="1:28" ht="12.75">
      <c r="A127" s="14"/>
      <c r="B127" s="183"/>
      <c r="C127" s="14"/>
      <c r="D127" s="14"/>
      <c r="E127" s="185"/>
      <c r="F127" s="35"/>
      <c r="G127" s="185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 spans="1:28" ht="12.75">
      <c r="A128" s="14"/>
      <c r="B128" s="183"/>
      <c r="C128" s="14"/>
      <c r="D128" s="14"/>
      <c r="E128" s="185"/>
      <c r="F128" s="35"/>
      <c r="G128" s="185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 spans="1:28" ht="12.75">
      <c r="A129" s="14"/>
      <c r="B129" s="183"/>
      <c r="C129" s="14"/>
      <c r="D129" s="14"/>
      <c r="E129" s="185"/>
      <c r="F129" s="35"/>
      <c r="G129" s="185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 spans="1:28" ht="12.75">
      <c r="A130" s="14"/>
      <c r="B130" s="183"/>
      <c r="C130" s="14"/>
      <c r="D130" s="14"/>
      <c r="E130" s="185"/>
      <c r="F130" s="35"/>
      <c r="G130" s="185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 spans="1:28" ht="12.75">
      <c r="A131" s="14"/>
      <c r="B131" s="183"/>
      <c r="C131" s="14"/>
      <c r="D131" s="14"/>
      <c r="E131" s="185"/>
      <c r="F131" s="35"/>
      <c r="G131" s="185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 spans="1:28" ht="12.75">
      <c r="A132" s="14"/>
      <c r="B132" s="183"/>
      <c r="C132" s="14"/>
      <c r="D132" s="14"/>
      <c r="E132" s="185"/>
      <c r="F132" s="35"/>
      <c r="G132" s="185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 spans="1:28" ht="12.75">
      <c r="A133" s="14"/>
      <c r="B133" s="183"/>
      <c r="C133" s="14"/>
      <c r="D133" s="14"/>
      <c r="E133" s="185"/>
      <c r="F133" s="35"/>
      <c r="G133" s="185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 spans="1:28" ht="12.75">
      <c r="A134" s="14"/>
      <c r="B134" s="183"/>
      <c r="C134" s="14"/>
      <c r="D134" s="14"/>
      <c r="E134" s="185"/>
      <c r="F134" s="35"/>
      <c r="G134" s="185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 spans="1:28" ht="12.75">
      <c r="A135" s="14"/>
      <c r="B135" s="183"/>
      <c r="C135" s="14"/>
      <c r="D135" s="14"/>
      <c r="E135" s="185"/>
      <c r="F135" s="35"/>
      <c r="G135" s="185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 spans="1:28" ht="12.75">
      <c r="A136" s="14"/>
      <c r="B136" s="183"/>
      <c r="C136" s="14"/>
      <c r="D136" s="14"/>
      <c r="E136" s="185"/>
      <c r="F136" s="35"/>
      <c r="G136" s="185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 spans="1:28" ht="12.75">
      <c r="A137" s="14"/>
      <c r="B137" s="183"/>
      <c r="C137" s="14"/>
      <c r="D137" s="14"/>
      <c r="E137" s="185"/>
      <c r="F137" s="35"/>
      <c r="G137" s="185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 spans="1:28" ht="12.75">
      <c r="A138" s="14"/>
      <c r="B138" s="183"/>
      <c r="C138" s="14"/>
      <c r="D138" s="14"/>
      <c r="E138" s="185"/>
      <c r="F138" s="35"/>
      <c r="G138" s="185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 spans="1:28" ht="12.75">
      <c r="A139" s="14"/>
      <c r="B139" s="183"/>
      <c r="C139" s="14"/>
      <c r="D139" s="14"/>
      <c r="E139" s="185"/>
      <c r="F139" s="35"/>
      <c r="G139" s="185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 spans="1:28" ht="12.75">
      <c r="A140" s="14"/>
      <c r="B140" s="183"/>
      <c r="C140" s="14"/>
      <c r="D140" s="14"/>
      <c r="E140" s="185"/>
      <c r="F140" s="35"/>
      <c r="G140" s="185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 spans="1:28" ht="12.75">
      <c r="A141" s="14"/>
      <c r="B141" s="183"/>
      <c r="C141" s="14"/>
      <c r="D141" s="14"/>
      <c r="E141" s="185"/>
      <c r="F141" s="35"/>
      <c r="G141" s="185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 spans="1:28" ht="12.75">
      <c r="A142" s="14"/>
      <c r="B142" s="183"/>
      <c r="C142" s="14"/>
      <c r="D142" s="14"/>
      <c r="E142" s="185"/>
      <c r="F142" s="35"/>
      <c r="G142" s="185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 spans="1:28" ht="12.75">
      <c r="A143" s="14"/>
      <c r="B143" s="183"/>
      <c r="C143" s="14"/>
      <c r="D143" s="14"/>
      <c r="E143" s="185"/>
      <c r="F143" s="35"/>
      <c r="G143" s="185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 spans="1:28" ht="12.75">
      <c r="A144" s="14"/>
      <c r="B144" s="183"/>
      <c r="C144" s="14"/>
      <c r="D144" s="14"/>
      <c r="E144" s="185"/>
      <c r="F144" s="35"/>
      <c r="G144" s="185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 spans="1:28" ht="12.75">
      <c r="A145" s="14"/>
      <c r="B145" s="183"/>
      <c r="C145" s="14"/>
      <c r="D145" s="14"/>
      <c r="E145" s="185"/>
      <c r="F145" s="35"/>
      <c r="G145" s="185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 spans="1:28" ht="12.75">
      <c r="A146" s="14"/>
      <c r="B146" s="183"/>
      <c r="C146" s="14"/>
      <c r="D146" s="14"/>
      <c r="E146" s="185"/>
      <c r="F146" s="35"/>
      <c r="G146" s="185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 spans="1:28" ht="12.75">
      <c r="A147" s="14"/>
      <c r="B147" s="183"/>
      <c r="C147" s="14"/>
      <c r="D147" s="14"/>
      <c r="E147" s="185"/>
      <c r="F147" s="35"/>
      <c r="G147" s="185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 spans="1:28" ht="12.75">
      <c r="A148" s="14"/>
      <c r="B148" s="183"/>
      <c r="C148" s="14"/>
      <c r="D148" s="14"/>
      <c r="E148" s="185"/>
      <c r="F148" s="35"/>
      <c r="G148" s="185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 spans="1:28" ht="12.75">
      <c r="A149" s="14"/>
      <c r="B149" s="183"/>
      <c r="C149" s="14"/>
      <c r="D149" s="14"/>
      <c r="E149" s="185"/>
      <c r="F149" s="35"/>
      <c r="G149" s="185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 spans="1:28" ht="12.75">
      <c r="A150" s="14"/>
      <c r="B150" s="183"/>
      <c r="C150" s="14"/>
      <c r="D150" s="14"/>
      <c r="E150" s="185"/>
      <c r="F150" s="35"/>
      <c r="G150" s="185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 spans="1:28" ht="12.75">
      <c r="A151" s="14"/>
      <c r="B151" s="183"/>
      <c r="C151" s="14"/>
      <c r="D151" s="14"/>
      <c r="E151" s="185"/>
      <c r="F151" s="35"/>
      <c r="G151" s="185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 spans="1:28" ht="12.75">
      <c r="A152" s="14"/>
      <c r="B152" s="183"/>
      <c r="C152" s="14"/>
      <c r="D152" s="14"/>
      <c r="E152" s="185"/>
      <c r="F152" s="35"/>
      <c r="G152" s="185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 spans="1:28" ht="12.75">
      <c r="A153" s="14"/>
      <c r="B153" s="183"/>
      <c r="C153" s="14"/>
      <c r="D153" s="14"/>
      <c r="E153" s="185"/>
      <c r="F153" s="35"/>
      <c r="G153" s="185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 spans="1:28" ht="12.75">
      <c r="A154" s="14"/>
      <c r="B154" s="183"/>
      <c r="C154" s="14"/>
      <c r="D154" s="14"/>
      <c r="E154" s="185"/>
      <c r="F154" s="35"/>
      <c r="G154" s="185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 spans="1:28" ht="12.75">
      <c r="A155" s="14"/>
      <c r="B155" s="183"/>
      <c r="C155" s="14"/>
      <c r="D155" s="14"/>
      <c r="E155" s="185"/>
      <c r="F155" s="35"/>
      <c r="G155" s="185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 spans="1:28" ht="12.75">
      <c r="A156" s="14"/>
      <c r="B156" s="183"/>
      <c r="C156" s="14"/>
      <c r="D156" s="14"/>
      <c r="E156" s="185"/>
      <c r="F156" s="35"/>
      <c r="G156" s="185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 spans="1:28" ht="12.75">
      <c r="A157" s="14"/>
      <c r="B157" s="183"/>
      <c r="C157" s="14"/>
      <c r="D157" s="14"/>
      <c r="E157" s="185"/>
      <c r="F157" s="35"/>
      <c r="G157" s="185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 spans="1:28" ht="12.75">
      <c r="A158" s="14"/>
      <c r="B158" s="183"/>
      <c r="C158" s="14"/>
      <c r="D158" s="14"/>
      <c r="E158" s="185"/>
      <c r="F158" s="35"/>
      <c r="G158" s="185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 spans="1:28" ht="12.75">
      <c r="A159" s="14"/>
      <c r="B159" s="183"/>
      <c r="C159" s="14"/>
      <c r="D159" s="14"/>
      <c r="E159" s="185"/>
      <c r="F159" s="35"/>
      <c r="G159" s="185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 spans="1:28" ht="12.75">
      <c r="A160" s="14"/>
      <c r="B160" s="183"/>
      <c r="C160" s="14"/>
      <c r="D160" s="14"/>
      <c r="E160" s="185"/>
      <c r="F160" s="35"/>
      <c r="G160" s="185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 spans="1:28" ht="12.75">
      <c r="A161" s="14"/>
      <c r="B161" s="183"/>
      <c r="C161" s="14"/>
      <c r="D161" s="14"/>
      <c r="E161" s="185"/>
      <c r="F161" s="35"/>
      <c r="G161" s="185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 spans="1:28" ht="12.75">
      <c r="A162" s="14"/>
      <c r="B162" s="183"/>
      <c r="C162" s="14"/>
      <c r="D162" s="14"/>
      <c r="E162" s="185"/>
      <c r="F162" s="35"/>
      <c r="G162" s="185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spans="1:28" ht="12.75">
      <c r="A163" s="14"/>
      <c r="B163" s="183"/>
      <c r="C163" s="14"/>
      <c r="D163" s="14"/>
      <c r="E163" s="185"/>
      <c r="F163" s="35"/>
      <c r="G163" s="185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 spans="1:28" ht="12.75">
      <c r="A164" s="14"/>
      <c r="B164" s="183"/>
      <c r="C164" s="14"/>
      <c r="D164" s="14"/>
      <c r="E164" s="185"/>
      <c r="F164" s="35"/>
      <c r="G164" s="185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 spans="1:28" ht="12.75">
      <c r="A165" s="14"/>
      <c r="B165" s="183"/>
      <c r="C165" s="14"/>
      <c r="D165" s="14"/>
      <c r="E165" s="185"/>
      <c r="F165" s="35"/>
      <c r="G165" s="185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 spans="1:28" ht="12.75">
      <c r="A166" s="14"/>
      <c r="B166" s="183"/>
      <c r="C166" s="14"/>
      <c r="D166" s="14"/>
      <c r="E166" s="185"/>
      <c r="F166" s="35"/>
      <c r="G166" s="185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 spans="1:28" ht="12.75">
      <c r="A167" s="14"/>
      <c r="B167" s="183"/>
      <c r="C167" s="14"/>
      <c r="D167" s="14"/>
      <c r="E167" s="185"/>
      <c r="F167" s="35"/>
      <c r="G167" s="185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 spans="1:28" ht="12.75">
      <c r="A168" s="14"/>
      <c r="B168" s="183"/>
      <c r="C168" s="14"/>
      <c r="D168" s="14"/>
      <c r="E168" s="185"/>
      <c r="F168" s="35"/>
      <c r="G168" s="185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 spans="1:28" ht="12.75">
      <c r="A169" s="14"/>
      <c r="B169" s="183"/>
      <c r="C169" s="14"/>
      <c r="D169" s="14"/>
      <c r="E169" s="185"/>
      <c r="F169" s="35"/>
      <c r="G169" s="185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 spans="1:28" ht="12.75">
      <c r="A170" s="14"/>
      <c r="B170" s="183"/>
      <c r="C170" s="14"/>
      <c r="D170" s="14"/>
      <c r="E170" s="185"/>
      <c r="F170" s="35"/>
      <c r="G170" s="185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 spans="1:28" ht="12.75">
      <c r="A171" s="14"/>
      <c r="B171" s="183"/>
      <c r="C171" s="14"/>
      <c r="D171" s="14"/>
      <c r="E171" s="185"/>
      <c r="F171" s="35"/>
      <c r="G171" s="185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 spans="1:28" ht="12.75">
      <c r="A172" s="14"/>
      <c r="B172" s="206"/>
      <c r="C172" s="6"/>
      <c r="D172" s="14"/>
      <c r="E172" s="185"/>
      <c r="F172" s="35"/>
      <c r="G172" s="185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 spans="1:28" ht="12.75">
      <c r="A173" s="14"/>
      <c r="B173" s="206"/>
      <c r="C173" s="6"/>
      <c r="D173" s="14"/>
      <c r="E173" s="185"/>
      <c r="F173" s="35"/>
      <c r="G173" s="185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 spans="1:28" ht="12.75">
      <c r="A174" s="14"/>
      <c r="B174" s="206"/>
      <c r="C174" s="6"/>
      <c r="D174" s="14"/>
      <c r="E174" s="185"/>
      <c r="F174" s="35"/>
      <c r="G174" s="185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 spans="1:28" ht="12.75">
      <c r="A175" s="14"/>
      <c r="B175" s="206"/>
      <c r="C175" s="6"/>
      <c r="D175" s="14"/>
      <c r="E175" s="185"/>
      <c r="F175" s="35"/>
      <c r="G175" s="185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 spans="1:28" ht="12.75">
      <c r="A176" s="14"/>
      <c r="B176" s="206"/>
      <c r="C176" s="6"/>
      <c r="D176" s="14"/>
      <c r="E176" s="185"/>
      <c r="F176" s="35"/>
      <c r="G176" s="185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 spans="1:28" ht="12.75">
      <c r="A177" s="14"/>
      <c r="B177" s="206"/>
      <c r="C177" s="6"/>
      <c r="D177" s="14"/>
      <c r="E177" s="185"/>
      <c r="F177" s="35"/>
      <c r="G177" s="185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 spans="1:28" ht="12.75">
      <c r="A178" s="14"/>
      <c r="B178" s="206"/>
      <c r="C178" s="6"/>
      <c r="D178" s="14"/>
      <c r="E178" s="185"/>
      <c r="F178" s="35"/>
      <c r="G178" s="185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 spans="1:28" ht="12.75">
      <c r="A179" s="14"/>
      <c r="B179" s="206"/>
      <c r="C179" s="6"/>
      <c r="D179" s="14"/>
      <c r="E179" s="185"/>
      <c r="F179" s="35"/>
      <c r="G179" s="185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 spans="1:28" ht="12.75">
      <c r="A180" s="14"/>
      <c r="B180" s="206"/>
      <c r="C180" s="6"/>
      <c r="D180" s="14"/>
      <c r="E180" s="185"/>
      <c r="F180" s="35"/>
      <c r="G180" s="185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 spans="1:28" ht="12.75">
      <c r="A181" s="14"/>
      <c r="B181" s="206"/>
      <c r="C181" s="6"/>
      <c r="D181" s="14"/>
      <c r="E181" s="185"/>
      <c r="F181" s="35"/>
      <c r="G181" s="185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 spans="1:28" ht="12.75">
      <c r="A182" s="14"/>
      <c r="B182" s="206"/>
      <c r="C182" s="6"/>
      <c r="D182" s="14"/>
      <c r="E182" s="185"/>
      <c r="F182" s="35"/>
      <c r="G182" s="185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 spans="1:28" ht="12.75">
      <c r="A183" s="14"/>
      <c r="B183" s="206"/>
      <c r="C183" s="6"/>
      <c r="D183" s="14"/>
      <c r="E183" s="185"/>
      <c r="F183" s="35"/>
      <c r="G183" s="185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 spans="1:28" ht="12.75">
      <c r="A184" s="14"/>
      <c r="B184" s="206"/>
      <c r="C184" s="6"/>
      <c r="D184" s="14"/>
      <c r="E184" s="185"/>
      <c r="F184" s="35"/>
      <c r="G184" s="185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 spans="1:28" ht="12.75">
      <c r="A185" s="14"/>
      <c r="B185" s="206"/>
      <c r="C185" s="6"/>
      <c r="D185" s="14"/>
      <c r="E185" s="185"/>
      <c r="F185" s="35"/>
      <c r="G185" s="185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 spans="1:28" ht="12.75">
      <c r="A186" s="14"/>
      <c r="B186" s="206"/>
      <c r="C186" s="6"/>
      <c r="D186" s="14"/>
      <c r="E186" s="185"/>
      <c r="F186" s="35"/>
      <c r="G186" s="185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 spans="1:28" ht="12.75">
      <c r="A187" s="14"/>
      <c r="B187" s="206"/>
      <c r="C187" s="6"/>
      <c r="D187" s="14"/>
      <c r="E187" s="185"/>
      <c r="F187" s="35"/>
      <c r="G187" s="185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 spans="1:28" ht="12.75">
      <c r="A188" s="14"/>
      <c r="B188" s="206"/>
      <c r="C188" s="6"/>
      <c r="D188" s="14"/>
      <c r="E188" s="185"/>
      <c r="F188" s="35"/>
      <c r="G188" s="185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 spans="1:28" ht="12.75">
      <c r="A189" s="14"/>
      <c r="B189" s="206"/>
      <c r="C189" s="6"/>
      <c r="D189" s="14"/>
      <c r="E189" s="185"/>
      <c r="F189" s="35"/>
      <c r="G189" s="185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spans="1:28" ht="12.75">
      <c r="A190" s="14"/>
      <c r="B190" s="206"/>
      <c r="C190" s="6"/>
      <c r="D190" s="14"/>
      <c r="E190" s="185"/>
      <c r="F190" s="35"/>
      <c r="G190" s="185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 spans="1:28" ht="12.75">
      <c r="A191" s="14"/>
      <c r="B191" s="206"/>
      <c r="C191" s="6"/>
      <c r="D191" s="14"/>
      <c r="E191" s="185"/>
      <c r="F191" s="35"/>
      <c r="G191" s="185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 spans="1:28" ht="12.75">
      <c r="A192" s="14"/>
      <c r="B192" s="206"/>
      <c r="C192" s="6"/>
      <c r="D192" s="14"/>
      <c r="E192" s="185"/>
      <c r="F192" s="35"/>
      <c r="G192" s="185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 spans="1:28" ht="12.75">
      <c r="A193" s="14"/>
      <c r="B193" s="206"/>
      <c r="C193" s="6"/>
      <c r="D193" s="14"/>
      <c r="E193" s="185"/>
      <c r="F193" s="35"/>
      <c r="G193" s="185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 spans="1:28" ht="12.75">
      <c r="A194" s="14"/>
      <c r="B194" s="206"/>
      <c r="C194" s="6"/>
      <c r="D194" s="14"/>
      <c r="E194" s="185"/>
      <c r="F194" s="35"/>
      <c r="G194" s="185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 spans="1:28" ht="12.75">
      <c r="A195" s="14"/>
      <c r="B195" s="206"/>
      <c r="C195" s="6"/>
      <c r="D195" s="14"/>
      <c r="E195" s="185"/>
      <c r="F195" s="35"/>
      <c r="G195" s="185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 spans="1:28" ht="12.75">
      <c r="A196" s="14"/>
      <c r="B196" s="206"/>
      <c r="C196" s="6"/>
      <c r="D196" s="14"/>
      <c r="E196" s="185"/>
      <c r="F196" s="35"/>
      <c r="G196" s="185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 spans="1:28" ht="12.75">
      <c r="A197" s="14"/>
      <c r="B197" s="206"/>
      <c r="C197" s="6"/>
      <c r="D197" s="14"/>
      <c r="E197" s="185"/>
      <c r="F197" s="35"/>
      <c r="G197" s="185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 spans="1:28" ht="12.75">
      <c r="A198" s="14"/>
      <c r="B198" s="206"/>
      <c r="C198" s="6"/>
      <c r="D198" s="14"/>
      <c r="E198" s="185"/>
      <c r="F198" s="35"/>
      <c r="G198" s="185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 spans="1:28" ht="12.75">
      <c r="A199" s="14"/>
      <c r="B199" s="206"/>
      <c r="C199" s="6"/>
      <c r="D199" s="14"/>
      <c r="E199" s="185"/>
      <c r="F199" s="35"/>
      <c r="G199" s="185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 spans="1:28" ht="12.75">
      <c r="A200" s="14"/>
      <c r="B200" s="206"/>
      <c r="C200" s="6"/>
      <c r="D200" s="14"/>
      <c r="E200" s="185"/>
      <c r="F200" s="35"/>
      <c r="G200" s="185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 spans="1:28" ht="12.75">
      <c r="A201" s="14"/>
      <c r="B201" s="206"/>
      <c r="C201" s="6"/>
      <c r="D201" s="14"/>
      <c r="E201" s="185"/>
      <c r="F201" s="35"/>
      <c r="G201" s="185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 spans="1:28" ht="12.75">
      <c r="A202" s="14"/>
      <c r="B202" s="206"/>
      <c r="C202" s="6"/>
      <c r="D202" s="14"/>
      <c r="E202" s="185"/>
      <c r="F202" s="35"/>
      <c r="G202" s="185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 spans="1:28" ht="12.75">
      <c r="A203" s="14"/>
      <c r="B203" s="206"/>
      <c r="C203" s="6"/>
      <c r="D203" s="14"/>
      <c r="E203" s="185"/>
      <c r="F203" s="35"/>
      <c r="G203" s="185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 spans="1:28" ht="12.75">
      <c r="A204" s="14"/>
      <c r="B204" s="206"/>
      <c r="C204" s="6"/>
      <c r="D204" s="14"/>
      <c r="E204" s="185"/>
      <c r="F204" s="35"/>
      <c r="G204" s="185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 spans="1:28" ht="12.75">
      <c r="A205" s="14"/>
      <c r="B205" s="206"/>
      <c r="C205" s="6"/>
      <c r="D205" s="14"/>
      <c r="E205" s="185"/>
      <c r="F205" s="35"/>
      <c r="G205" s="185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 spans="1:28" ht="12.75">
      <c r="A206" s="14"/>
      <c r="B206" s="206"/>
      <c r="C206" s="6"/>
      <c r="D206" s="14"/>
      <c r="E206" s="185"/>
      <c r="F206" s="35"/>
      <c r="G206" s="185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 spans="1:28" ht="12.75">
      <c r="A207" s="14"/>
      <c r="B207" s="206"/>
      <c r="C207" s="6"/>
      <c r="D207" s="14"/>
      <c r="E207" s="185"/>
      <c r="F207" s="35"/>
      <c r="G207" s="185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 spans="1:28" ht="12.75">
      <c r="A208" s="14"/>
      <c r="B208" s="206"/>
      <c r="C208" s="6"/>
      <c r="D208" s="14"/>
      <c r="E208" s="185"/>
      <c r="F208" s="35"/>
      <c r="G208" s="185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 spans="1:28" ht="12.75">
      <c r="A209" s="14"/>
      <c r="B209" s="206"/>
      <c r="C209" s="6"/>
      <c r="D209" s="14"/>
      <c r="E209" s="185"/>
      <c r="F209" s="35"/>
      <c r="G209" s="185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 spans="1:28" ht="12.75">
      <c r="A210" s="14"/>
      <c r="B210" s="206"/>
      <c r="C210" s="6"/>
      <c r="D210" s="14"/>
      <c r="E210" s="185"/>
      <c r="F210" s="35"/>
      <c r="G210" s="185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 spans="1:28" ht="12.75">
      <c r="A211" s="14"/>
      <c r="B211" s="206"/>
      <c r="C211" s="6"/>
      <c r="D211" s="14"/>
      <c r="E211" s="185"/>
      <c r="F211" s="35"/>
      <c r="G211" s="185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 spans="1:28" ht="12.75">
      <c r="A212" s="14"/>
      <c r="B212" s="206"/>
      <c r="C212" s="6"/>
      <c r="D212" s="14"/>
      <c r="E212" s="185"/>
      <c r="F212" s="35"/>
      <c r="G212" s="185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 spans="1:28" ht="12.75">
      <c r="A213" s="14"/>
      <c r="B213" s="206"/>
      <c r="C213" s="6"/>
      <c r="D213" s="14"/>
      <c r="E213" s="185"/>
      <c r="F213" s="35"/>
      <c r="G213" s="185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 spans="1:28" ht="12.75">
      <c r="A214" s="14"/>
      <c r="B214" s="206"/>
      <c r="C214" s="6"/>
      <c r="D214" s="14"/>
      <c r="E214" s="185"/>
      <c r="F214" s="35"/>
      <c r="G214" s="185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 spans="1:28" ht="12.75">
      <c r="A215" s="14"/>
      <c r="B215" s="206"/>
      <c r="C215" s="6"/>
      <c r="D215" s="14"/>
      <c r="E215" s="185"/>
      <c r="F215" s="35"/>
      <c r="G215" s="185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spans="1:28" ht="12.75">
      <c r="A216" s="14"/>
      <c r="B216" s="206"/>
      <c r="C216" s="6"/>
      <c r="D216" s="14"/>
      <c r="E216" s="185"/>
      <c r="F216" s="35"/>
      <c r="G216" s="185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 spans="1:28" ht="12.75">
      <c r="A217" s="14"/>
      <c r="B217" s="206"/>
      <c r="C217" s="6"/>
      <c r="D217" s="14"/>
      <c r="E217" s="185"/>
      <c r="F217" s="35"/>
      <c r="G217" s="185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 spans="1:28" ht="12.75">
      <c r="A218" s="14"/>
      <c r="B218" s="206"/>
      <c r="C218" s="6"/>
      <c r="D218" s="14"/>
      <c r="E218" s="185"/>
      <c r="F218" s="35"/>
      <c r="G218" s="185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 spans="1:28" ht="12.75">
      <c r="A219" s="14"/>
      <c r="B219" s="206"/>
      <c r="C219" s="6"/>
      <c r="D219" s="14"/>
      <c r="E219" s="185"/>
      <c r="F219" s="35"/>
      <c r="G219" s="185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 spans="1:28" ht="12.75">
      <c r="A220" s="14"/>
      <c r="B220" s="206"/>
      <c r="C220" s="6"/>
      <c r="D220" s="14"/>
      <c r="E220" s="185"/>
      <c r="F220" s="35"/>
      <c r="G220" s="185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 spans="1:28" ht="12.75">
      <c r="A221" s="14"/>
      <c r="B221" s="206"/>
      <c r="C221" s="6"/>
      <c r="D221" s="14"/>
      <c r="E221" s="185"/>
      <c r="F221" s="35"/>
      <c r="G221" s="185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 spans="1:28" ht="12.75">
      <c r="A222" s="14"/>
      <c r="B222" s="206"/>
      <c r="C222" s="6"/>
      <c r="D222" s="14"/>
      <c r="E222" s="185"/>
      <c r="F222" s="35"/>
      <c r="G222" s="185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 spans="1:28" ht="12.75">
      <c r="A223" s="14"/>
      <c r="B223" s="206"/>
      <c r="C223" s="6"/>
      <c r="D223" s="14"/>
      <c r="E223" s="185"/>
      <c r="F223" s="35"/>
      <c r="G223" s="185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 spans="1:28" ht="12.75">
      <c r="A224" s="14"/>
      <c r="B224" s="206"/>
      <c r="C224" s="6"/>
      <c r="D224" s="14"/>
      <c r="E224" s="185"/>
      <c r="F224" s="35"/>
      <c r="G224" s="185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 spans="1:28" ht="12.75">
      <c r="A225" s="14"/>
      <c r="B225" s="206"/>
      <c r="C225" s="6"/>
      <c r="D225" s="14"/>
      <c r="E225" s="185"/>
      <c r="F225" s="35"/>
      <c r="G225" s="185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 spans="1:28" ht="12.75">
      <c r="A226" s="14"/>
      <c r="B226" s="206"/>
      <c r="C226" s="6"/>
      <c r="D226" s="14"/>
      <c r="E226" s="185"/>
      <c r="F226" s="35"/>
      <c r="G226" s="185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 spans="1:28" ht="12.75">
      <c r="A227" s="14"/>
      <c r="B227" s="206"/>
      <c r="C227" s="6"/>
      <c r="D227" s="14"/>
      <c r="E227" s="185"/>
      <c r="F227" s="35"/>
      <c r="G227" s="185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 spans="1:28" ht="12.75">
      <c r="A228" s="14"/>
      <c r="B228" s="206"/>
      <c r="C228" s="6"/>
      <c r="D228" s="14"/>
      <c r="E228" s="185"/>
      <c r="F228" s="35"/>
      <c r="G228" s="185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 spans="1:28" ht="12.75">
      <c r="A229" s="14"/>
      <c r="B229" s="206"/>
      <c r="C229" s="6"/>
      <c r="D229" s="14"/>
      <c r="E229" s="185"/>
      <c r="F229" s="35"/>
      <c r="G229" s="185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 spans="1:28" ht="12.75">
      <c r="A230" s="14"/>
      <c r="B230" s="206"/>
      <c r="C230" s="6"/>
      <c r="D230" s="14"/>
      <c r="E230" s="185"/>
      <c r="F230" s="35"/>
      <c r="G230" s="185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 spans="1:28" ht="12.75">
      <c r="A231" s="14"/>
      <c r="B231" s="206"/>
      <c r="C231" s="6"/>
      <c r="D231" s="14"/>
      <c r="E231" s="185"/>
      <c r="F231" s="35"/>
      <c r="G231" s="185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 spans="1:28" ht="12.75">
      <c r="A232" s="14"/>
      <c r="B232" s="206"/>
      <c r="C232" s="6"/>
      <c r="D232" s="14"/>
      <c r="E232" s="185"/>
      <c r="F232" s="35"/>
      <c r="G232" s="185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 spans="1:28" ht="12.75">
      <c r="A233" s="14"/>
      <c r="B233" s="206"/>
      <c r="C233" s="6"/>
      <c r="D233" s="14"/>
      <c r="E233" s="185"/>
      <c r="F233" s="35"/>
      <c r="G233" s="185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 spans="1:28" ht="12.75">
      <c r="A234" s="14"/>
      <c r="B234" s="206"/>
      <c r="C234" s="6"/>
      <c r="D234" s="14"/>
      <c r="E234" s="185"/>
      <c r="F234" s="35"/>
      <c r="G234" s="185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 spans="1:28" ht="12.75">
      <c r="A235" s="14"/>
      <c r="B235" s="206"/>
      <c r="C235" s="6"/>
      <c r="D235" s="14"/>
      <c r="E235" s="185"/>
      <c r="F235" s="35"/>
      <c r="G235" s="185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spans="1:28" ht="12.75">
      <c r="A236" s="14"/>
      <c r="B236" s="206"/>
      <c r="C236" s="6"/>
      <c r="D236" s="14"/>
      <c r="E236" s="185"/>
      <c r="F236" s="35"/>
      <c r="G236" s="185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 spans="1:28" ht="12.75">
      <c r="A237" s="14"/>
      <c r="B237" s="206"/>
      <c r="C237" s="6"/>
      <c r="D237" s="14"/>
      <c r="E237" s="185"/>
      <c r="F237" s="35"/>
      <c r="G237" s="185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 spans="1:28" ht="12.75">
      <c r="A238" s="14"/>
      <c r="B238" s="206"/>
      <c r="C238" s="6"/>
      <c r="D238" s="14"/>
      <c r="E238" s="185"/>
      <c r="F238" s="35"/>
      <c r="G238" s="185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 spans="1:28" ht="12.75">
      <c r="A239" s="14"/>
      <c r="B239" s="206"/>
      <c r="C239" s="6"/>
      <c r="D239" s="14"/>
      <c r="E239" s="185"/>
      <c r="F239" s="35"/>
      <c r="G239" s="185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 spans="1:28" ht="12.75">
      <c r="A240" s="14"/>
      <c r="B240" s="206"/>
      <c r="C240" s="6"/>
      <c r="D240" s="14"/>
      <c r="E240" s="185"/>
      <c r="F240" s="35"/>
      <c r="G240" s="185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 spans="1:28" ht="12.75">
      <c r="A241" s="14"/>
      <c r="B241" s="206"/>
      <c r="C241" s="6"/>
      <c r="D241" s="14"/>
      <c r="E241" s="185"/>
      <c r="F241" s="35"/>
      <c r="G241" s="185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 spans="1:28" ht="12.75">
      <c r="A242" s="14"/>
      <c r="B242" s="206"/>
      <c r="C242" s="6"/>
      <c r="D242" s="14"/>
      <c r="E242" s="185"/>
      <c r="F242" s="35"/>
      <c r="G242" s="185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 spans="1:28" ht="12.75">
      <c r="A243" s="14"/>
      <c r="B243" s="206"/>
      <c r="C243" s="6"/>
      <c r="D243" s="14"/>
      <c r="E243" s="185"/>
      <c r="F243" s="35"/>
      <c r="G243" s="185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 spans="1:28" ht="12.75">
      <c r="A244" s="14"/>
      <c r="B244" s="206"/>
      <c r="C244" s="6"/>
      <c r="D244" s="14"/>
      <c r="E244" s="185"/>
      <c r="F244" s="35"/>
      <c r="G244" s="185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 spans="1:28" ht="12.75">
      <c r="A245" s="14"/>
      <c r="B245" s="206"/>
      <c r="C245" s="6"/>
      <c r="D245" s="14"/>
      <c r="E245" s="185"/>
      <c r="F245" s="35"/>
      <c r="G245" s="185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 spans="1:28" ht="12.75">
      <c r="A246" s="14"/>
      <c r="B246" s="206"/>
      <c r="C246" s="6"/>
      <c r="D246" s="14"/>
      <c r="E246" s="185"/>
      <c r="F246" s="35"/>
      <c r="G246" s="185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 spans="1:28" ht="12.75">
      <c r="A247" s="14"/>
      <c r="B247" s="206"/>
      <c r="C247" s="6"/>
      <c r="D247" s="14"/>
      <c r="E247" s="185"/>
      <c r="F247" s="35"/>
      <c r="G247" s="185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 spans="1:28" ht="12.75">
      <c r="A248" s="14"/>
      <c r="B248" s="206"/>
      <c r="C248" s="6"/>
      <c r="D248" s="14"/>
      <c r="E248" s="185"/>
      <c r="F248" s="35"/>
      <c r="G248" s="185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 spans="1:28" ht="12.75">
      <c r="A249" s="14"/>
      <c r="B249" s="206"/>
      <c r="C249" s="6"/>
      <c r="D249" s="14"/>
      <c r="E249" s="185"/>
      <c r="F249" s="35"/>
      <c r="G249" s="185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 spans="1:28" ht="12.75">
      <c r="A250" s="14"/>
      <c r="B250" s="206"/>
      <c r="C250" s="6"/>
      <c r="D250" s="14"/>
      <c r="E250" s="185"/>
      <c r="F250" s="35"/>
      <c r="G250" s="185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 spans="1:28" ht="12.75">
      <c r="A251" s="14"/>
      <c r="B251" s="206"/>
      <c r="C251" s="6"/>
      <c r="D251" s="14"/>
      <c r="E251" s="185"/>
      <c r="F251" s="35"/>
      <c r="G251" s="185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 spans="1:28" ht="12.75">
      <c r="A252" s="14"/>
      <c r="B252" s="206"/>
      <c r="C252" s="6"/>
      <c r="D252" s="14"/>
      <c r="E252" s="185"/>
      <c r="F252" s="35"/>
      <c r="G252" s="185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</row>
    <row r="253" spans="1:28" ht="12.75">
      <c r="A253" s="14"/>
      <c r="B253" s="206"/>
      <c r="C253" s="6"/>
      <c r="D253" s="14"/>
      <c r="E253" s="185"/>
      <c r="F253" s="35"/>
      <c r="G253" s="185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</row>
    <row r="254" spans="1:28" ht="12.75">
      <c r="A254" s="14"/>
      <c r="B254" s="206"/>
      <c r="C254" s="6"/>
      <c r="D254" s="14"/>
      <c r="E254" s="185"/>
      <c r="F254" s="35"/>
      <c r="G254" s="185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</row>
    <row r="255" spans="1:28" ht="12.75">
      <c r="A255" s="14"/>
      <c r="B255" s="206"/>
      <c r="C255" s="6"/>
      <c r="D255" s="14"/>
      <c r="E255" s="185"/>
      <c r="F255" s="35"/>
      <c r="G255" s="185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</row>
    <row r="256" spans="1:28" ht="12.75">
      <c r="A256" s="14"/>
      <c r="B256" s="206"/>
      <c r="C256" s="6"/>
      <c r="D256" s="14"/>
      <c r="E256" s="185"/>
      <c r="F256" s="35"/>
      <c r="G256" s="185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</row>
    <row r="257" spans="1:28" ht="12.75">
      <c r="A257" s="14"/>
      <c r="B257" s="206"/>
      <c r="C257" s="6"/>
      <c r="D257" s="14"/>
      <c r="E257" s="185"/>
      <c r="F257" s="35"/>
      <c r="G257" s="185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</row>
    <row r="258" spans="1:28" ht="12.75">
      <c r="A258" s="14"/>
      <c r="B258" s="206"/>
      <c r="C258" s="6"/>
      <c r="D258" s="14"/>
      <c r="E258" s="185"/>
      <c r="F258" s="35"/>
      <c r="G258" s="185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</row>
    <row r="259" spans="1:28" ht="12.75">
      <c r="A259" s="14"/>
      <c r="B259" s="206"/>
      <c r="C259" s="6"/>
      <c r="D259" s="14"/>
      <c r="E259" s="185"/>
      <c r="F259" s="35"/>
      <c r="G259" s="185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</row>
    <row r="260" spans="1:28" ht="12.75">
      <c r="A260" s="14"/>
      <c r="B260" s="206"/>
      <c r="C260" s="6"/>
      <c r="D260" s="14"/>
      <c r="E260" s="185"/>
      <c r="F260" s="35"/>
      <c r="G260" s="185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</row>
    <row r="261" spans="1:28" ht="12.75">
      <c r="A261" s="14"/>
      <c r="B261" s="206"/>
      <c r="C261" s="6"/>
      <c r="D261" s="14"/>
      <c r="E261" s="185"/>
      <c r="F261" s="35"/>
      <c r="G261" s="185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 spans="1:28" ht="12.75">
      <c r="A262" s="14"/>
      <c r="B262" s="206"/>
      <c r="C262" s="6"/>
      <c r="D262" s="14"/>
      <c r="E262" s="185"/>
      <c r="F262" s="35"/>
      <c r="G262" s="185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</row>
    <row r="263" spans="1:28" ht="12.75">
      <c r="A263" s="14"/>
      <c r="B263" s="206"/>
      <c r="C263" s="6"/>
      <c r="D263" s="14"/>
      <c r="E263" s="185"/>
      <c r="F263" s="35"/>
      <c r="G263" s="185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</row>
    <row r="264" spans="1:28" ht="12.75">
      <c r="A264" s="14"/>
      <c r="B264" s="206"/>
      <c r="C264" s="6"/>
      <c r="D264" s="14"/>
      <c r="E264" s="185"/>
      <c r="F264" s="35"/>
      <c r="G264" s="185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</row>
    <row r="265" spans="1:28" ht="12.75">
      <c r="A265" s="14"/>
      <c r="B265" s="206"/>
      <c r="C265" s="6"/>
      <c r="D265" s="14"/>
      <c r="E265" s="185"/>
      <c r="F265" s="35"/>
      <c r="G265" s="185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</row>
    <row r="266" spans="1:28" ht="12.75">
      <c r="A266" s="14"/>
      <c r="B266" s="206"/>
      <c r="C266" s="6"/>
      <c r="D266" s="14"/>
      <c r="E266" s="185"/>
      <c r="F266" s="35"/>
      <c r="G266" s="185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</row>
    <row r="267" spans="1:28" ht="12.75">
      <c r="A267" s="14"/>
      <c r="B267" s="206"/>
      <c r="C267" s="6"/>
      <c r="D267" s="14"/>
      <c r="E267" s="185"/>
      <c r="F267" s="35"/>
      <c r="G267" s="185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</row>
    <row r="268" spans="1:28" ht="12.75">
      <c r="A268" s="14"/>
      <c r="B268" s="206"/>
      <c r="C268" s="6"/>
      <c r="D268" s="14"/>
      <c r="E268" s="185"/>
      <c r="F268" s="35"/>
      <c r="G268" s="185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</row>
    <row r="269" spans="1:28" ht="12.75">
      <c r="A269" s="14"/>
      <c r="B269" s="206"/>
      <c r="C269" s="6"/>
      <c r="D269" s="14"/>
      <c r="E269" s="185"/>
      <c r="F269" s="35"/>
      <c r="G269" s="185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 spans="1:28" ht="12.75">
      <c r="A270" s="14"/>
      <c r="B270" s="206"/>
      <c r="C270" s="6"/>
      <c r="D270" s="14"/>
      <c r="E270" s="185"/>
      <c r="F270" s="35"/>
      <c r="G270" s="185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 spans="1:28" ht="12.75">
      <c r="A271" s="14"/>
      <c r="B271" s="206"/>
      <c r="C271" s="6"/>
      <c r="D271" s="14"/>
      <c r="E271" s="185"/>
      <c r="F271" s="35"/>
      <c r="G271" s="185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</row>
    <row r="272" spans="1:28" ht="12.75">
      <c r="A272" s="14"/>
      <c r="B272" s="206"/>
      <c r="C272" s="6"/>
      <c r="D272" s="14"/>
      <c r="E272" s="185"/>
      <c r="F272" s="35"/>
      <c r="G272" s="185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</row>
    <row r="273" spans="1:28" ht="12.75">
      <c r="A273" s="14"/>
      <c r="B273" s="206"/>
      <c r="C273" s="6"/>
      <c r="D273" s="14"/>
      <c r="E273" s="185"/>
      <c r="F273" s="35"/>
      <c r="G273" s="185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</row>
    <row r="274" spans="1:28" ht="12.75">
      <c r="A274" s="14"/>
      <c r="B274" s="206"/>
      <c r="C274" s="6"/>
      <c r="D274" s="14"/>
      <c r="E274" s="185"/>
      <c r="F274" s="35"/>
      <c r="G274" s="185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</row>
    <row r="275" spans="1:28" ht="12.75">
      <c r="A275" s="14"/>
      <c r="B275" s="206"/>
      <c r="C275" s="6"/>
      <c r="D275" s="14"/>
      <c r="E275" s="185"/>
      <c r="F275" s="35"/>
      <c r="G275" s="185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</row>
    <row r="276" spans="1:28" ht="12.75">
      <c r="A276" s="14"/>
      <c r="B276" s="206"/>
      <c r="C276" s="6"/>
      <c r="D276" s="14"/>
      <c r="E276" s="185"/>
      <c r="F276" s="35"/>
      <c r="G276" s="185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</row>
    <row r="277" spans="1:28" ht="12.75">
      <c r="A277" s="14"/>
      <c r="B277" s="206"/>
      <c r="C277" s="6"/>
      <c r="D277" s="14"/>
      <c r="E277" s="185"/>
      <c r="F277" s="35"/>
      <c r="G277" s="185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</row>
    <row r="278" spans="1:28" ht="12.75">
      <c r="A278" s="14"/>
      <c r="B278" s="206"/>
      <c r="C278" s="6"/>
      <c r="D278" s="14"/>
      <c r="E278" s="185"/>
      <c r="F278" s="35"/>
      <c r="G278" s="185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</row>
    <row r="279" spans="1:28" ht="12.75">
      <c r="A279" s="14"/>
      <c r="B279" s="206"/>
      <c r="C279" s="6"/>
      <c r="D279" s="14"/>
      <c r="E279" s="185"/>
      <c r="F279" s="35"/>
      <c r="G279" s="185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</row>
    <row r="280" spans="1:28" ht="12.75">
      <c r="A280" s="14"/>
      <c r="B280" s="206"/>
      <c r="C280" s="6"/>
      <c r="D280" s="14"/>
      <c r="E280" s="185"/>
      <c r="F280" s="35"/>
      <c r="G280" s="185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</row>
    <row r="281" spans="1:28" ht="12.75">
      <c r="A281" s="14"/>
      <c r="B281" s="206"/>
      <c r="C281" s="6"/>
      <c r="D281" s="14"/>
      <c r="E281" s="185"/>
      <c r="F281" s="35"/>
      <c r="G281" s="185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</row>
    <row r="282" spans="1:28" ht="12.75">
      <c r="A282" s="14"/>
      <c r="B282" s="206"/>
      <c r="C282" s="6"/>
      <c r="D282" s="14"/>
      <c r="E282" s="185"/>
      <c r="F282" s="35"/>
      <c r="G282" s="185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</row>
    <row r="283" spans="1:28" ht="12.75">
      <c r="A283" s="14"/>
      <c r="B283" s="206"/>
      <c r="C283" s="6"/>
      <c r="D283" s="14"/>
      <c r="E283" s="185"/>
      <c r="F283" s="35"/>
      <c r="G283" s="185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</row>
    <row r="284" spans="1:28" ht="12.75">
      <c r="A284" s="14"/>
      <c r="B284" s="206"/>
      <c r="C284" s="6"/>
      <c r="D284" s="14"/>
      <c r="E284" s="185"/>
      <c r="F284" s="35"/>
      <c r="G284" s="185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</row>
    <row r="285" spans="1:28" ht="12.75">
      <c r="A285" s="14"/>
      <c r="B285" s="206"/>
      <c r="C285" s="6"/>
      <c r="D285" s="14"/>
      <c r="E285" s="185"/>
      <c r="F285" s="35"/>
      <c r="G285" s="185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</row>
    <row r="286" spans="1:28" ht="12.75">
      <c r="A286" s="14"/>
      <c r="B286" s="206"/>
      <c r="C286" s="6"/>
      <c r="D286" s="14"/>
      <c r="E286" s="185"/>
      <c r="F286" s="35"/>
      <c r="G286" s="185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 spans="1:28" ht="12.75">
      <c r="A287" s="14"/>
      <c r="B287" s="206"/>
      <c r="C287" s="6"/>
      <c r="D287" s="14"/>
      <c r="E287" s="185"/>
      <c r="F287" s="35"/>
      <c r="G287" s="185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</row>
    <row r="288" spans="1:28" ht="12.75">
      <c r="A288" s="14"/>
      <c r="B288" s="206"/>
      <c r="C288" s="6"/>
      <c r="D288" s="14"/>
      <c r="E288" s="185"/>
      <c r="F288" s="35"/>
      <c r="G288" s="185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</row>
    <row r="289" spans="1:28" ht="12.75">
      <c r="A289" s="14"/>
      <c r="B289" s="206"/>
      <c r="C289" s="6"/>
      <c r="D289" s="14"/>
      <c r="E289" s="185"/>
      <c r="F289" s="35"/>
      <c r="G289" s="185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</row>
    <row r="290" spans="1:28" ht="12.75">
      <c r="A290" s="14"/>
      <c r="B290" s="206"/>
      <c r="C290" s="6"/>
      <c r="D290" s="14"/>
      <c r="E290" s="185"/>
      <c r="F290" s="35"/>
      <c r="G290" s="185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</row>
    <row r="291" spans="1:28" ht="12.75">
      <c r="A291" s="14"/>
      <c r="B291" s="206"/>
      <c r="C291" s="6"/>
      <c r="D291" s="14"/>
      <c r="E291" s="185"/>
      <c r="F291" s="35"/>
      <c r="G291" s="185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</row>
    <row r="292" spans="1:28" ht="12.75">
      <c r="A292" s="14"/>
      <c r="B292" s="206"/>
      <c r="C292" s="6"/>
      <c r="D292" s="14"/>
      <c r="E292" s="185"/>
      <c r="F292" s="35"/>
      <c r="G292" s="185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</row>
    <row r="293" spans="1:28" ht="12.75">
      <c r="A293" s="14"/>
      <c r="B293" s="206"/>
      <c r="C293" s="6"/>
      <c r="D293" s="14"/>
      <c r="E293" s="185"/>
      <c r="F293" s="35"/>
      <c r="G293" s="185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</row>
    <row r="294" spans="1:28" ht="12.75">
      <c r="A294" s="14"/>
      <c r="B294" s="206"/>
      <c r="C294" s="6"/>
      <c r="D294" s="14"/>
      <c r="E294" s="185"/>
      <c r="F294" s="35"/>
      <c r="G294" s="185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</row>
    <row r="295" spans="1:28" ht="12.75">
      <c r="A295" s="14"/>
      <c r="B295" s="206"/>
      <c r="C295" s="6"/>
      <c r="D295" s="14"/>
      <c r="E295" s="185"/>
      <c r="F295" s="35"/>
      <c r="G295" s="185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</row>
    <row r="296" spans="1:28" ht="12.75">
      <c r="A296" s="14"/>
      <c r="B296" s="206"/>
      <c r="C296" s="6"/>
      <c r="D296" s="14"/>
      <c r="E296" s="185"/>
      <c r="F296" s="35"/>
      <c r="G296" s="185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</row>
    <row r="297" spans="1:28" ht="12.75">
      <c r="A297" s="14"/>
      <c r="B297" s="206"/>
      <c r="C297" s="6"/>
      <c r="D297" s="14"/>
      <c r="E297" s="185"/>
      <c r="F297" s="35"/>
      <c r="G297" s="185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</row>
    <row r="298" spans="1:28" ht="12.75">
      <c r="A298" s="14"/>
      <c r="B298" s="206"/>
      <c r="C298" s="6"/>
      <c r="D298" s="14"/>
      <c r="E298" s="185"/>
      <c r="F298" s="35"/>
      <c r="G298" s="185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</row>
    <row r="299" spans="1:28" ht="12.75">
      <c r="A299" s="14"/>
      <c r="B299" s="206"/>
      <c r="C299" s="6"/>
      <c r="D299" s="14"/>
      <c r="E299" s="185"/>
      <c r="F299" s="35"/>
      <c r="G299" s="185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</row>
    <row r="300" spans="1:28" ht="12.75">
      <c r="A300" s="14"/>
      <c r="B300" s="206"/>
      <c r="C300" s="6"/>
      <c r="D300" s="14"/>
      <c r="E300" s="185"/>
      <c r="F300" s="35"/>
      <c r="G300" s="185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</row>
    <row r="301" spans="1:28" ht="12.75">
      <c r="A301" s="14"/>
      <c r="B301" s="206"/>
      <c r="C301" s="6"/>
      <c r="D301" s="14"/>
      <c r="E301" s="185"/>
      <c r="F301" s="35"/>
      <c r="G301" s="185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</row>
    <row r="302" spans="1:28" ht="12.75">
      <c r="A302" s="14"/>
      <c r="B302" s="206"/>
      <c r="C302" s="6"/>
      <c r="D302" s="14"/>
      <c r="E302" s="185"/>
      <c r="F302" s="35"/>
      <c r="G302" s="185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</row>
    <row r="303" spans="1:28" ht="12.75">
      <c r="A303" s="14"/>
      <c r="B303" s="206"/>
      <c r="C303" s="6"/>
      <c r="D303" s="14"/>
      <c r="E303" s="185"/>
      <c r="F303" s="35"/>
      <c r="G303" s="185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</row>
    <row r="304" spans="1:28" ht="12.75">
      <c r="A304" s="14"/>
      <c r="B304" s="206"/>
      <c r="C304" s="6"/>
      <c r="D304" s="14"/>
      <c r="E304" s="185"/>
      <c r="F304" s="35"/>
      <c r="G304" s="185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</row>
    <row r="305" spans="1:28" ht="12.75">
      <c r="A305" s="14"/>
      <c r="B305" s="206"/>
      <c r="C305" s="6"/>
      <c r="D305" s="14"/>
      <c r="E305" s="185"/>
      <c r="F305" s="35"/>
      <c r="G305" s="185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</row>
    <row r="306" spans="1:28" ht="12.75">
      <c r="A306" s="14"/>
      <c r="B306" s="206"/>
      <c r="C306" s="6"/>
      <c r="D306" s="14"/>
      <c r="E306" s="185"/>
      <c r="F306" s="35"/>
      <c r="G306" s="185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 spans="1:28" ht="12.75">
      <c r="A307" s="14"/>
      <c r="B307" s="206"/>
      <c r="C307" s="6"/>
      <c r="D307" s="14"/>
      <c r="E307" s="185"/>
      <c r="F307" s="35"/>
      <c r="G307" s="185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</row>
    <row r="308" spans="1:28" ht="12.75">
      <c r="A308" s="14"/>
      <c r="B308" s="206"/>
      <c r="C308" s="6"/>
      <c r="D308" s="14"/>
      <c r="E308" s="185"/>
      <c r="F308" s="35"/>
      <c r="G308" s="185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</row>
    <row r="309" spans="1:28" ht="12.75">
      <c r="A309" s="14"/>
      <c r="B309" s="206"/>
      <c r="C309" s="6"/>
      <c r="D309" s="14"/>
      <c r="E309" s="185"/>
      <c r="F309" s="35"/>
      <c r="G309" s="185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</row>
    <row r="310" spans="1:28" ht="12.75">
      <c r="A310" s="14"/>
      <c r="B310" s="206"/>
      <c r="C310" s="6"/>
      <c r="D310" s="14"/>
      <c r="E310" s="185"/>
      <c r="F310" s="35"/>
      <c r="G310" s="185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</row>
    <row r="311" spans="1:28" ht="12.75">
      <c r="A311" s="14"/>
      <c r="B311" s="206"/>
      <c r="C311" s="6"/>
      <c r="D311" s="14"/>
      <c r="E311" s="185"/>
      <c r="F311" s="35"/>
      <c r="G311" s="185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 spans="1:28" ht="12.75">
      <c r="A312" s="14"/>
      <c r="B312" s="206"/>
      <c r="C312" s="6"/>
      <c r="D312" s="14"/>
      <c r="E312" s="185"/>
      <c r="F312" s="35"/>
      <c r="G312" s="185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</row>
    <row r="313" spans="1:28" ht="12.75">
      <c r="A313" s="14"/>
      <c r="B313" s="206"/>
      <c r="C313" s="6"/>
      <c r="D313" s="14"/>
      <c r="E313" s="185"/>
      <c r="F313" s="35"/>
      <c r="G313" s="185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</row>
    <row r="314" spans="1:28" ht="12.75">
      <c r="A314" s="14"/>
      <c r="B314" s="206"/>
      <c r="C314" s="6"/>
      <c r="D314" s="14"/>
      <c r="E314" s="185"/>
      <c r="F314" s="35"/>
      <c r="G314" s="185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</row>
    <row r="315" spans="1:28" ht="12.75">
      <c r="A315" s="14"/>
      <c r="B315" s="206"/>
      <c r="C315" s="6"/>
      <c r="D315" s="14"/>
      <c r="E315" s="185"/>
      <c r="F315" s="35"/>
      <c r="G315" s="185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</row>
    <row r="316" spans="1:28" ht="12.75">
      <c r="A316" s="14"/>
      <c r="B316" s="206"/>
      <c r="C316" s="6"/>
      <c r="D316" s="14"/>
      <c r="E316" s="185"/>
      <c r="F316" s="35"/>
      <c r="G316" s="185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</row>
    <row r="317" spans="1:28" ht="12.75">
      <c r="A317" s="14"/>
      <c r="B317" s="206"/>
      <c r="C317" s="6"/>
      <c r="D317" s="14"/>
      <c r="E317" s="185"/>
      <c r="F317" s="35"/>
      <c r="G317" s="185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</row>
    <row r="318" spans="1:28" ht="12.75">
      <c r="A318" s="14"/>
      <c r="B318" s="206"/>
      <c r="C318" s="6"/>
      <c r="D318" s="14"/>
      <c r="E318" s="185"/>
      <c r="F318" s="35"/>
      <c r="G318" s="185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</row>
    <row r="319" spans="1:28" ht="12.75">
      <c r="A319" s="14"/>
      <c r="B319" s="206"/>
      <c r="C319" s="6"/>
      <c r="D319" s="14"/>
      <c r="E319" s="185"/>
      <c r="F319" s="35"/>
      <c r="G319" s="185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</row>
    <row r="320" spans="1:28" ht="12.75">
      <c r="A320" s="14"/>
      <c r="B320" s="206"/>
      <c r="C320" s="6"/>
      <c r="D320" s="14"/>
      <c r="E320" s="185"/>
      <c r="F320" s="35"/>
      <c r="G320" s="185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 spans="1:28" ht="12.75">
      <c r="A321" s="14"/>
      <c r="B321" s="206"/>
      <c r="C321" s="6"/>
      <c r="D321" s="14"/>
      <c r="E321" s="185"/>
      <c r="F321" s="35"/>
      <c r="G321" s="185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 spans="1:28" ht="12.75">
      <c r="A322" s="14"/>
      <c r="B322" s="206"/>
      <c r="C322" s="6"/>
      <c r="D322" s="14"/>
      <c r="E322" s="185"/>
      <c r="F322" s="35"/>
      <c r="G322" s="185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</row>
    <row r="323" spans="1:28" ht="12.75">
      <c r="A323" s="14"/>
      <c r="B323" s="206"/>
      <c r="C323" s="6"/>
      <c r="D323" s="14"/>
      <c r="E323" s="185"/>
      <c r="F323" s="35"/>
      <c r="G323" s="185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</row>
    <row r="324" spans="1:28" ht="12.75">
      <c r="A324" s="14"/>
      <c r="B324" s="206"/>
      <c r="C324" s="6"/>
      <c r="D324" s="14"/>
      <c r="E324" s="185"/>
      <c r="F324" s="35"/>
      <c r="G324" s="185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</row>
    <row r="325" spans="1:28" ht="12.75">
      <c r="A325" s="14"/>
      <c r="B325" s="206"/>
      <c r="C325" s="6"/>
      <c r="D325" s="14"/>
      <c r="E325" s="185"/>
      <c r="F325" s="35"/>
      <c r="G325" s="185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</row>
    <row r="326" spans="1:28" ht="12.75">
      <c r="A326" s="14"/>
      <c r="B326" s="206"/>
      <c r="C326" s="6"/>
      <c r="D326" s="14"/>
      <c r="E326" s="185"/>
      <c r="F326" s="35"/>
      <c r="G326" s="185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</row>
    <row r="327" spans="1:28" ht="12.75">
      <c r="A327" s="14"/>
      <c r="B327" s="206"/>
      <c r="C327" s="6"/>
      <c r="D327" s="14"/>
      <c r="E327" s="185"/>
      <c r="F327" s="35"/>
      <c r="G327" s="185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</row>
    <row r="328" spans="1:28" ht="12.75">
      <c r="A328" s="14"/>
      <c r="B328" s="206"/>
      <c r="C328" s="6"/>
      <c r="D328" s="14"/>
      <c r="E328" s="185"/>
      <c r="F328" s="35"/>
      <c r="G328" s="185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</row>
    <row r="329" spans="1:28" ht="12.75">
      <c r="A329" s="14"/>
      <c r="B329" s="206"/>
      <c r="C329" s="6"/>
      <c r="D329" s="14"/>
      <c r="E329" s="185"/>
      <c r="F329" s="35"/>
      <c r="G329" s="185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</row>
    <row r="330" spans="1:28" ht="12.75">
      <c r="A330" s="14"/>
      <c r="B330" s="206"/>
      <c r="C330" s="6"/>
      <c r="D330" s="14"/>
      <c r="E330" s="185"/>
      <c r="F330" s="35"/>
      <c r="G330" s="185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</row>
    <row r="331" spans="1:28" ht="12.75">
      <c r="A331" s="14"/>
      <c r="B331" s="206"/>
      <c r="C331" s="6"/>
      <c r="D331" s="14"/>
      <c r="E331" s="185"/>
      <c r="F331" s="35"/>
      <c r="G331" s="185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</row>
    <row r="332" spans="1:28" ht="12.75">
      <c r="A332" s="14"/>
      <c r="B332" s="206"/>
      <c r="C332" s="6"/>
      <c r="D332" s="14"/>
      <c r="E332" s="185"/>
      <c r="F332" s="35"/>
      <c r="G332" s="185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</row>
    <row r="333" spans="1:28" ht="12.75">
      <c r="A333" s="14"/>
      <c r="B333" s="206"/>
      <c r="C333" s="6"/>
      <c r="D333" s="14"/>
      <c r="E333" s="185"/>
      <c r="F333" s="35"/>
      <c r="G333" s="185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</row>
    <row r="334" spans="1:28" ht="12.75">
      <c r="A334" s="14"/>
      <c r="B334" s="206"/>
      <c r="C334" s="6"/>
      <c r="D334" s="14"/>
      <c r="E334" s="185"/>
      <c r="F334" s="35"/>
      <c r="G334" s="185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</row>
    <row r="335" spans="1:28" ht="12.75">
      <c r="A335" s="14"/>
      <c r="B335" s="206"/>
      <c r="C335" s="6"/>
      <c r="D335" s="14"/>
      <c r="E335" s="185"/>
      <c r="F335" s="35"/>
      <c r="G335" s="185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</row>
    <row r="336" spans="1:28" ht="12.75">
      <c r="A336" s="14"/>
      <c r="B336" s="206"/>
      <c r="C336" s="6"/>
      <c r="D336" s="14"/>
      <c r="E336" s="185"/>
      <c r="F336" s="35"/>
      <c r="G336" s="185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</row>
    <row r="337" spans="1:28" ht="12.75">
      <c r="A337" s="14"/>
      <c r="B337" s="206"/>
      <c r="C337" s="6"/>
      <c r="D337" s="14"/>
      <c r="E337" s="185"/>
      <c r="F337" s="35"/>
      <c r="G337" s="185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</row>
    <row r="338" spans="1:28" ht="12.75">
      <c r="A338" s="14"/>
      <c r="B338" s="206"/>
      <c r="C338" s="6"/>
      <c r="D338" s="14"/>
      <c r="E338" s="185"/>
      <c r="F338" s="35"/>
      <c r="G338" s="185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</row>
    <row r="339" spans="1:28" ht="12.75">
      <c r="A339" s="14"/>
      <c r="B339" s="206"/>
      <c r="C339" s="6"/>
      <c r="D339" s="14"/>
      <c r="E339" s="185"/>
      <c r="F339" s="35"/>
      <c r="G339" s="185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</row>
    <row r="340" spans="1:28" ht="12.75">
      <c r="A340" s="14"/>
      <c r="B340" s="206"/>
      <c r="C340" s="6"/>
      <c r="D340" s="14"/>
      <c r="E340" s="185"/>
      <c r="F340" s="35"/>
      <c r="G340" s="185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</row>
    <row r="341" spans="1:28" ht="12.75">
      <c r="A341" s="14"/>
      <c r="B341" s="206"/>
      <c r="C341" s="6"/>
      <c r="D341" s="14"/>
      <c r="E341" s="185"/>
      <c r="F341" s="35"/>
      <c r="G341" s="185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</row>
    <row r="342" spans="1:28" ht="12.75">
      <c r="A342" s="14"/>
      <c r="B342" s="206"/>
      <c r="C342" s="6"/>
      <c r="D342" s="14"/>
      <c r="E342" s="185"/>
      <c r="F342" s="35"/>
      <c r="G342" s="185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</row>
    <row r="343" spans="1:28" ht="12.75">
      <c r="A343" s="14"/>
      <c r="B343" s="206"/>
      <c r="C343" s="6"/>
      <c r="D343" s="14"/>
      <c r="E343" s="185"/>
      <c r="F343" s="35"/>
      <c r="G343" s="185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</row>
    <row r="344" spans="1:28" ht="12.75">
      <c r="A344" s="14"/>
      <c r="B344" s="206"/>
      <c r="C344" s="6"/>
      <c r="D344" s="14"/>
      <c r="E344" s="185"/>
      <c r="F344" s="35"/>
      <c r="G344" s="185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</row>
    <row r="345" spans="1:28" ht="12.75">
      <c r="A345" s="14"/>
      <c r="B345" s="206"/>
      <c r="C345" s="6"/>
      <c r="D345" s="14"/>
      <c r="E345" s="185"/>
      <c r="F345" s="35"/>
      <c r="G345" s="185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</row>
    <row r="346" spans="1:28" ht="12.75">
      <c r="A346" s="14"/>
      <c r="B346" s="206"/>
      <c r="C346" s="6"/>
      <c r="D346" s="14"/>
      <c r="E346" s="185"/>
      <c r="F346" s="35"/>
      <c r="G346" s="185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</row>
    <row r="347" spans="1:28" ht="12.75">
      <c r="A347" s="14"/>
      <c r="B347" s="206"/>
      <c r="C347" s="6"/>
      <c r="D347" s="14"/>
      <c r="E347" s="185"/>
      <c r="F347" s="35"/>
      <c r="G347" s="185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</row>
    <row r="348" spans="1:28" ht="12.75">
      <c r="A348" s="14"/>
      <c r="B348" s="206"/>
      <c r="C348" s="6"/>
      <c r="D348" s="14"/>
      <c r="E348" s="185"/>
      <c r="F348" s="35"/>
      <c r="G348" s="185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</row>
    <row r="349" spans="1:28" ht="12.75">
      <c r="A349" s="14"/>
      <c r="B349" s="206"/>
      <c r="C349" s="6"/>
      <c r="D349" s="14"/>
      <c r="E349" s="185"/>
      <c r="F349" s="35"/>
      <c r="G349" s="185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</row>
    <row r="350" spans="1:28" ht="12.75">
      <c r="A350" s="14"/>
      <c r="B350" s="206"/>
      <c r="C350" s="6"/>
      <c r="D350" s="14"/>
      <c r="E350" s="185"/>
      <c r="F350" s="35"/>
      <c r="G350" s="185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</row>
    <row r="351" spans="1:28" ht="12.75">
      <c r="A351" s="14"/>
      <c r="B351" s="206"/>
      <c r="C351" s="6"/>
      <c r="D351" s="14"/>
      <c r="E351" s="185"/>
      <c r="F351" s="35"/>
      <c r="G351" s="185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</row>
    <row r="352" spans="1:28" ht="12.75">
      <c r="A352" s="14"/>
      <c r="B352" s="206"/>
      <c r="C352" s="6"/>
      <c r="D352" s="14"/>
      <c r="E352" s="185"/>
      <c r="F352" s="35"/>
      <c r="G352" s="185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</row>
    <row r="353" spans="1:28" ht="12.75">
      <c r="A353" s="14"/>
      <c r="B353" s="206"/>
      <c r="C353" s="6"/>
      <c r="D353" s="14"/>
      <c r="E353" s="185"/>
      <c r="F353" s="35"/>
      <c r="G353" s="185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 spans="1:28" ht="12.75">
      <c r="A354" s="14"/>
      <c r="B354" s="206"/>
      <c r="C354" s="6"/>
      <c r="D354" s="14"/>
      <c r="E354" s="185"/>
      <c r="F354" s="35"/>
      <c r="G354" s="185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</row>
    <row r="355" spans="1:28" ht="12.75">
      <c r="A355" s="14"/>
      <c r="B355" s="206"/>
      <c r="C355" s="6"/>
      <c r="D355" s="14"/>
      <c r="E355" s="185"/>
      <c r="F355" s="35"/>
      <c r="G355" s="185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</row>
    <row r="356" spans="1:28" ht="12.75">
      <c r="A356" s="14"/>
      <c r="B356" s="206"/>
      <c r="C356" s="6"/>
      <c r="D356" s="14"/>
      <c r="E356" s="185"/>
      <c r="F356" s="35"/>
      <c r="G356" s="185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</row>
    <row r="357" spans="1:28" ht="12.75">
      <c r="A357" s="14"/>
      <c r="B357" s="206"/>
      <c r="C357" s="6"/>
      <c r="D357" s="14"/>
      <c r="E357" s="185"/>
      <c r="F357" s="35"/>
      <c r="G357" s="185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</row>
    <row r="358" spans="1:28" ht="12.75">
      <c r="A358" s="14"/>
      <c r="B358" s="206"/>
      <c r="C358" s="6"/>
      <c r="D358" s="14"/>
      <c r="E358" s="185"/>
      <c r="F358" s="35"/>
      <c r="G358" s="185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 spans="1:28" ht="12.75">
      <c r="A359" s="14"/>
      <c r="B359" s="206"/>
      <c r="C359" s="6"/>
      <c r="D359" s="14"/>
      <c r="E359" s="185"/>
      <c r="F359" s="35"/>
      <c r="G359" s="185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</row>
    <row r="360" spans="1:28" ht="12.75">
      <c r="A360" s="14"/>
      <c r="B360" s="206"/>
      <c r="C360" s="6"/>
      <c r="D360" s="14"/>
      <c r="E360" s="185"/>
      <c r="F360" s="35"/>
      <c r="G360" s="185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</row>
    <row r="361" spans="1:28" ht="12.75">
      <c r="A361" s="14"/>
      <c r="B361" s="206"/>
      <c r="C361" s="6"/>
      <c r="D361" s="14"/>
      <c r="E361" s="185"/>
      <c r="F361" s="35"/>
      <c r="G361" s="185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</row>
    <row r="362" spans="1:28" ht="12.75">
      <c r="A362" s="14"/>
      <c r="B362" s="206"/>
      <c r="C362" s="6"/>
      <c r="D362" s="14"/>
      <c r="E362" s="185"/>
      <c r="F362" s="35"/>
      <c r="G362" s="185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</row>
    <row r="363" spans="1:28" ht="12.75">
      <c r="A363" s="14"/>
      <c r="B363" s="206"/>
      <c r="C363" s="6"/>
      <c r="D363" s="14"/>
      <c r="E363" s="185"/>
      <c r="F363" s="35"/>
      <c r="G363" s="185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</row>
    <row r="364" spans="1:28" ht="12.75">
      <c r="A364" s="14"/>
      <c r="B364" s="206"/>
      <c r="C364" s="6"/>
      <c r="D364" s="14"/>
      <c r="E364" s="185"/>
      <c r="F364" s="35"/>
      <c r="G364" s="185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</row>
    <row r="365" spans="1:28" ht="12.75">
      <c r="A365" s="14"/>
      <c r="B365" s="206"/>
      <c r="C365" s="6"/>
      <c r="D365" s="14"/>
      <c r="E365" s="185"/>
      <c r="F365" s="35"/>
      <c r="G365" s="185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</row>
    <row r="366" spans="1:28" ht="12.75">
      <c r="A366" s="14"/>
      <c r="B366" s="206"/>
      <c r="C366" s="6"/>
      <c r="D366" s="14"/>
      <c r="E366" s="185"/>
      <c r="F366" s="35"/>
      <c r="G366" s="185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 spans="1:28" ht="12.75">
      <c r="A367" s="14"/>
      <c r="B367" s="206"/>
      <c r="C367" s="6"/>
      <c r="D367" s="14"/>
      <c r="E367" s="185"/>
      <c r="F367" s="35"/>
      <c r="G367" s="185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</row>
    <row r="368" spans="1:28" ht="12.75">
      <c r="A368" s="14"/>
      <c r="B368" s="206"/>
      <c r="C368" s="6"/>
      <c r="D368" s="14"/>
      <c r="E368" s="185"/>
      <c r="F368" s="35"/>
      <c r="G368" s="185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</row>
    <row r="369" spans="1:28" ht="12.75">
      <c r="A369" s="14"/>
      <c r="B369" s="206"/>
      <c r="C369" s="6"/>
      <c r="D369" s="14"/>
      <c r="E369" s="185"/>
      <c r="F369" s="35"/>
      <c r="G369" s="185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</row>
    <row r="370" spans="1:28" ht="12.75">
      <c r="A370" s="14"/>
      <c r="B370" s="206"/>
      <c r="C370" s="6"/>
      <c r="D370" s="14"/>
      <c r="E370" s="185"/>
      <c r="F370" s="35"/>
      <c r="G370" s="185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</row>
    <row r="371" spans="1:28" ht="12.75">
      <c r="A371" s="14"/>
      <c r="B371" s="206"/>
      <c r="C371" s="6"/>
      <c r="D371" s="14"/>
      <c r="E371" s="185"/>
      <c r="F371" s="35"/>
      <c r="G371" s="185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</row>
    <row r="372" spans="1:28" ht="12.75">
      <c r="A372" s="14"/>
      <c r="B372" s="206"/>
      <c r="C372" s="6"/>
      <c r="D372" s="14"/>
      <c r="E372" s="185"/>
      <c r="F372" s="35"/>
      <c r="G372" s="185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</row>
    <row r="373" spans="1:28" ht="12.75">
      <c r="A373" s="14"/>
      <c r="B373" s="206"/>
      <c r="C373" s="6"/>
      <c r="D373" s="14"/>
      <c r="E373" s="185"/>
      <c r="F373" s="35"/>
      <c r="G373" s="185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</row>
    <row r="374" spans="1:28" ht="12.75">
      <c r="A374" s="14"/>
      <c r="B374" s="206"/>
      <c r="C374" s="6"/>
      <c r="D374" s="14"/>
      <c r="E374" s="185"/>
      <c r="F374" s="35"/>
      <c r="G374" s="185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</row>
    <row r="375" spans="1:28" ht="12.75">
      <c r="A375" s="14"/>
      <c r="B375" s="206"/>
      <c r="C375" s="6"/>
      <c r="D375" s="14"/>
      <c r="E375" s="185"/>
      <c r="F375" s="35"/>
      <c r="G375" s="185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</row>
    <row r="376" spans="1:28" ht="12.75">
      <c r="A376" s="14"/>
      <c r="B376" s="206"/>
      <c r="C376" s="6"/>
      <c r="D376" s="14"/>
      <c r="E376" s="185"/>
      <c r="F376" s="35"/>
      <c r="G376" s="185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</row>
    <row r="377" spans="1:28" ht="12.75">
      <c r="A377" s="14"/>
      <c r="B377" s="206"/>
      <c r="C377" s="6"/>
      <c r="D377" s="14"/>
      <c r="E377" s="185"/>
      <c r="F377" s="35"/>
      <c r="G377" s="185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</row>
    <row r="378" spans="1:28" ht="12.75">
      <c r="A378" s="14"/>
      <c r="B378" s="206"/>
      <c r="C378" s="6"/>
      <c r="D378" s="14"/>
      <c r="E378" s="185"/>
      <c r="F378" s="35"/>
      <c r="G378" s="185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</row>
    <row r="379" spans="1:28" ht="12.75">
      <c r="A379" s="14"/>
      <c r="B379" s="206"/>
      <c r="C379" s="6"/>
      <c r="D379" s="14"/>
      <c r="E379" s="185"/>
      <c r="F379" s="35"/>
      <c r="G379" s="185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</row>
    <row r="380" spans="1:28" ht="12.75">
      <c r="A380" s="14"/>
      <c r="B380" s="206"/>
      <c r="C380" s="6"/>
      <c r="D380" s="14"/>
      <c r="E380" s="185"/>
      <c r="F380" s="35"/>
      <c r="G380" s="185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</row>
    <row r="381" spans="1:28" ht="12.75">
      <c r="A381" s="14"/>
      <c r="B381" s="206"/>
      <c r="C381" s="6"/>
      <c r="D381" s="14"/>
      <c r="E381" s="185"/>
      <c r="F381" s="35"/>
      <c r="G381" s="185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</row>
    <row r="382" spans="1:28" ht="12.75">
      <c r="A382" s="14"/>
      <c r="B382" s="206"/>
      <c r="C382" s="6"/>
      <c r="D382" s="14"/>
      <c r="E382" s="185"/>
      <c r="F382" s="35"/>
      <c r="G382" s="185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</row>
    <row r="383" spans="1:28" ht="12.75">
      <c r="A383" s="14"/>
      <c r="B383" s="206"/>
      <c r="C383" s="6"/>
      <c r="D383" s="14"/>
      <c r="E383" s="185"/>
      <c r="F383" s="35"/>
      <c r="G383" s="185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</row>
    <row r="384" spans="1:28" ht="12.75">
      <c r="A384" s="14"/>
      <c r="B384" s="206"/>
      <c r="C384" s="6"/>
      <c r="D384" s="14"/>
      <c r="E384" s="185"/>
      <c r="F384" s="35"/>
      <c r="G384" s="185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</row>
    <row r="385" spans="1:28" ht="12.75">
      <c r="A385" s="14"/>
      <c r="B385" s="206"/>
      <c r="C385" s="6"/>
      <c r="D385" s="14"/>
      <c r="E385" s="185"/>
      <c r="F385" s="35"/>
      <c r="G385" s="185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 spans="1:28" ht="12.75">
      <c r="A386" s="14"/>
      <c r="B386" s="206"/>
      <c r="C386" s="6"/>
      <c r="D386" s="14"/>
      <c r="E386" s="185"/>
      <c r="F386" s="35"/>
      <c r="G386" s="185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</row>
    <row r="387" spans="1:28" ht="12.75">
      <c r="A387" s="14"/>
      <c r="B387" s="206"/>
      <c r="C387" s="6"/>
      <c r="D387" s="14"/>
      <c r="E387" s="185"/>
      <c r="F387" s="35"/>
      <c r="G387" s="185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</row>
    <row r="388" spans="1:28" ht="12.75">
      <c r="A388" s="14"/>
      <c r="B388" s="206"/>
      <c r="C388" s="6"/>
      <c r="D388" s="14"/>
      <c r="E388" s="185"/>
      <c r="F388" s="35"/>
      <c r="G388" s="185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</row>
    <row r="389" spans="1:28" ht="12.75">
      <c r="A389" s="14"/>
      <c r="B389" s="206"/>
      <c r="C389" s="6"/>
      <c r="D389" s="14"/>
      <c r="E389" s="185"/>
      <c r="F389" s="35"/>
      <c r="G389" s="185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</row>
    <row r="390" spans="1:28" ht="12.75">
      <c r="A390" s="14"/>
      <c r="B390" s="206"/>
      <c r="C390" s="6"/>
      <c r="D390" s="14"/>
      <c r="E390" s="185"/>
      <c r="F390" s="35"/>
      <c r="G390" s="185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</row>
    <row r="391" spans="1:28" ht="12.75">
      <c r="A391" s="14"/>
      <c r="B391" s="206"/>
      <c r="C391" s="6"/>
      <c r="D391" s="14"/>
      <c r="E391" s="185"/>
      <c r="F391" s="35"/>
      <c r="G391" s="185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</row>
    <row r="392" spans="1:28" ht="12.75">
      <c r="A392" s="14"/>
      <c r="B392" s="206"/>
      <c r="C392" s="6"/>
      <c r="D392" s="14"/>
      <c r="E392" s="185"/>
      <c r="F392" s="35"/>
      <c r="G392" s="185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</row>
    <row r="393" spans="1:28" ht="12.75">
      <c r="A393" s="14"/>
      <c r="B393" s="206"/>
      <c r="C393" s="6"/>
      <c r="D393" s="14"/>
      <c r="E393" s="185"/>
      <c r="F393" s="35"/>
      <c r="G393" s="185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</row>
    <row r="394" spans="1:28" ht="12.75">
      <c r="A394" s="14"/>
      <c r="B394" s="206"/>
      <c r="C394" s="6"/>
      <c r="D394" s="14"/>
      <c r="E394" s="185"/>
      <c r="F394" s="35"/>
      <c r="G394" s="185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</row>
    <row r="395" spans="1:28" ht="12.75">
      <c r="A395" s="14"/>
      <c r="B395" s="206"/>
      <c r="C395" s="6"/>
      <c r="D395" s="14"/>
      <c r="E395" s="185"/>
      <c r="F395" s="35"/>
      <c r="G395" s="185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</row>
    <row r="396" spans="1:28" ht="12.75">
      <c r="A396" s="14"/>
      <c r="B396" s="206"/>
      <c r="C396" s="6"/>
      <c r="D396" s="14"/>
      <c r="E396" s="185"/>
      <c r="F396" s="35"/>
      <c r="G396" s="185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</row>
    <row r="397" spans="1:28" ht="12.75">
      <c r="A397" s="14"/>
      <c r="B397" s="206"/>
      <c r="C397" s="6"/>
      <c r="D397" s="14"/>
      <c r="E397" s="185"/>
      <c r="F397" s="35"/>
      <c r="G397" s="185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</row>
    <row r="398" spans="1:28" ht="12.75">
      <c r="A398" s="14"/>
      <c r="B398" s="206"/>
      <c r="C398" s="6"/>
      <c r="D398" s="14"/>
      <c r="E398" s="185"/>
      <c r="F398" s="35"/>
      <c r="G398" s="185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</row>
    <row r="399" spans="1:28" ht="12.75">
      <c r="A399" s="14"/>
      <c r="B399" s="206"/>
      <c r="C399" s="6"/>
      <c r="D399" s="14"/>
      <c r="E399" s="185"/>
      <c r="F399" s="35"/>
      <c r="G399" s="185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</row>
    <row r="400" spans="1:28" ht="12.75">
      <c r="A400" s="14"/>
      <c r="B400" s="206"/>
      <c r="C400" s="6"/>
      <c r="D400" s="14"/>
      <c r="E400" s="185"/>
      <c r="F400" s="35"/>
      <c r="G400" s="185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</row>
    <row r="401" spans="1:28" ht="12.75">
      <c r="A401" s="14"/>
      <c r="B401" s="206"/>
      <c r="C401" s="6"/>
      <c r="D401" s="14"/>
      <c r="E401" s="185"/>
      <c r="F401" s="35"/>
      <c r="G401" s="185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</row>
    <row r="402" spans="1:28" ht="12.75">
      <c r="A402" s="14"/>
      <c r="B402" s="206"/>
      <c r="C402" s="6"/>
      <c r="D402" s="14"/>
      <c r="E402" s="185"/>
      <c r="F402" s="35"/>
      <c r="G402" s="185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</row>
    <row r="403" spans="1:28" ht="12.75">
      <c r="A403" s="14"/>
      <c r="B403" s="206"/>
      <c r="C403" s="6"/>
      <c r="D403" s="14"/>
      <c r="E403" s="185"/>
      <c r="F403" s="35"/>
      <c r="G403" s="185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</row>
    <row r="404" spans="1:28" ht="12.75">
      <c r="A404" s="14"/>
      <c r="B404" s="206"/>
      <c r="C404" s="6"/>
      <c r="D404" s="14"/>
      <c r="E404" s="185"/>
      <c r="F404" s="35"/>
      <c r="G404" s="185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</row>
    <row r="405" spans="1:28" ht="12.75">
      <c r="A405" s="14"/>
      <c r="B405" s="206"/>
      <c r="C405" s="6"/>
      <c r="D405" s="14"/>
      <c r="E405" s="185"/>
      <c r="F405" s="35"/>
      <c r="G405" s="185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</row>
    <row r="406" spans="1:28" ht="12.75">
      <c r="A406" s="14"/>
      <c r="B406" s="206"/>
      <c r="C406" s="6"/>
      <c r="D406" s="14"/>
      <c r="E406" s="185"/>
      <c r="F406" s="35"/>
      <c r="G406" s="185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</row>
    <row r="407" spans="1:28" ht="12.75">
      <c r="A407" s="14"/>
      <c r="B407" s="206"/>
      <c r="C407" s="6"/>
      <c r="D407" s="14"/>
      <c r="E407" s="185"/>
      <c r="F407" s="35"/>
      <c r="G407" s="185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</row>
    <row r="408" spans="1:28" ht="12.75">
      <c r="A408" s="14"/>
      <c r="B408" s="206"/>
      <c r="C408" s="6"/>
      <c r="D408" s="14"/>
      <c r="E408" s="185"/>
      <c r="F408" s="35"/>
      <c r="G408" s="185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</row>
    <row r="409" spans="1:28" ht="12.75">
      <c r="A409" s="14"/>
      <c r="B409" s="206"/>
      <c r="C409" s="6"/>
      <c r="D409" s="14"/>
      <c r="E409" s="185"/>
      <c r="F409" s="35"/>
      <c r="G409" s="185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</row>
    <row r="410" spans="1:28" ht="12.75">
      <c r="A410" s="14"/>
      <c r="B410" s="206"/>
      <c r="C410" s="6"/>
      <c r="D410" s="14"/>
      <c r="E410" s="185"/>
      <c r="F410" s="35"/>
      <c r="G410" s="185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 spans="1:28" ht="12.75">
      <c r="A411" s="14"/>
      <c r="B411" s="206"/>
      <c r="C411" s="6"/>
      <c r="D411" s="14"/>
      <c r="E411" s="185"/>
      <c r="F411" s="35"/>
      <c r="G411" s="185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</row>
    <row r="412" spans="1:28" ht="12.75">
      <c r="A412" s="14"/>
      <c r="B412" s="206"/>
      <c r="C412" s="6"/>
      <c r="D412" s="14"/>
      <c r="E412" s="185"/>
      <c r="F412" s="35"/>
      <c r="G412" s="185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</row>
    <row r="413" spans="1:28" ht="12.75">
      <c r="A413" s="14"/>
      <c r="B413" s="206"/>
      <c r="C413" s="6"/>
      <c r="D413" s="14"/>
      <c r="E413" s="185"/>
      <c r="F413" s="35"/>
      <c r="G413" s="185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</row>
    <row r="414" spans="1:28" ht="12.75">
      <c r="A414" s="14"/>
      <c r="B414" s="206"/>
      <c r="C414" s="6"/>
      <c r="D414" s="14"/>
      <c r="E414" s="185"/>
      <c r="F414" s="35"/>
      <c r="G414" s="185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</row>
    <row r="415" spans="1:28" ht="12.75">
      <c r="A415" s="14"/>
      <c r="B415" s="206"/>
      <c r="C415" s="6"/>
      <c r="D415" s="14"/>
      <c r="E415" s="185"/>
      <c r="F415" s="35"/>
      <c r="G415" s="185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</row>
    <row r="416" spans="1:28" ht="12.75">
      <c r="A416" s="14"/>
      <c r="B416" s="206"/>
      <c r="C416" s="6"/>
      <c r="D416" s="14"/>
      <c r="E416" s="185"/>
      <c r="F416" s="35"/>
      <c r="G416" s="185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</row>
    <row r="417" spans="1:28" ht="12.75">
      <c r="A417" s="14"/>
      <c r="B417" s="206"/>
      <c r="C417" s="6"/>
      <c r="D417" s="14"/>
      <c r="E417" s="185"/>
      <c r="F417" s="35"/>
      <c r="G417" s="185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</row>
    <row r="418" spans="1:28" ht="12.75">
      <c r="A418" s="14"/>
      <c r="B418" s="206"/>
      <c r="C418" s="6"/>
      <c r="D418" s="14"/>
      <c r="E418" s="185"/>
      <c r="F418" s="35"/>
      <c r="G418" s="185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</row>
    <row r="419" spans="1:28" ht="12.75">
      <c r="A419" s="14"/>
      <c r="B419" s="206"/>
      <c r="C419" s="6"/>
      <c r="D419" s="14"/>
      <c r="E419" s="185"/>
      <c r="F419" s="35"/>
      <c r="G419" s="185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</row>
    <row r="420" spans="1:28" ht="12.75">
      <c r="A420" s="14"/>
      <c r="B420" s="206"/>
      <c r="C420" s="6"/>
      <c r="D420" s="14"/>
      <c r="E420" s="185"/>
      <c r="F420" s="35"/>
      <c r="G420" s="185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</row>
    <row r="421" spans="1:28" ht="12.75">
      <c r="A421" s="14"/>
      <c r="B421" s="206"/>
      <c r="C421" s="6"/>
      <c r="D421" s="14"/>
      <c r="E421" s="185"/>
      <c r="F421" s="35"/>
      <c r="G421" s="185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 spans="1:28" ht="12.75">
      <c r="A422" s="14"/>
      <c r="B422" s="206"/>
      <c r="C422" s="6"/>
      <c r="D422" s="14"/>
      <c r="E422" s="185"/>
      <c r="F422" s="35"/>
      <c r="G422" s="185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</row>
    <row r="423" spans="1:28" ht="12.75">
      <c r="A423" s="14"/>
      <c r="B423" s="206"/>
      <c r="C423" s="6"/>
      <c r="D423" s="14"/>
      <c r="E423" s="185"/>
      <c r="F423" s="35"/>
      <c r="G423" s="185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</row>
    <row r="424" spans="1:28" ht="12.75">
      <c r="A424" s="14"/>
      <c r="B424" s="206"/>
      <c r="C424" s="6"/>
      <c r="D424" s="14"/>
      <c r="E424" s="185"/>
      <c r="F424" s="35"/>
      <c r="G424" s="185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</row>
    <row r="425" spans="1:28" ht="12.75">
      <c r="A425" s="14"/>
      <c r="B425" s="206"/>
      <c r="C425" s="6"/>
      <c r="D425" s="14"/>
      <c r="E425" s="185"/>
      <c r="F425" s="35"/>
      <c r="G425" s="185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</row>
    <row r="426" spans="1:28" ht="12.75">
      <c r="A426" s="14"/>
      <c r="B426" s="206"/>
      <c r="C426" s="6"/>
      <c r="D426" s="14"/>
      <c r="E426" s="185"/>
      <c r="F426" s="35"/>
      <c r="G426" s="185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</row>
    <row r="427" spans="1:28" ht="12.75">
      <c r="A427" s="14"/>
      <c r="B427" s="206"/>
      <c r="C427" s="6"/>
      <c r="D427" s="14"/>
      <c r="E427" s="185"/>
      <c r="F427" s="35"/>
      <c r="G427" s="185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</row>
    <row r="428" spans="1:28" ht="12.75">
      <c r="A428" s="14"/>
      <c r="B428" s="206"/>
      <c r="C428" s="6"/>
      <c r="D428" s="14"/>
      <c r="E428" s="185"/>
      <c r="F428" s="35"/>
      <c r="G428" s="185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</row>
    <row r="429" spans="1:28" ht="12.75">
      <c r="A429" s="14"/>
      <c r="B429" s="206"/>
      <c r="C429" s="6"/>
      <c r="D429" s="14"/>
      <c r="E429" s="185"/>
      <c r="F429" s="35"/>
      <c r="G429" s="185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</row>
    <row r="430" spans="1:28" ht="12.75">
      <c r="A430" s="14"/>
      <c r="B430" s="206"/>
      <c r="C430" s="6"/>
      <c r="D430" s="14"/>
      <c r="E430" s="185"/>
      <c r="F430" s="35"/>
      <c r="G430" s="185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</row>
    <row r="431" spans="1:28" ht="12.75">
      <c r="A431" s="14"/>
      <c r="B431" s="206"/>
      <c r="C431" s="6"/>
      <c r="D431" s="14"/>
      <c r="E431" s="185"/>
      <c r="F431" s="35"/>
      <c r="G431" s="185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</row>
    <row r="432" spans="1:28" ht="12.75">
      <c r="A432" s="14"/>
      <c r="B432" s="206"/>
      <c r="C432" s="6"/>
      <c r="D432" s="14"/>
      <c r="E432" s="185"/>
      <c r="F432" s="35"/>
      <c r="G432" s="185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</row>
    <row r="433" spans="1:28" ht="12.75">
      <c r="A433" s="14"/>
      <c r="B433" s="206"/>
      <c r="C433" s="6"/>
      <c r="D433" s="14"/>
      <c r="E433" s="185"/>
      <c r="F433" s="35"/>
      <c r="G433" s="185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</row>
    <row r="434" spans="1:28" ht="12.75">
      <c r="A434" s="14"/>
      <c r="B434" s="206"/>
      <c r="C434" s="6"/>
      <c r="D434" s="14"/>
      <c r="E434" s="185"/>
      <c r="F434" s="35"/>
      <c r="G434" s="185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</row>
    <row r="435" spans="1:28" ht="12.75">
      <c r="A435" s="14"/>
      <c r="B435" s="206"/>
      <c r="C435" s="6"/>
      <c r="D435" s="14"/>
      <c r="E435" s="185"/>
      <c r="F435" s="35"/>
      <c r="G435" s="185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</row>
    <row r="436" spans="1:28" ht="12.75">
      <c r="A436" s="14"/>
      <c r="B436" s="206"/>
      <c r="C436" s="6"/>
      <c r="D436" s="14"/>
      <c r="E436" s="185"/>
      <c r="F436" s="35"/>
      <c r="G436" s="185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</row>
    <row r="437" spans="1:28" ht="12.75">
      <c r="A437" s="14"/>
      <c r="B437" s="206"/>
      <c r="C437" s="6"/>
      <c r="D437" s="14"/>
      <c r="E437" s="185"/>
      <c r="F437" s="35"/>
      <c r="G437" s="185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</row>
    <row r="438" spans="1:28" ht="12.75">
      <c r="A438" s="14"/>
      <c r="B438" s="206"/>
      <c r="C438" s="6"/>
      <c r="D438" s="14"/>
      <c r="E438" s="185"/>
      <c r="F438" s="35"/>
      <c r="G438" s="185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</row>
    <row r="439" spans="1:28" ht="12.75">
      <c r="A439" s="14"/>
      <c r="B439" s="206"/>
      <c r="C439" s="6"/>
      <c r="D439" s="14"/>
      <c r="E439" s="185"/>
      <c r="F439" s="35"/>
      <c r="G439" s="185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</row>
    <row r="440" spans="1:28" ht="12.75">
      <c r="A440" s="14"/>
      <c r="B440" s="206"/>
      <c r="C440" s="6"/>
      <c r="D440" s="14"/>
      <c r="E440" s="185"/>
      <c r="F440" s="35"/>
      <c r="G440" s="185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</row>
    <row r="441" spans="1:28" ht="12.75">
      <c r="A441" s="14"/>
      <c r="B441" s="206"/>
      <c r="C441" s="6"/>
      <c r="D441" s="14"/>
      <c r="E441" s="185"/>
      <c r="F441" s="35"/>
      <c r="G441" s="185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</row>
    <row r="442" spans="1:28" ht="12.75">
      <c r="A442" s="14"/>
      <c r="B442" s="206"/>
      <c r="C442" s="6"/>
      <c r="D442" s="14"/>
      <c r="E442" s="185"/>
      <c r="F442" s="35"/>
      <c r="G442" s="185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</row>
    <row r="443" spans="1:28" ht="12.75">
      <c r="A443" s="14"/>
      <c r="B443" s="206"/>
      <c r="C443" s="6"/>
      <c r="D443" s="14"/>
      <c r="E443" s="185"/>
      <c r="F443" s="35"/>
      <c r="G443" s="185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</row>
    <row r="444" spans="1:28" ht="12.75">
      <c r="A444" s="14"/>
      <c r="B444" s="206"/>
      <c r="C444" s="6"/>
      <c r="D444" s="14"/>
      <c r="E444" s="185"/>
      <c r="F444" s="35"/>
      <c r="G444" s="185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</row>
    <row r="445" spans="1:28" ht="12.75">
      <c r="A445" s="14"/>
      <c r="B445" s="206"/>
      <c r="C445" s="6"/>
      <c r="D445" s="14"/>
      <c r="E445" s="185"/>
      <c r="F445" s="35"/>
      <c r="G445" s="185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</row>
    <row r="446" spans="1:28" ht="12.75">
      <c r="A446" s="14"/>
      <c r="B446" s="206"/>
      <c r="C446" s="6"/>
      <c r="D446" s="14"/>
      <c r="E446" s="185"/>
      <c r="F446" s="35"/>
      <c r="G446" s="185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</row>
    <row r="447" spans="1:28" ht="12.75">
      <c r="A447" s="14"/>
      <c r="B447" s="206"/>
      <c r="C447" s="6"/>
      <c r="D447" s="14"/>
      <c r="E447" s="185"/>
      <c r="F447" s="35"/>
      <c r="G447" s="185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</row>
    <row r="448" spans="1:28" ht="12.75">
      <c r="A448" s="14"/>
      <c r="B448" s="206"/>
      <c r="C448" s="6"/>
      <c r="D448" s="14"/>
      <c r="E448" s="185"/>
      <c r="F448" s="35"/>
      <c r="G448" s="185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</row>
    <row r="449" spans="1:28" ht="12.75">
      <c r="A449" s="14"/>
      <c r="B449" s="206"/>
      <c r="C449" s="6"/>
      <c r="D449" s="14"/>
      <c r="E449" s="185"/>
      <c r="F449" s="35"/>
      <c r="G449" s="185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</row>
    <row r="450" spans="1:28" ht="12.75">
      <c r="A450" s="14"/>
      <c r="B450" s="206"/>
      <c r="C450" s="6"/>
      <c r="D450" s="14"/>
      <c r="E450" s="185"/>
      <c r="F450" s="35"/>
      <c r="G450" s="185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</row>
    <row r="451" spans="1:28" ht="12.75">
      <c r="A451" s="14"/>
      <c r="B451" s="206"/>
      <c r="C451" s="6"/>
      <c r="D451" s="14"/>
      <c r="E451" s="185"/>
      <c r="F451" s="35"/>
      <c r="G451" s="185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</row>
    <row r="452" spans="1:28" ht="12.75">
      <c r="A452" s="14"/>
      <c r="B452" s="206"/>
      <c r="C452" s="6"/>
      <c r="D452" s="14"/>
      <c r="E452" s="185"/>
      <c r="F452" s="35"/>
      <c r="G452" s="185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</row>
    <row r="453" spans="1:28" ht="12.75">
      <c r="A453" s="14"/>
      <c r="B453" s="206"/>
      <c r="C453" s="6"/>
      <c r="D453" s="14"/>
      <c r="E453" s="185"/>
      <c r="F453" s="35"/>
      <c r="G453" s="185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</row>
    <row r="454" spans="1:28" ht="12.75">
      <c r="A454" s="14"/>
      <c r="B454" s="206"/>
      <c r="C454" s="6"/>
      <c r="D454" s="14"/>
      <c r="E454" s="185"/>
      <c r="F454" s="35"/>
      <c r="G454" s="185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</row>
    <row r="455" spans="1:28" ht="12.75">
      <c r="A455" s="14"/>
      <c r="B455" s="206"/>
      <c r="C455" s="6"/>
      <c r="D455" s="14"/>
      <c r="E455" s="185"/>
      <c r="F455" s="35"/>
      <c r="G455" s="185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</row>
    <row r="456" spans="1:28" ht="12.75">
      <c r="A456" s="14"/>
      <c r="B456" s="206"/>
      <c r="C456" s="6"/>
      <c r="D456" s="14"/>
      <c r="E456" s="185"/>
      <c r="F456" s="35"/>
      <c r="G456" s="185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</row>
    <row r="457" spans="1:28" ht="12.75">
      <c r="A457" s="14"/>
      <c r="B457" s="206"/>
      <c r="C457" s="6"/>
      <c r="D457" s="14"/>
      <c r="E457" s="185"/>
      <c r="F457" s="35"/>
      <c r="G457" s="185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</row>
    <row r="458" spans="1:28" ht="12.75">
      <c r="A458" s="14"/>
      <c r="B458" s="206"/>
      <c r="C458" s="6"/>
      <c r="D458" s="14"/>
      <c r="E458" s="185"/>
      <c r="F458" s="35"/>
      <c r="G458" s="185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</row>
    <row r="459" spans="1:28" ht="12.75">
      <c r="A459" s="14"/>
      <c r="B459" s="206"/>
      <c r="C459" s="6"/>
      <c r="D459" s="14"/>
      <c r="E459" s="185"/>
      <c r="F459" s="35"/>
      <c r="G459" s="185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</row>
    <row r="460" spans="1:28" ht="12.75">
      <c r="A460" s="14"/>
      <c r="B460" s="206"/>
      <c r="C460" s="6"/>
      <c r="D460" s="14"/>
      <c r="E460" s="185"/>
      <c r="F460" s="35"/>
      <c r="G460" s="185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</row>
    <row r="461" spans="1:28" ht="12.75">
      <c r="A461" s="14"/>
      <c r="B461" s="206"/>
      <c r="C461" s="6"/>
      <c r="D461" s="14"/>
      <c r="E461" s="185"/>
      <c r="F461" s="35"/>
      <c r="G461" s="185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</row>
    <row r="462" spans="1:28" ht="12.75">
      <c r="A462" s="14"/>
      <c r="B462" s="206"/>
      <c r="C462" s="6"/>
      <c r="D462" s="14"/>
      <c r="E462" s="185"/>
      <c r="F462" s="35"/>
      <c r="G462" s="185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</row>
    <row r="463" spans="1:28" ht="12.75">
      <c r="A463" s="14"/>
      <c r="B463" s="206"/>
      <c r="C463" s="6"/>
      <c r="D463" s="14"/>
      <c r="E463" s="185"/>
      <c r="F463" s="35"/>
      <c r="G463" s="185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</row>
    <row r="464" spans="1:28" ht="12.75">
      <c r="A464" s="14"/>
      <c r="B464" s="206"/>
      <c r="C464" s="6"/>
      <c r="D464" s="14"/>
      <c r="E464" s="185"/>
      <c r="F464" s="35"/>
      <c r="G464" s="185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</row>
    <row r="465" spans="1:28" ht="12.75">
      <c r="A465" s="14"/>
      <c r="B465" s="206"/>
      <c r="C465" s="6"/>
      <c r="D465" s="14"/>
      <c r="E465" s="185"/>
      <c r="F465" s="35"/>
      <c r="G465" s="185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</row>
    <row r="466" spans="1:28" ht="12.75">
      <c r="A466" s="14"/>
      <c r="B466" s="206"/>
      <c r="C466" s="6"/>
      <c r="D466" s="14"/>
      <c r="E466" s="185"/>
      <c r="F466" s="35"/>
      <c r="G466" s="185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</row>
    <row r="467" spans="1:28" ht="12.75">
      <c r="A467" s="14"/>
      <c r="B467" s="206"/>
      <c r="C467" s="6"/>
      <c r="D467" s="14"/>
      <c r="E467" s="185"/>
      <c r="F467" s="35"/>
      <c r="G467" s="185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</row>
    <row r="468" spans="1:28" ht="12.75">
      <c r="A468" s="14"/>
      <c r="B468" s="206"/>
      <c r="C468" s="6"/>
      <c r="D468" s="14"/>
      <c r="E468" s="185"/>
      <c r="F468" s="35"/>
      <c r="G468" s="185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</row>
    <row r="469" spans="1:28" ht="12.75">
      <c r="A469" s="14"/>
      <c r="B469" s="206"/>
      <c r="C469" s="6"/>
      <c r="D469" s="14"/>
      <c r="E469" s="185"/>
      <c r="F469" s="35"/>
      <c r="G469" s="185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</row>
    <row r="470" spans="1:28" ht="12.75">
      <c r="A470" s="14"/>
      <c r="B470" s="206"/>
      <c r="C470" s="6"/>
      <c r="D470" s="14"/>
      <c r="E470" s="185"/>
      <c r="F470" s="35"/>
      <c r="G470" s="185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 spans="1:28" ht="12.75">
      <c r="A471" s="14"/>
      <c r="B471" s="206"/>
      <c r="C471" s="6"/>
      <c r="D471" s="14"/>
      <c r="E471" s="185"/>
      <c r="F471" s="35"/>
      <c r="G471" s="185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</row>
    <row r="472" spans="1:28" ht="12.75">
      <c r="A472" s="14"/>
      <c r="B472" s="206"/>
      <c r="C472" s="6"/>
      <c r="D472" s="14"/>
      <c r="E472" s="185"/>
      <c r="F472" s="35"/>
      <c r="G472" s="185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</row>
    <row r="473" spans="1:28" ht="12.75">
      <c r="A473" s="14"/>
      <c r="B473" s="206"/>
      <c r="C473" s="6"/>
      <c r="D473" s="14"/>
      <c r="E473" s="185"/>
      <c r="F473" s="35"/>
      <c r="G473" s="185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</row>
    <row r="474" spans="1:28" ht="12.75">
      <c r="A474" s="14"/>
      <c r="B474" s="206"/>
      <c r="C474" s="6"/>
      <c r="D474" s="14"/>
      <c r="E474" s="185"/>
      <c r="F474" s="35"/>
      <c r="G474" s="185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</row>
    <row r="475" spans="1:28" ht="12.75">
      <c r="A475" s="14"/>
      <c r="B475" s="206"/>
      <c r="C475" s="6"/>
      <c r="D475" s="14"/>
      <c r="E475" s="185"/>
      <c r="F475" s="35"/>
      <c r="G475" s="185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</row>
    <row r="476" spans="1:28" ht="12.75">
      <c r="A476" s="14"/>
      <c r="B476" s="206"/>
      <c r="C476" s="6"/>
      <c r="D476" s="14"/>
      <c r="E476" s="185"/>
      <c r="F476" s="35"/>
      <c r="G476" s="185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</row>
    <row r="477" spans="1:28" ht="12.75">
      <c r="A477" s="14"/>
      <c r="B477" s="206"/>
      <c r="C477" s="6"/>
      <c r="D477" s="14"/>
      <c r="E477" s="185"/>
      <c r="F477" s="35"/>
      <c r="G477" s="185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</row>
    <row r="478" spans="1:28" ht="12.75">
      <c r="A478" s="14"/>
      <c r="B478" s="206"/>
      <c r="C478" s="6"/>
      <c r="D478" s="14"/>
      <c r="E478" s="185"/>
      <c r="F478" s="35"/>
      <c r="G478" s="185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</row>
    <row r="479" spans="1:28" ht="12.75">
      <c r="A479" s="14"/>
      <c r="B479" s="206"/>
      <c r="C479" s="6"/>
      <c r="D479" s="14"/>
      <c r="E479" s="185"/>
      <c r="F479" s="35"/>
      <c r="G479" s="185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</row>
    <row r="480" spans="1:28" ht="12.75">
      <c r="A480" s="14"/>
      <c r="B480" s="206"/>
      <c r="C480" s="6"/>
      <c r="D480" s="14"/>
      <c r="E480" s="185"/>
      <c r="F480" s="35"/>
      <c r="G480" s="185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</row>
    <row r="481" spans="1:28" ht="12.75">
      <c r="A481" s="14"/>
      <c r="B481" s="206"/>
      <c r="C481" s="6"/>
      <c r="D481" s="14"/>
      <c r="E481" s="185"/>
      <c r="F481" s="35"/>
      <c r="G481" s="185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</row>
    <row r="482" spans="1:28" ht="12.75">
      <c r="A482" s="14"/>
      <c r="B482" s="206"/>
      <c r="C482" s="6"/>
      <c r="D482" s="14"/>
      <c r="E482" s="185"/>
      <c r="F482" s="35"/>
      <c r="G482" s="185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</row>
    <row r="483" spans="1:28" ht="12.75">
      <c r="A483" s="14"/>
      <c r="B483" s="206"/>
      <c r="C483" s="6"/>
      <c r="D483" s="14"/>
      <c r="E483" s="185"/>
      <c r="F483" s="35"/>
      <c r="G483" s="185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</row>
    <row r="484" spans="1:28" ht="12.75">
      <c r="A484" s="14"/>
      <c r="B484" s="206"/>
      <c r="C484" s="6"/>
      <c r="D484" s="14"/>
      <c r="E484" s="185"/>
      <c r="F484" s="35"/>
      <c r="G484" s="185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</row>
    <row r="485" spans="1:28" ht="12.75">
      <c r="A485" s="14"/>
      <c r="B485" s="206"/>
      <c r="C485" s="6"/>
      <c r="D485" s="14"/>
      <c r="E485" s="185"/>
      <c r="F485" s="35"/>
      <c r="G485" s="185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</row>
    <row r="486" spans="1:28" ht="12.75">
      <c r="A486" s="14"/>
      <c r="B486" s="206"/>
      <c r="C486" s="6"/>
      <c r="D486" s="14"/>
      <c r="E486" s="185"/>
      <c r="F486" s="35"/>
      <c r="G486" s="185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</row>
    <row r="487" spans="1:28" ht="12.75">
      <c r="A487" s="14"/>
      <c r="B487" s="206"/>
      <c r="C487" s="6"/>
      <c r="D487" s="14"/>
      <c r="E487" s="185"/>
      <c r="F487" s="35"/>
      <c r="G487" s="185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</row>
    <row r="488" spans="1:28" ht="12.75">
      <c r="A488" s="14"/>
      <c r="B488" s="206"/>
      <c r="C488" s="6"/>
      <c r="D488" s="14"/>
      <c r="E488" s="185"/>
      <c r="F488" s="35"/>
      <c r="G488" s="185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</row>
    <row r="489" spans="1:28" ht="12.75">
      <c r="A489" s="14"/>
      <c r="B489" s="206"/>
      <c r="C489" s="6"/>
      <c r="D489" s="14"/>
      <c r="E489" s="185"/>
      <c r="F489" s="35"/>
      <c r="G489" s="185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</row>
    <row r="490" spans="1:28" ht="12.75">
      <c r="A490" s="14"/>
      <c r="B490" s="206"/>
      <c r="C490" s="6"/>
      <c r="D490" s="14"/>
      <c r="E490" s="185"/>
      <c r="F490" s="35"/>
      <c r="G490" s="185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</row>
    <row r="491" spans="1:28" ht="12.75">
      <c r="A491" s="14"/>
      <c r="B491" s="206"/>
      <c r="C491" s="6"/>
      <c r="D491" s="14"/>
      <c r="E491" s="185"/>
      <c r="F491" s="35"/>
      <c r="G491" s="185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</row>
    <row r="492" spans="1:28" ht="12.75">
      <c r="A492" s="14"/>
      <c r="B492" s="206"/>
      <c r="C492" s="6"/>
      <c r="D492" s="14"/>
      <c r="E492" s="185"/>
      <c r="F492" s="35"/>
      <c r="G492" s="185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 spans="1:28" ht="12.75">
      <c r="A493" s="14"/>
      <c r="B493" s="206"/>
      <c r="C493" s="6"/>
      <c r="D493" s="14"/>
      <c r="E493" s="185"/>
      <c r="F493" s="35"/>
      <c r="G493" s="185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</row>
    <row r="494" spans="1:28" ht="12.75">
      <c r="A494" s="14"/>
      <c r="B494" s="206"/>
      <c r="C494" s="6"/>
      <c r="D494" s="14"/>
      <c r="E494" s="185"/>
      <c r="F494" s="35"/>
      <c r="G494" s="185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</row>
    <row r="495" spans="1:28" ht="12.75">
      <c r="A495" s="14"/>
      <c r="B495" s="206"/>
      <c r="C495" s="6"/>
      <c r="D495" s="14"/>
      <c r="E495" s="185"/>
      <c r="F495" s="35"/>
      <c r="G495" s="185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</row>
    <row r="496" spans="1:28" ht="12.75">
      <c r="A496" s="14"/>
      <c r="B496" s="206"/>
      <c r="C496" s="6"/>
      <c r="D496" s="14"/>
      <c r="E496" s="185"/>
      <c r="F496" s="35"/>
      <c r="G496" s="185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</row>
    <row r="497" spans="1:28" ht="12.75">
      <c r="A497" s="14"/>
      <c r="B497" s="206"/>
      <c r="C497" s="6"/>
      <c r="D497" s="14"/>
      <c r="E497" s="185"/>
      <c r="F497" s="35"/>
      <c r="G497" s="185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</row>
    <row r="498" spans="1:28" ht="12.75">
      <c r="A498" s="14"/>
      <c r="B498" s="206"/>
      <c r="C498" s="6"/>
      <c r="D498" s="14"/>
      <c r="E498" s="185"/>
      <c r="F498" s="35"/>
      <c r="G498" s="185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</row>
    <row r="499" spans="1:28" ht="12.75">
      <c r="A499" s="14"/>
      <c r="B499" s="206"/>
      <c r="C499" s="6"/>
      <c r="D499" s="14"/>
      <c r="E499" s="185"/>
      <c r="F499" s="35"/>
      <c r="G499" s="185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</row>
    <row r="500" spans="1:28" ht="12.75">
      <c r="A500" s="14"/>
      <c r="B500" s="206"/>
      <c r="C500" s="6"/>
      <c r="D500" s="14"/>
      <c r="E500" s="185"/>
      <c r="F500" s="35"/>
      <c r="G500" s="185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</row>
    <row r="501" spans="1:28" ht="12.75">
      <c r="A501" s="14"/>
      <c r="B501" s="206"/>
      <c r="C501" s="6"/>
      <c r="D501" s="14"/>
      <c r="E501" s="185"/>
      <c r="F501" s="35"/>
      <c r="G501" s="185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</row>
    <row r="502" spans="1:28" ht="12.75">
      <c r="A502" s="14"/>
      <c r="B502" s="206"/>
      <c r="C502" s="6"/>
      <c r="D502" s="14"/>
      <c r="E502" s="185"/>
      <c r="F502" s="35"/>
      <c r="G502" s="185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</row>
    <row r="503" spans="1:28" ht="12.75">
      <c r="A503" s="14"/>
      <c r="B503" s="206"/>
      <c r="C503" s="6"/>
      <c r="D503" s="14"/>
      <c r="E503" s="185"/>
      <c r="F503" s="35"/>
      <c r="G503" s="185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</row>
    <row r="504" spans="1:28" ht="12.75">
      <c r="A504" s="14"/>
      <c r="B504" s="206"/>
      <c r="C504" s="6"/>
      <c r="D504" s="14"/>
      <c r="E504" s="185"/>
      <c r="F504" s="35"/>
      <c r="G504" s="185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</row>
    <row r="505" spans="1:28" ht="12.75">
      <c r="A505" s="14"/>
      <c r="B505" s="206"/>
      <c r="C505" s="6"/>
      <c r="D505" s="14"/>
      <c r="E505" s="185"/>
      <c r="F505" s="35"/>
      <c r="G505" s="185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</row>
    <row r="506" spans="1:28" ht="12.75">
      <c r="A506" s="14"/>
      <c r="B506" s="206"/>
      <c r="C506" s="6"/>
      <c r="D506" s="14"/>
      <c r="E506" s="185"/>
      <c r="F506" s="35"/>
      <c r="G506" s="185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</row>
    <row r="507" spans="1:28" ht="12.75">
      <c r="A507" s="14"/>
      <c r="B507" s="206"/>
      <c r="C507" s="6"/>
      <c r="D507" s="14"/>
      <c r="E507" s="185"/>
      <c r="F507" s="35"/>
      <c r="G507" s="185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</row>
    <row r="508" spans="1:28" ht="12.75">
      <c r="A508" s="14"/>
      <c r="B508" s="206"/>
      <c r="C508" s="6"/>
      <c r="D508" s="14"/>
      <c r="E508" s="185"/>
      <c r="F508" s="35"/>
      <c r="G508" s="185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</row>
    <row r="509" spans="1:28" ht="12.75">
      <c r="A509" s="14"/>
      <c r="B509" s="206"/>
      <c r="C509" s="6"/>
      <c r="D509" s="14"/>
      <c r="E509" s="185"/>
      <c r="F509" s="35"/>
      <c r="G509" s="185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</row>
    <row r="510" spans="1:28" ht="12.75">
      <c r="A510" s="14"/>
      <c r="B510" s="206"/>
      <c r="C510" s="6"/>
      <c r="D510" s="14"/>
      <c r="E510" s="185"/>
      <c r="F510" s="35"/>
      <c r="G510" s="185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</row>
    <row r="511" spans="1:28" ht="12.75">
      <c r="A511" s="14"/>
      <c r="B511" s="206"/>
      <c r="C511" s="6"/>
      <c r="D511" s="14"/>
      <c r="E511" s="185"/>
      <c r="F511" s="35"/>
      <c r="G511" s="185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</row>
    <row r="512" spans="1:28" ht="12.75">
      <c r="A512" s="14"/>
      <c r="B512" s="206"/>
      <c r="C512" s="6"/>
      <c r="D512" s="14"/>
      <c r="E512" s="185"/>
      <c r="F512" s="35"/>
      <c r="G512" s="185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</row>
    <row r="513" spans="1:28" ht="12.75">
      <c r="A513" s="14"/>
      <c r="B513" s="206"/>
      <c r="C513" s="6"/>
      <c r="D513" s="14"/>
      <c r="E513" s="185"/>
      <c r="F513" s="35"/>
      <c r="G513" s="185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</row>
    <row r="514" spans="1:28" ht="12.75">
      <c r="A514" s="14"/>
      <c r="B514" s="206"/>
      <c r="C514" s="6"/>
      <c r="D514" s="14"/>
      <c r="E514" s="185"/>
      <c r="F514" s="35"/>
      <c r="G514" s="185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</row>
    <row r="515" spans="1:28" ht="12.75">
      <c r="A515" s="14"/>
      <c r="B515" s="206"/>
      <c r="C515" s="6"/>
      <c r="D515" s="14"/>
      <c r="E515" s="185"/>
      <c r="F515" s="35"/>
      <c r="G515" s="185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</row>
    <row r="516" spans="1:28" ht="12.75">
      <c r="A516" s="14"/>
      <c r="B516" s="206"/>
      <c r="C516" s="6"/>
      <c r="D516" s="14"/>
      <c r="E516" s="185"/>
      <c r="F516" s="35"/>
      <c r="G516" s="185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</row>
    <row r="517" spans="1:28" ht="12.75">
      <c r="A517" s="14"/>
      <c r="B517" s="206"/>
      <c r="C517" s="6"/>
      <c r="D517" s="14"/>
      <c r="E517" s="185"/>
      <c r="F517" s="35"/>
      <c r="G517" s="185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</row>
    <row r="518" spans="1:28" ht="12.75">
      <c r="A518" s="14"/>
      <c r="B518" s="206"/>
      <c r="C518" s="6"/>
      <c r="D518" s="14"/>
      <c r="E518" s="185"/>
      <c r="F518" s="35"/>
      <c r="G518" s="185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</row>
    <row r="519" spans="1:28" ht="12.75">
      <c r="A519" s="14"/>
      <c r="B519" s="206"/>
      <c r="C519" s="6"/>
      <c r="D519" s="14"/>
      <c r="E519" s="185"/>
      <c r="F519" s="35"/>
      <c r="G519" s="185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</row>
    <row r="520" spans="1:28" ht="12.75">
      <c r="A520" s="14"/>
      <c r="B520" s="206"/>
      <c r="C520" s="6"/>
      <c r="D520" s="14"/>
      <c r="E520" s="185"/>
      <c r="F520" s="35"/>
      <c r="G520" s="185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</row>
    <row r="521" spans="1:28" ht="12.75">
      <c r="A521" s="14"/>
      <c r="B521" s="206"/>
      <c r="C521" s="6"/>
      <c r="D521" s="14"/>
      <c r="E521" s="185"/>
      <c r="F521" s="35"/>
      <c r="G521" s="185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</row>
    <row r="522" spans="1:28" ht="12.75">
      <c r="A522" s="14"/>
      <c r="B522" s="206"/>
      <c r="C522" s="6"/>
      <c r="D522" s="14"/>
      <c r="E522" s="185"/>
      <c r="F522" s="35"/>
      <c r="G522" s="185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</row>
    <row r="523" spans="1:28" ht="12.75">
      <c r="A523" s="14"/>
      <c r="B523" s="206"/>
      <c r="C523" s="6"/>
      <c r="D523" s="14"/>
      <c r="E523" s="185"/>
      <c r="F523" s="35"/>
      <c r="G523" s="185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</row>
    <row r="524" spans="1:28" ht="12.75">
      <c r="A524" s="14"/>
      <c r="B524" s="206"/>
      <c r="C524" s="6"/>
      <c r="D524" s="14"/>
      <c r="E524" s="185"/>
      <c r="F524" s="35"/>
      <c r="G524" s="185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</row>
    <row r="525" spans="1:28" ht="12.75">
      <c r="A525" s="14"/>
      <c r="B525" s="206"/>
      <c r="C525" s="6"/>
      <c r="D525" s="14"/>
      <c r="E525" s="185"/>
      <c r="F525" s="35"/>
      <c r="G525" s="185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</row>
    <row r="526" spans="1:28" ht="12.75">
      <c r="A526" s="14"/>
      <c r="B526" s="206"/>
      <c r="C526" s="6"/>
      <c r="D526" s="14"/>
      <c r="E526" s="185"/>
      <c r="F526" s="35"/>
      <c r="G526" s="185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</row>
    <row r="527" spans="1:28" ht="12.75">
      <c r="A527" s="14"/>
      <c r="B527" s="206"/>
      <c r="C527" s="6"/>
      <c r="D527" s="14"/>
      <c r="E527" s="185"/>
      <c r="F527" s="35"/>
      <c r="G527" s="185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</row>
    <row r="528" spans="1:28" ht="12.75">
      <c r="A528" s="14"/>
      <c r="B528" s="206"/>
      <c r="C528" s="6"/>
      <c r="D528" s="14"/>
      <c r="E528" s="185"/>
      <c r="F528" s="35"/>
      <c r="G528" s="185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</row>
    <row r="529" spans="1:28" ht="12.75">
      <c r="A529" s="14"/>
      <c r="B529" s="206"/>
      <c r="C529" s="6"/>
      <c r="D529" s="14"/>
      <c r="E529" s="185"/>
      <c r="F529" s="35"/>
      <c r="G529" s="185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</row>
    <row r="530" spans="1:28" ht="12.75">
      <c r="A530" s="14"/>
      <c r="B530" s="206"/>
      <c r="C530" s="6"/>
      <c r="D530" s="14"/>
      <c r="E530" s="185"/>
      <c r="F530" s="35"/>
      <c r="G530" s="185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</row>
    <row r="531" spans="1:28" ht="12.75">
      <c r="A531" s="14"/>
      <c r="B531" s="206"/>
      <c r="C531" s="6"/>
      <c r="D531" s="14"/>
      <c r="E531" s="185"/>
      <c r="F531" s="35"/>
      <c r="G531" s="185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</row>
    <row r="532" spans="1:28" ht="12.75">
      <c r="A532" s="14"/>
      <c r="B532" s="206"/>
      <c r="C532" s="6"/>
      <c r="D532" s="14"/>
      <c r="E532" s="185"/>
      <c r="F532" s="35"/>
      <c r="G532" s="185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</row>
    <row r="533" spans="1:28" ht="12.75">
      <c r="A533" s="14"/>
      <c r="B533" s="206"/>
      <c r="C533" s="6"/>
      <c r="D533" s="14"/>
      <c r="E533" s="185"/>
      <c r="F533" s="35"/>
      <c r="G533" s="185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</row>
    <row r="534" spans="1:28" ht="12.75">
      <c r="A534" s="14"/>
      <c r="B534" s="206"/>
      <c r="C534" s="6"/>
      <c r="D534" s="14"/>
      <c r="E534" s="185"/>
      <c r="F534" s="35"/>
      <c r="G534" s="185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</row>
    <row r="535" spans="1:28" ht="12.75">
      <c r="A535" s="14"/>
      <c r="B535" s="206"/>
      <c r="C535" s="6"/>
      <c r="D535" s="14"/>
      <c r="E535" s="185"/>
      <c r="F535" s="35"/>
      <c r="G535" s="185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</row>
    <row r="536" spans="1:28" ht="12.75">
      <c r="A536" s="14"/>
      <c r="B536" s="206"/>
      <c r="C536" s="6"/>
      <c r="D536" s="14"/>
      <c r="E536" s="185"/>
      <c r="F536" s="35"/>
      <c r="G536" s="185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</row>
    <row r="537" spans="1:28" ht="12.75">
      <c r="A537" s="14"/>
      <c r="B537" s="206"/>
      <c r="C537" s="6"/>
      <c r="D537" s="14"/>
      <c r="E537" s="185"/>
      <c r="F537" s="35"/>
      <c r="G537" s="185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</row>
    <row r="538" spans="1:28" ht="12.75">
      <c r="A538" s="14"/>
      <c r="B538" s="206"/>
      <c r="C538" s="6"/>
      <c r="D538" s="14"/>
      <c r="E538" s="185"/>
      <c r="F538" s="35"/>
      <c r="G538" s="185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</row>
    <row r="539" spans="1:28" ht="12.75">
      <c r="A539" s="14"/>
      <c r="B539" s="206"/>
      <c r="C539" s="6"/>
      <c r="D539" s="14"/>
      <c r="E539" s="185"/>
      <c r="F539" s="35"/>
      <c r="G539" s="185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</row>
    <row r="540" spans="1:28" ht="12.75">
      <c r="A540" s="14"/>
      <c r="B540" s="206"/>
      <c r="C540" s="6"/>
      <c r="D540" s="14"/>
      <c r="E540" s="185"/>
      <c r="F540" s="35"/>
      <c r="G540" s="185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</row>
    <row r="541" spans="1:28" ht="12.75">
      <c r="A541" s="14"/>
      <c r="B541" s="206"/>
      <c r="C541" s="6"/>
      <c r="D541" s="14"/>
      <c r="E541" s="185"/>
      <c r="F541" s="35"/>
      <c r="G541" s="185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</row>
    <row r="542" spans="1:28" ht="12.75">
      <c r="A542" s="14"/>
      <c r="B542" s="206"/>
      <c r="C542" s="6"/>
      <c r="D542" s="14"/>
      <c r="E542" s="185"/>
      <c r="F542" s="35"/>
      <c r="G542" s="185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</row>
    <row r="543" spans="1:28" ht="12.75">
      <c r="A543" s="14"/>
      <c r="B543" s="206"/>
      <c r="C543" s="6"/>
      <c r="D543" s="14"/>
      <c r="E543" s="185"/>
      <c r="F543" s="35"/>
      <c r="G543" s="185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</row>
    <row r="544" spans="1:28" ht="12.75">
      <c r="A544" s="14"/>
      <c r="B544" s="206"/>
      <c r="C544" s="6"/>
      <c r="D544" s="14"/>
      <c r="E544" s="185"/>
      <c r="F544" s="35"/>
      <c r="G544" s="185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</row>
    <row r="545" spans="1:28" ht="12.75">
      <c r="A545" s="14"/>
      <c r="B545" s="206"/>
      <c r="C545" s="6"/>
      <c r="D545" s="14"/>
      <c r="E545" s="185"/>
      <c r="F545" s="35"/>
      <c r="G545" s="185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</row>
    <row r="546" spans="1:28" ht="12.75">
      <c r="A546" s="14"/>
      <c r="B546" s="206"/>
      <c r="C546" s="6"/>
      <c r="D546" s="14"/>
      <c r="E546" s="185"/>
      <c r="F546" s="35"/>
      <c r="G546" s="185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 spans="1:28" ht="12.75">
      <c r="A547" s="14"/>
      <c r="B547" s="206"/>
      <c r="C547" s="6"/>
      <c r="D547" s="14"/>
      <c r="E547" s="185"/>
      <c r="F547" s="35"/>
      <c r="G547" s="185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</row>
    <row r="548" spans="1:28" ht="12.75">
      <c r="A548" s="14"/>
      <c r="B548" s="206"/>
      <c r="C548" s="6"/>
      <c r="D548" s="14"/>
      <c r="E548" s="185"/>
      <c r="F548" s="35"/>
      <c r="G548" s="185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</row>
    <row r="549" spans="1:28" ht="12.75">
      <c r="A549" s="14"/>
      <c r="B549" s="206"/>
      <c r="C549" s="6"/>
      <c r="D549" s="14"/>
      <c r="E549" s="185"/>
      <c r="F549" s="35"/>
      <c r="G549" s="185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</row>
    <row r="550" spans="1:28" ht="12.75">
      <c r="A550" s="14"/>
      <c r="B550" s="206"/>
      <c r="C550" s="6"/>
      <c r="D550" s="14"/>
      <c r="E550" s="185"/>
      <c r="F550" s="35"/>
      <c r="G550" s="185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</row>
    <row r="551" spans="1:28" ht="12.75">
      <c r="A551" s="14"/>
      <c r="B551" s="206"/>
      <c r="C551" s="6"/>
      <c r="D551" s="14"/>
      <c r="E551" s="185"/>
      <c r="F551" s="35"/>
      <c r="G551" s="185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</row>
    <row r="552" spans="1:28" ht="12.75">
      <c r="A552" s="14"/>
      <c r="B552" s="206"/>
      <c r="C552" s="6"/>
      <c r="D552" s="14"/>
      <c r="E552" s="185"/>
      <c r="F552" s="35"/>
      <c r="G552" s="185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</row>
    <row r="553" spans="1:28" ht="12.75">
      <c r="A553" s="14"/>
      <c r="B553" s="206"/>
      <c r="C553" s="6"/>
      <c r="D553" s="14"/>
      <c r="E553" s="185"/>
      <c r="F553" s="35"/>
      <c r="G553" s="185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</row>
    <row r="554" spans="1:28" ht="12.75">
      <c r="A554" s="14"/>
      <c r="B554" s="206"/>
      <c r="C554" s="6"/>
      <c r="D554" s="14"/>
      <c r="E554" s="185"/>
      <c r="F554" s="35"/>
      <c r="G554" s="185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</row>
    <row r="555" spans="1:28" ht="12.75">
      <c r="A555" s="14"/>
      <c r="B555" s="206"/>
      <c r="C555" s="6"/>
      <c r="D555" s="14"/>
      <c r="E555" s="185"/>
      <c r="F555" s="35"/>
      <c r="G555" s="185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</row>
    <row r="556" spans="1:28" ht="12.75">
      <c r="A556" s="14"/>
      <c r="B556" s="206"/>
      <c r="C556" s="6"/>
      <c r="D556" s="14"/>
      <c r="E556" s="185"/>
      <c r="F556" s="35"/>
      <c r="G556" s="185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</row>
    <row r="557" spans="1:28" ht="12.75">
      <c r="A557" s="14"/>
      <c r="B557" s="206"/>
      <c r="C557" s="6"/>
      <c r="D557" s="14"/>
      <c r="E557" s="185"/>
      <c r="F557" s="35"/>
      <c r="G557" s="185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</row>
    <row r="558" spans="1:28" ht="12.75">
      <c r="A558" s="14"/>
      <c r="B558" s="206"/>
      <c r="C558" s="6"/>
      <c r="D558" s="14"/>
      <c r="E558" s="185"/>
      <c r="F558" s="35"/>
      <c r="G558" s="185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</row>
    <row r="559" spans="1:28" ht="12.75">
      <c r="A559" s="14"/>
      <c r="B559" s="206"/>
      <c r="C559" s="6"/>
      <c r="D559" s="14"/>
      <c r="E559" s="185"/>
      <c r="F559" s="35"/>
      <c r="G559" s="185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</row>
    <row r="560" spans="1:28" ht="12.75">
      <c r="A560" s="14"/>
      <c r="B560" s="206"/>
      <c r="C560" s="6"/>
      <c r="D560" s="14"/>
      <c r="E560" s="185"/>
      <c r="F560" s="35"/>
      <c r="G560" s="185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</row>
    <row r="561" spans="1:28" ht="12.75">
      <c r="A561" s="14"/>
      <c r="B561" s="206"/>
      <c r="C561" s="6"/>
      <c r="D561" s="14"/>
      <c r="E561" s="185"/>
      <c r="F561" s="35"/>
      <c r="G561" s="185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</row>
    <row r="562" spans="1:28" ht="12.75">
      <c r="A562" s="14"/>
      <c r="B562" s="206"/>
      <c r="C562" s="6"/>
      <c r="D562" s="14"/>
      <c r="E562" s="185"/>
      <c r="F562" s="35"/>
      <c r="G562" s="185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</row>
    <row r="563" spans="1:28" ht="12.75">
      <c r="A563" s="14"/>
      <c r="B563" s="206"/>
      <c r="C563" s="6"/>
      <c r="D563" s="14"/>
      <c r="E563" s="185"/>
      <c r="F563" s="35"/>
      <c r="G563" s="185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</row>
    <row r="564" spans="1:28" ht="12.75">
      <c r="A564" s="14"/>
      <c r="B564" s="206"/>
      <c r="C564" s="6"/>
      <c r="D564" s="14"/>
      <c r="E564" s="185"/>
      <c r="F564" s="35"/>
      <c r="G564" s="185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</row>
    <row r="565" spans="1:28" ht="12.75">
      <c r="A565" s="14"/>
      <c r="B565" s="206"/>
      <c r="C565" s="6"/>
      <c r="D565" s="14"/>
      <c r="E565" s="185"/>
      <c r="F565" s="35"/>
      <c r="G565" s="185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</row>
    <row r="566" spans="1:28" ht="12.75">
      <c r="A566" s="14"/>
      <c r="B566" s="206"/>
      <c r="C566" s="6"/>
      <c r="D566" s="14"/>
      <c r="E566" s="185"/>
      <c r="F566" s="35"/>
      <c r="G566" s="185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</row>
    <row r="567" spans="1:28" ht="12.75">
      <c r="A567" s="14"/>
      <c r="B567" s="206"/>
      <c r="C567" s="6"/>
      <c r="D567" s="14"/>
      <c r="E567" s="185"/>
      <c r="F567" s="35"/>
      <c r="G567" s="185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</row>
    <row r="568" spans="1:28" ht="12.75">
      <c r="A568" s="14"/>
      <c r="B568" s="206"/>
      <c r="C568" s="6"/>
      <c r="D568" s="14"/>
      <c r="E568" s="185"/>
      <c r="F568" s="35"/>
      <c r="G568" s="185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</row>
    <row r="569" spans="1:28" ht="12.75">
      <c r="A569" s="14"/>
      <c r="B569" s="206"/>
      <c r="C569" s="6"/>
      <c r="D569" s="14"/>
      <c r="E569" s="185"/>
      <c r="F569" s="35"/>
      <c r="G569" s="185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</row>
    <row r="570" spans="1:28" ht="12.75">
      <c r="A570" s="14"/>
      <c r="B570" s="206"/>
      <c r="C570" s="6"/>
      <c r="D570" s="14"/>
      <c r="E570" s="185"/>
      <c r="F570" s="35"/>
      <c r="G570" s="185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 spans="1:28" ht="12.75">
      <c r="A571" s="14"/>
      <c r="B571" s="206"/>
      <c r="C571" s="6"/>
      <c r="D571" s="14"/>
      <c r="E571" s="185"/>
      <c r="F571" s="35"/>
      <c r="G571" s="185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</row>
    <row r="572" spans="1:28" ht="12.75">
      <c r="A572" s="14"/>
      <c r="B572" s="206"/>
      <c r="C572" s="6"/>
      <c r="D572" s="14"/>
      <c r="E572" s="185"/>
      <c r="F572" s="35"/>
      <c r="G572" s="185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</row>
    <row r="573" spans="1:28" ht="12.75">
      <c r="A573" s="14"/>
      <c r="B573" s="206"/>
      <c r="C573" s="6"/>
      <c r="D573" s="14"/>
      <c r="E573" s="185"/>
      <c r="F573" s="35"/>
      <c r="G573" s="185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</row>
    <row r="574" spans="1:28" ht="12.75">
      <c r="A574" s="14"/>
      <c r="B574" s="206"/>
      <c r="C574" s="6"/>
      <c r="D574" s="14"/>
      <c r="E574" s="185"/>
      <c r="F574" s="35"/>
      <c r="G574" s="185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</row>
    <row r="575" spans="1:28" ht="12.75">
      <c r="A575" s="14"/>
      <c r="B575" s="206"/>
      <c r="C575" s="6"/>
      <c r="D575" s="14"/>
      <c r="E575" s="185"/>
      <c r="F575" s="35"/>
      <c r="G575" s="185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</row>
    <row r="576" spans="1:28" ht="12.75">
      <c r="A576" s="14"/>
      <c r="B576" s="206"/>
      <c r="C576" s="6"/>
      <c r="D576" s="14"/>
      <c r="E576" s="185"/>
      <c r="F576" s="35"/>
      <c r="G576" s="185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</row>
    <row r="577" spans="1:28" ht="12.75">
      <c r="A577" s="14"/>
      <c r="B577" s="206"/>
      <c r="C577" s="6"/>
      <c r="D577" s="14"/>
      <c r="E577" s="185"/>
      <c r="F577" s="35"/>
      <c r="G577" s="185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</row>
    <row r="578" spans="1:28" ht="12.75">
      <c r="A578" s="14"/>
      <c r="B578" s="206"/>
      <c r="C578" s="6"/>
      <c r="D578" s="14"/>
      <c r="E578" s="185"/>
      <c r="F578" s="35"/>
      <c r="G578" s="185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</row>
    <row r="579" spans="1:28" ht="12.75">
      <c r="A579" s="14"/>
      <c r="B579" s="206"/>
      <c r="C579" s="6"/>
      <c r="D579" s="14"/>
      <c r="E579" s="185"/>
      <c r="F579" s="35"/>
      <c r="G579" s="185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</row>
    <row r="580" spans="1:28" ht="12.75">
      <c r="A580" s="14"/>
      <c r="B580" s="206"/>
      <c r="C580" s="6"/>
      <c r="D580" s="14"/>
      <c r="E580" s="185"/>
      <c r="F580" s="35"/>
      <c r="G580" s="185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</row>
    <row r="581" spans="1:28" ht="12.75">
      <c r="A581" s="14"/>
      <c r="B581" s="206"/>
      <c r="C581" s="6"/>
      <c r="D581" s="14"/>
      <c r="E581" s="185"/>
      <c r="F581" s="35"/>
      <c r="G581" s="185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</row>
    <row r="582" spans="1:28" ht="12.75">
      <c r="A582" s="14"/>
      <c r="B582" s="206"/>
      <c r="C582" s="6"/>
      <c r="D582" s="14"/>
      <c r="E582" s="185"/>
      <c r="F582" s="35"/>
      <c r="G582" s="185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</row>
    <row r="583" spans="1:28" ht="12.75">
      <c r="A583" s="14"/>
      <c r="B583" s="206"/>
      <c r="C583" s="6"/>
      <c r="D583" s="14"/>
      <c r="E583" s="185"/>
      <c r="F583" s="35"/>
      <c r="G583" s="185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</row>
    <row r="584" spans="1:28" ht="12.75">
      <c r="A584" s="14"/>
      <c r="B584" s="206"/>
      <c r="C584" s="6"/>
      <c r="D584" s="14"/>
      <c r="E584" s="185"/>
      <c r="F584" s="35"/>
      <c r="G584" s="185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</row>
    <row r="585" spans="1:28" ht="12.75">
      <c r="A585" s="14"/>
      <c r="B585" s="206"/>
      <c r="C585" s="6"/>
      <c r="D585" s="14"/>
      <c r="E585" s="185"/>
      <c r="F585" s="35"/>
      <c r="G585" s="185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</row>
    <row r="586" spans="1:28" ht="12.75">
      <c r="A586" s="14"/>
      <c r="B586" s="206"/>
      <c r="C586" s="6"/>
      <c r="D586" s="14"/>
      <c r="E586" s="185"/>
      <c r="F586" s="35"/>
      <c r="G586" s="185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</row>
    <row r="587" spans="1:28" ht="12.75">
      <c r="A587" s="14"/>
      <c r="B587" s="206"/>
      <c r="C587" s="6"/>
      <c r="D587" s="14"/>
      <c r="E587" s="185"/>
      <c r="F587" s="35"/>
      <c r="G587" s="185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</row>
    <row r="588" spans="1:28" ht="12.75">
      <c r="A588" s="14"/>
      <c r="B588" s="206"/>
      <c r="C588" s="6"/>
      <c r="D588" s="14"/>
      <c r="E588" s="185"/>
      <c r="F588" s="35"/>
      <c r="G588" s="185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 spans="1:28" ht="12.75">
      <c r="A589" s="14"/>
      <c r="B589" s="206"/>
      <c r="C589" s="6"/>
      <c r="D589" s="14"/>
      <c r="E589" s="185"/>
      <c r="F589" s="35"/>
      <c r="G589" s="185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</row>
    <row r="590" spans="1:28" ht="12.75">
      <c r="A590" s="14"/>
      <c r="B590" s="206"/>
      <c r="C590" s="6"/>
      <c r="D590" s="14"/>
      <c r="E590" s="185"/>
      <c r="F590" s="35"/>
      <c r="G590" s="185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</row>
    <row r="591" spans="1:28" ht="12.75">
      <c r="A591" s="14"/>
      <c r="B591" s="206"/>
      <c r="C591" s="6"/>
      <c r="D591" s="14"/>
      <c r="E591" s="185"/>
      <c r="F591" s="35"/>
      <c r="G591" s="185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</row>
    <row r="592" spans="1:28" ht="12.75">
      <c r="A592" s="14"/>
      <c r="B592" s="206"/>
      <c r="C592" s="6"/>
      <c r="D592" s="14"/>
      <c r="E592" s="185"/>
      <c r="F592" s="35"/>
      <c r="G592" s="185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</row>
    <row r="593" spans="1:28" ht="12.75">
      <c r="A593" s="14"/>
      <c r="B593" s="206"/>
      <c r="C593" s="6"/>
      <c r="D593" s="14"/>
      <c r="E593" s="185"/>
      <c r="F593" s="35"/>
      <c r="G593" s="185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 spans="1:28" ht="12.75">
      <c r="A594" s="14"/>
      <c r="B594" s="206"/>
      <c r="C594" s="6"/>
      <c r="D594" s="14"/>
      <c r="E594" s="185"/>
      <c r="F594" s="35"/>
      <c r="G594" s="185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</row>
    <row r="595" spans="1:28" ht="12.75">
      <c r="A595" s="14"/>
      <c r="B595" s="206"/>
      <c r="C595" s="6"/>
      <c r="D595" s="14"/>
      <c r="E595" s="185"/>
      <c r="F595" s="35"/>
      <c r="G595" s="185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</row>
    <row r="596" spans="1:28" ht="12.75">
      <c r="A596" s="14"/>
      <c r="B596" s="206"/>
      <c r="C596" s="6"/>
      <c r="D596" s="14"/>
      <c r="E596" s="185"/>
      <c r="F596" s="35"/>
      <c r="G596" s="185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</row>
    <row r="597" spans="1:28" ht="12.75">
      <c r="A597" s="14"/>
      <c r="B597" s="206"/>
      <c r="C597" s="6"/>
      <c r="D597" s="14"/>
      <c r="E597" s="185"/>
      <c r="F597" s="35"/>
      <c r="G597" s="185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</row>
    <row r="598" spans="1:28" ht="12.75">
      <c r="A598" s="14"/>
      <c r="B598" s="206"/>
      <c r="C598" s="6"/>
      <c r="D598" s="14"/>
      <c r="E598" s="185"/>
      <c r="F598" s="35"/>
      <c r="G598" s="185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</row>
    <row r="599" spans="1:28" ht="12.75">
      <c r="A599" s="14"/>
      <c r="B599" s="206"/>
      <c r="C599" s="6"/>
      <c r="D599" s="14"/>
      <c r="E599" s="185"/>
      <c r="F599" s="35"/>
      <c r="G599" s="185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</row>
    <row r="600" spans="1:28" ht="12.75">
      <c r="A600" s="14"/>
      <c r="B600" s="206"/>
      <c r="C600" s="6"/>
      <c r="D600" s="14"/>
      <c r="E600" s="185"/>
      <c r="F600" s="35"/>
      <c r="G600" s="185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</row>
    <row r="601" spans="1:28" ht="12.75">
      <c r="A601" s="14"/>
      <c r="B601" s="206"/>
      <c r="C601" s="6"/>
      <c r="D601" s="14"/>
      <c r="E601" s="185"/>
      <c r="F601" s="35"/>
      <c r="G601" s="185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</row>
    <row r="602" spans="1:28" ht="12.75">
      <c r="A602" s="14"/>
      <c r="B602" s="206"/>
      <c r="C602" s="6"/>
      <c r="D602" s="14"/>
      <c r="E602" s="185"/>
      <c r="F602" s="35"/>
      <c r="G602" s="185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</row>
    <row r="603" spans="1:28" ht="12.75">
      <c r="A603" s="14"/>
      <c r="B603" s="206"/>
      <c r="C603" s="6"/>
      <c r="D603" s="14"/>
      <c r="E603" s="185"/>
      <c r="F603" s="35"/>
      <c r="G603" s="185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</row>
    <row r="604" spans="1:28" ht="12.75">
      <c r="A604" s="14"/>
      <c r="B604" s="206"/>
      <c r="C604" s="6"/>
      <c r="D604" s="14"/>
      <c r="E604" s="185"/>
      <c r="F604" s="35"/>
      <c r="G604" s="185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</row>
    <row r="605" spans="1:28" ht="12.75">
      <c r="A605" s="14"/>
      <c r="B605" s="206"/>
      <c r="C605" s="6"/>
      <c r="D605" s="14"/>
      <c r="E605" s="185"/>
      <c r="F605" s="35"/>
      <c r="G605" s="185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</row>
    <row r="606" spans="1:28" ht="12.75">
      <c r="A606" s="14"/>
      <c r="B606" s="206"/>
      <c r="C606" s="6"/>
      <c r="D606" s="14"/>
      <c r="E606" s="185"/>
      <c r="F606" s="35"/>
      <c r="G606" s="185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</row>
    <row r="607" spans="1:28" ht="12.75">
      <c r="A607" s="14"/>
      <c r="B607" s="206"/>
      <c r="C607" s="6"/>
      <c r="D607" s="14"/>
      <c r="E607" s="185"/>
      <c r="F607" s="35"/>
      <c r="G607" s="185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</row>
    <row r="608" spans="1:28" ht="12.75">
      <c r="A608" s="14"/>
      <c r="B608" s="206"/>
      <c r="C608" s="6"/>
      <c r="D608" s="14"/>
      <c r="E608" s="185"/>
      <c r="F608" s="35"/>
      <c r="G608" s="185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</row>
    <row r="609" spans="1:28" ht="12.75">
      <c r="A609" s="14"/>
      <c r="B609" s="206"/>
      <c r="C609" s="6"/>
      <c r="D609" s="14"/>
      <c r="E609" s="185"/>
      <c r="F609" s="35"/>
      <c r="G609" s="185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</row>
    <row r="610" spans="1:28" ht="12.75">
      <c r="A610" s="14"/>
      <c r="B610" s="206"/>
      <c r="C610" s="6"/>
      <c r="D610" s="14"/>
      <c r="E610" s="185"/>
      <c r="F610" s="35"/>
      <c r="G610" s="185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</row>
    <row r="611" spans="1:28" ht="12.75">
      <c r="A611" s="14"/>
      <c r="B611" s="206"/>
      <c r="C611" s="6"/>
      <c r="D611" s="14"/>
      <c r="E611" s="185"/>
      <c r="F611" s="35"/>
      <c r="G611" s="185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</row>
    <row r="612" spans="1:28" ht="12.75">
      <c r="A612" s="14"/>
      <c r="B612" s="206"/>
      <c r="C612" s="6"/>
      <c r="D612" s="14"/>
      <c r="E612" s="185"/>
      <c r="F612" s="35"/>
      <c r="G612" s="185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</row>
    <row r="613" spans="1:28" ht="12.75">
      <c r="A613" s="14"/>
      <c r="B613" s="206"/>
      <c r="C613" s="6"/>
      <c r="D613" s="14"/>
      <c r="E613" s="185"/>
      <c r="F613" s="35"/>
      <c r="G613" s="185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</row>
    <row r="614" spans="1:28" ht="12.75">
      <c r="A614" s="14"/>
      <c r="B614" s="206"/>
      <c r="C614" s="6"/>
      <c r="D614" s="14"/>
      <c r="E614" s="185"/>
      <c r="F614" s="35"/>
      <c r="G614" s="185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</row>
    <row r="615" spans="1:28" ht="12.75">
      <c r="A615" s="14"/>
      <c r="B615" s="206"/>
      <c r="C615" s="6"/>
      <c r="D615" s="14"/>
      <c r="E615" s="185"/>
      <c r="F615" s="35"/>
      <c r="G615" s="185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</row>
    <row r="616" spans="1:28" ht="12.75">
      <c r="A616" s="14"/>
      <c r="B616" s="206"/>
      <c r="C616" s="6"/>
      <c r="D616" s="14"/>
      <c r="E616" s="185"/>
      <c r="F616" s="35"/>
      <c r="G616" s="185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</row>
    <row r="617" spans="1:28" ht="12.75">
      <c r="A617" s="14"/>
      <c r="B617" s="206"/>
      <c r="C617" s="6"/>
      <c r="D617" s="14"/>
      <c r="E617" s="185"/>
      <c r="F617" s="35"/>
      <c r="G617" s="185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</row>
    <row r="618" spans="1:28" ht="12.75">
      <c r="A618" s="14"/>
      <c r="B618" s="206"/>
      <c r="C618" s="6"/>
      <c r="D618" s="14"/>
      <c r="E618" s="185"/>
      <c r="F618" s="35"/>
      <c r="G618" s="185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</row>
    <row r="619" spans="1:28" ht="12.75">
      <c r="A619" s="14"/>
      <c r="B619" s="206"/>
      <c r="C619" s="6"/>
      <c r="D619" s="14"/>
      <c r="E619" s="185"/>
      <c r="F619" s="35"/>
      <c r="G619" s="185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</row>
    <row r="620" spans="1:28" ht="12.75">
      <c r="A620" s="14"/>
      <c r="B620" s="206"/>
      <c r="C620" s="6"/>
      <c r="D620" s="14"/>
      <c r="E620" s="185"/>
      <c r="F620" s="35"/>
      <c r="G620" s="185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</row>
    <row r="621" spans="1:28" ht="12.75">
      <c r="A621" s="14"/>
      <c r="B621" s="206"/>
      <c r="C621" s="6"/>
      <c r="D621" s="14"/>
      <c r="E621" s="185"/>
      <c r="F621" s="35"/>
      <c r="G621" s="185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</row>
    <row r="622" spans="1:28" ht="12.75">
      <c r="A622" s="14"/>
      <c r="B622" s="206"/>
      <c r="C622" s="6"/>
      <c r="D622" s="14"/>
      <c r="E622" s="185"/>
      <c r="F622" s="35"/>
      <c r="G622" s="185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</row>
    <row r="623" spans="1:28" ht="12.75">
      <c r="A623" s="14"/>
      <c r="B623" s="206"/>
      <c r="C623" s="6"/>
      <c r="D623" s="14"/>
      <c r="E623" s="185"/>
      <c r="F623" s="35"/>
      <c r="G623" s="185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</row>
    <row r="624" spans="1:28" ht="12.75">
      <c r="A624" s="14"/>
      <c r="B624" s="206"/>
      <c r="C624" s="6"/>
      <c r="D624" s="14"/>
      <c r="E624" s="185"/>
      <c r="F624" s="35"/>
      <c r="G624" s="185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</row>
    <row r="625" spans="1:28" ht="12.75">
      <c r="A625" s="14"/>
      <c r="B625" s="206"/>
      <c r="C625" s="6"/>
      <c r="D625" s="14"/>
      <c r="E625" s="185"/>
      <c r="F625" s="35"/>
      <c r="G625" s="185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</row>
    <row r="626" spans="1:28" ht="12.75">
      <c r="A626" s="14"/>
      <c r="B626" s="206"/>
      <c r="C626" s="6"/>
      <c r="D626" s="14"/>
      <c r="E626" s="185"/>
      <c r="F626" s="35"/>
      <c r="G626" s="185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</row>
    <row r="627" spans="1:28" ht="12.75">
      <c r="A627" s="14"/>
      <c r="B627" s="206"/>
      <c r="C627" s="6"/>
      <c r="D627" s="14"/>
      <c r="E627" s="185"/>
      <c r="F627" s="35"/>
      <c r="G627" s="185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</row>
    <row r="628" spans="1:28" ht="12.75">
      <c r="A628" s="14"/>
      <c r="B628" s="206"/>
      <c r="C628" s="6"/>
      <c r="D628" s="14"/>
      <c r="E628" s="185"/>
      <c r="F628" s="35"/>
      <c r="G628" s="185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</row>
    <row r="629" spans="1:28" ht="12.75">
      <c r="A629" s="14"/>
      <c r="B629" s="206"/>
      <c r="C629" s="6"/>
      <c r="D629" s="14"/>
      <c r="E629" s="185"/>
      <c r="F629" s="35"/>
      <c r="G629" s="185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</row>
    <row r="630" spans="1:28" ht="12.75">
      <c r="A630" s="14"/>
      <c r="B630" s="206"/>
      <c r="C630" s="6"/>
      <c r="D630" s="14"/>
      <c r="E630" s="185"/>
      <c r="F630" s="35"/>
      <c r="G630" s="185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</row>
    <row r="631" spans="1:28" ht="12.75">
      <c r="A631" s="14"/>
      <c r="B631" s="206"/>
      <c r="C631" s="6"/>
      <c r="D631" s="14"/>
      <c r="E631" s="185"/>
      <c r="F631" s="35"/>
      <c r="G631" s="185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</row>
    <row r="632" spans="1:28" ht="12.75">
      <c r="A632" s="14"/>
      <c r="B632" s="206"/>
      <c r="C632" s="6"/>
      <c r="D632" s="14"/>
      <c r="E632" s="185"/>
      <c r="F632" s="35"/>
      <c r="G632" s="185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</row>
    <row r="633" spans="1:28" ht="12.75">
      <c r="A633" s="14"/>
      <c r="B633" s="206"/>
      <c r="C633" s="6"/>
      <c r="D633" s="14"/>
      <c r="E633" s="185"/>
      <c r="F633" s="35"/>
      <c r="G633" s="185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</row>
    <row r="634" spans="1:28" ht="12.75">
      <c r="A634" s="14"/>
      <c r="B634" s="206"/>
      <c r="C634" s="6"/>
      <c r="D634" s="14"/>
      <c r="E634" s="185"/>
      <c r="F634" s="35"/>
      <c r="G634" s="185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</row>
    <row r="635" spans="1:28" ht="12.75">
      <c r="A635" s="14"/>
      <c r="B635" s="206"/>
      <c r="C635" s="6"/>
      <c r="D635" s="14"/>
      <c r="E635" s="185"/>
      <c r="F635" s="35"/>
      <c r="G635" s="185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</row>
    <row r="636" spans="1:28" ht="12.75">
      <c r="A636" s="14"/>
      <c r="B636" s="206"/>
      <c r="C636" s="6"/>
      <c r="D636" s="14"/>
      <c r="E636" s="185"/>
      <c r="F636" s="35"/>
      <c r="G636" s="185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 spans="1:28" ht="12.75">
      <c r="A637" s="14"/>
      <c r="B637" s="206"/>
      <c r="C637" s="6"/>
      <c r="D637" s="14"/>
      <c r="E637" s="185"/>
      <c r="F637" s="35"/>
      <c r="G637" s="185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</row>
    <row r="638" spans="1:28" ht="12.75">
      <c r="A638" s="14"/>
      <c r="B638" s="206"/>
      <c r="C638" s="6"/>
      <c r="D638" s="14"/>
      <c r="E638" s="185"/>
      <c r="F638" s="35"/>
      <c r="G638" s="185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</row>
    <row r="639" spans="1:28" ht="12.75">
      <c r="A639" s="14"/>
      <c r="B639" s="206"/>
      <c r="C639" s="6"/>
      <c r="D639" s="14"/>
      <c r="E639" s="185"/>
      <c r="F639" s="35"/>
      <c r="G639" s="185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</row>
    <row r="640" spans="1:28" ht="12.75">
      <c r="A640" s="14"/>
      <c r="B640" s="206"/>
      <c r="C640" s="6"/>
      <c r="D640" s="14"/>
      <c r="E640" s="185"/>
      <c r="F640" s="35"/>
      <c r="G640" s="185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</row>
    <row r="641" spans="1:28" ht="12.75">
      <c r="A641" s="14"/>
      <c r="B641" s="206"/>
      <c r="C641" s="6"/>
      <c r="D641" s="14"/>
      <c r="E641" s="185"/>
      <c r="F641" s="35"/>
      <c r="G641" s="185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</row>
    <row r="642" spans="1:28" ht="12.75">
      <c r="A642" s="14"/>
      <c r="B642" s="206"/>
      <c r="C642" s="6"/>
      <c r="D642" s="14"/>
      <c r="E642" s="185"/>
      <c r="F642" s="35"/>
      <c r="G642" s="185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</row>
    <row r="643" spans="1:28" ht="12.75">
      <c r="A643" s="14"/>
      <c r="B643" s="206"/>
      <c r="C643" s="6"/>
      <c r="D643" s="14"/>
      <c r="E643" s="185"/>
      <c r="F643" s="35"/>
      <c r="G643" s="185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</row>
    <row r="644" spans="1:28" ht="12.75">
      <c r="A644" s="14"/>
      <c r="B644" s="206"/>
      <c r="C644" s="6"/>
      <c r="D644" s="14"/>
      <c r="E644" s="185"/>
      <c r="F644" s="35"/>
      <c r="G644" s="185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 spans="1:28" ht="12.75">
      <c r="A645" s="14"/>
      <c r="B645" s="206"/>
      <c r="C645" s="6"/>
      <c r="D645" s="14"/>
      <c r="E645" s="185"/>
      <c r="F645" s="35"/>
      <c r="G645" s="185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</row>
    <row r="646" spans="1:28" ht="12.75">
      <c r="A646" s="14"/>
      <c r="B646" s="206"/>
      <c r="C646" s="6"/>
      <c r="D646" s="14"/>
      <c r="E646" s="185"/>
      <c r="F646" s="35"/>
      <c r="G646" s="185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</row>
    <row r="647" spans="1:28" ht="12.75">
      <c r="A647" s="14"/>
      <c r="B647" s="206"/>
      <c r="C647" s="6"/>
      <c r="D647" s="14"/>
      <c r="E647" s="185"/>
      <c r="F647" s="35"/>
      <c r="G647" s="185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</row>
    <row r="648" spans="1:28" ht="12.75">
      <c r="A648" s="14"/>
      <c r="B648" s="206"/>
      <c r="C648" s="6"/>
      <c r="D648" s="14"/>
      <c r="E648" s="185"/>
      <c r="F648" s="35"/>
      <c r="G648" s="185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</row>
    <row r="649" spans="1:28" ht="12.75">
      <c r="A649" s="14"/>
      <c r="B649" s="206"/>
      <c r="C649" s="6"/>
      <c r="D649" s="14"/>
      <c r="E649" s="185"/>
      <c r="F649" s="35"/>
      <c r="G649" s="185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</row>
    <row r="650" spans="1:28" ht="12.75">
      <c r="A650" s="14"/>
      <c r="B650" s="206"/>
      <c r="C650" s="6"/>
      <c r="D650" s="14"/>
      <c r="E650" s="185"/>
      <c r="F650" s="35"/>
      <c r="G650" s="185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</row>
    <row r="651" spans="1:28" ht="12.75">
      <c r="A651" s="14"/>
      <c r="B651" s="206"/>
      <c r="C651" s="6"/>
      <c r="D651" s="14"/>
      <c r="E651" s="185"/>
      <c r="F651" s="35"/>
      <c r="G651" s="185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</row>
    <row r="652" spans="1:28" ht="12.75">
      <c r="A652" s="14"/>
      <c r="B652" s="206"/>
      <c r="C652" s="6"/>
      <c r="D652" s="14"/>
      <c r="E652" s="185"/>
      <c r="F652" s="35"/>
      <c r="G652" s="185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</row>
    <row r="653" spans="1:28" ht="12.75">
      <c r="A653" s="14"/>
      <c r="B653" s="206"/>
      <c r="C653" s="6"/>
      <c r="D653" s="14"/>
      <c r="E653" s="185"/>
      <c r="F653" s="35"/>
      <c r="G653" s="185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</row>
    <row r="654" spans="1:28" ht="12.75">
      <c r="A654" s="14"/>
      <c r="B654" s="206"/>
      <c r="C654" s="6"/>
      <c r="D654" s="14"/>
      <c r="E654" s="185"/>
      <c r="F654" s="35"/>
      <c r="G654" s="185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</row>
    <row r="655" spans="1:28" ht="12.75">
      <c r="A655" s="14"/>
      <c r="B655" s="206"/>
      <c r="C655" s="6"/>
      <c r="D655" s="14"/>
      <c r="E655" s="185"/>
      <c r="F655" s="35"/>
      <c r="G655" s="185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</row>
    <row r="656" spans="1:28" ht="12.75">
      <c r="A656" s="14"/>
      <c r="B656" s="206"/>
      <c r="C656" s="6"/>
      <c r="D656" s="14"/>
      <c r="E656" s="185"/>
      <c r="F656" s="35"/>
      <c r="G656" s="185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</row>
    <row r="657" spans="1:28" ht="12.75">
      <c r="A657" s="14"/>
      <c r="B657" s="206"/>
      <c r="C657" s="6"/>
      <c r="D657" s="14"/>
      <c r="E657" s="185"/>
      <c r="F657" s="35"/>
      <c r="G657" s="185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</row>
    <row r="658" spans="1:28" ht="12.75">
      <c r="A658" s="14"/>
      <c r="B658" s="206"/>
      <c r="C658" s="6"/>
      <c r="D658" s="14"/>
      <c r="E658" s="185"/>
      <c r="F658" s="35"/>
      <c r="G658" s="185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</row>
    <row r="659" spans="1:28" ht="12.75">
      <c r="A659" s="14"/>
      <c r="B659" s="206"/>
      <c r="C659" s="6"/>
      <c r="D659" s="14"/>
      <c r="E659" s="185"/>
      <c r="F659" s="35"/>
      <c r="G659" s="185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</row>
    <row r="660" spans="1:28" ht="12.75">
      <c r="A660" s="14"/>
      <c r="B660" s="206"/>
      <c r="C660" s="6"/>
      <c r="D660" s="14"/>
      <c r="E660" s="185"/>
      <c r="F660" s="35"/>
      <c r="G660" s="185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</row>
    <row r="661" spans="1:28" ht="12.75">
      <c r="A661" s="14"/>
      <c r="B661" s="206"/>
      <c r="C661" s="6"/>
      <c r="D661" s="14"/>
      <c r="E661" s="185"/>
      <c r="F661" s="35"/>
      <c r="G661" s="185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 spans="1:28" ht="12.75">
      <c r="A662" s="14"/>
      <c r="B662" s="206"/>
      <c r="C662" s="6"/>
      <c r="D662" s="14"/>
      <c r="E662" s="185"/>
      <c r="F662" s="35"/>
      <c r="G662" s="185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</row>
    <row r="663" spans="1:28" ht="12.75">
      <c r="A663" s="14"/>
      <c r="B663" s="206"/>
      <c r="C663" s="6"/>
      <c r="D663" s="14"/>
      <c r="E663" s="185"/>
      <c r="F663" s="35"/>
      <c r="G663" s="185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 spans="1:28" ht="12.75">
      <c r="A664" s="14"/>
      <c r="B664" s="206"/>
      <c r="C664" s="6"/>
      <c r="D664" s="14"/>
      <c r="E664" s="185"/>
      <c r="F664" s="35"/>
      <c r="G664" s="185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</row>
    <row r="665" spans="1:28" ht="12.75">
      <c r="A665" s="14"/>
      <c r="B665" s="206"/>
      <c r="C665" s="6"/>
      <c r="D665" s="14"/>
      <c r="E665" s="185"/>
      <c r="F665" s="35"/>
      <c r="G665" s="185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</row>
    <row r="666" spans="1:28" ht="12.75">
      <c r="A666" s="14"/>
      <c r="B666" s="206"/>
      <c r="C666" s="6"/>
      <c r="D666" s="14"/>
      <c r="E666" s="185"/>
      <c r="F666" s="35"/>
      <c r="G666" s="185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</row>
    <row r="667" spans="1:28" ht="12.75">
      <c r="A667" s="14"/>
      <c r="B667" s="206"/>
      <c r="C667" s="6"/>
      <c r="D667" s="14"/>
      <c r="E667" s="185"/>
      <c r="F667" s="35"/>
      <c r="G667" s="185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</row>
    <row r="668" spans="1:28" ht="12.75">
      <c r="A668" s="14"/>
      <c r="B668" s="206"/>
      <c r="C668" s="6"/>
      <c r="D668" s="14"/>
      <c r="E668" s="185"/>
      <c r="F668" s="35"/>
      <c r="G668" s="185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</row>
    <row r="669" spans="1:28" ht="12.75">
      <c r="A669" s="14"/>
      <c r="B669" s="206"/>
      <c r="C669" s="6"/>
      <c r="D669" s="14"/>
      <c r="E669" s="185"/>
      <c r="F669" s="35"/>
      <c r="G669" s="185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</row>
    <row r="670" spans="1:28" ht="12.75">
      <c r="A670" s="14"/>
      <c r="B670" s="206"/>
      <c r="C670" s="6"/>
      <c r="D670" s="14"/>
      <c r="E670" s="185"/>
      <c r="F670" s="35"/>
      <c r="G670" s="185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</row>
    <row r="671" spans="1:28" ht="12.75">
      <c r="A671" s="14"/>
      <c r="B671" s="206"/>
      <c r="C671" s="6"/>
      <c r="D671" s="14"/>
      <c r="E671" s="185"/>
      <c r="F671" s="35"/>
      <c r="G671" s="185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</row>
    <row r="672" spans="1:28" ht="12.75">
      <c r="A672" s="14"/>
      <c r="B672" s="206"/>
      <c r="C672" s="6"/>
      <c r="D672" s="14"/>
      <c r="E672" s="185"/>
      <c r="F672" s="35"/>
      <c r="G672" s="185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</row>
    <row r="673" spans="1:28" ht="12.75">
      <c r="A673" s="14"/>
      <c r="B673" s="206"/>
      <c r="C673" s="6"/>
      <c r="D673" s="14"/>
      <c r="E673" s="185"/>
      <c r="F673" s="35"/>
      <c r="G673" s="185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</row>
    <row r="674" spans="1:28" ht="12.75">
      <c r="A674" s="14"/>
      <c r="B674" s="206"/>
      <c r="C674" s="6"/>
      <c r="D674" s="14"/>
      <c r="E674" s="185"/>
      <c r="F674" s="35"/>
      <c r="G674" s="185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</row>
    <row r="675" spans="1:28" ht="12.75">
      <c r="A675" s="14"/>
      <c r="B675" s="206"/>
      <c r="C675" s="6"/>
      <c r="D675" s="14"/>
      <c r="E675" s="185"/>
      <c r="F675" s="35"/>
      <c r="G675" s="185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</row>
    <row r="676" spans="1:28" ht="12.75">
      <c r="A676" s="14"/>
      <c r="B676" s="206"/>
      <c r="C676" s="6"/>
      <c r="D676" s="14"/>
      <c r="E676" s="185"/>
      <c r="F676" s="35"/>
      <c r="G676" s="185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</row>
    <row r="677" spans="1:28" ht="12.75">
      <c r="A677" s="14"/>
      <c r="B677" s="206"/>
      <c r="C677" s="6"/>
      <c r="D677" s="14"/>
      <c r="E677" s="185"/>
      <c r="F677" s="35"/>
      <c r="G677" s="185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</row>
    <row r="678" spans="1:28" ht="12.75">
      <c r="A678" s="14"/>
      <c r="B678" s="206"/>
      <c r="C678" s="6"/>
      <c r="D678" s="14"/>
      <c r="E678" s="185"/>
      <c r="F678" s="35"/>
      <c r="G678" s="185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</row>
    <row r="679" spans="1:28" ht="12.75">
      <c r="A679" s="14"/>
      <c r="B679" s="206"/>
      <c r="C679" s="6"/>
      <c r="D679" s="14"/>
      <c r="E679" s="185"/>
      <c r="F679" s="35"/>
      <c r="G679" s="185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</row>
    <row r="680" spans="1:28" ht="12.75">
      <c r="A680" s="14"/>
      <c r="B680" s="206"/>
      <c r="C680" s="6"/>
      <c r="D680" s="14"/>
      <c r="E680" s="185"/>
      <c r="F680" s="35"/>
      <c r="G680" s="185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</row>
    <row r="681" spans="1:28" ht="12.75">
      <c r="A681" s="14"/>
      <c r="B681" s="206"/>
      <c r="C681" s="6"/>
      <c r="D681" s="14"/>
      <c r="E681" s="185"/>
      <c r="F681" s="35"/>
      <c r="G681" s="185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</row>
    <row r="682" spans="1:28" ht="12.75">
      <c r="A682" s="14"/>
      <c r="B682" s="206"/>
      <c r="C682" s="6"/>
      <c r="D682" s="14"/>
      <c r="E682" s="185"/>
      <c r="F682" s="35"/>
      <c r="G682" s="185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</row>
    <row r="683" spans="1:28" ht="12.75">
      <c r="A683" s="14"/>
      <c r="B683" s="206"/>
      <c r="C683" s="6"/>
      <c r="D683" s="14"/>
      <c r="E683" s="185"/>
      <c r="F683" s="35"/>
      <c r="G683" s="185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</row>
    <row r="684" spans="1:28" ht="12.75">
      <c r="A684" s="14"/>
      <c r="B684" s="206"/>
      <c r="C684" s="6"/>
      <c r="D684" s="14"/>
      <c r="E684" s="185"/>
      <c r="F684" s="35"/>
      <c r="G684" s="185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</row>
    <row r="685" spans="1:28" ht="12.75">
      <c r="A685" s="14"/>
      <c r="B685" s="206"/>
      <c r="C685" s="6"/>
      <c r="D685" s="14"/>
      <c r="E685" s="185"/>
      <c r="F685" s="35"/>
      <c r="G685" s="185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</row>
    <row r="686" spans="1:28" ht="12.75">
      <c r="A686" s="14"/>
      <c r="B686" s="206"/>
      <c r="C686" s="6"/>
      <c r="D686" s="14"/>
      <c r="E686" s="185"/>
      <c r="F686" s="35"/>
      <c r="G686" s="185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</row>
    <row r="687" spans="1:28" ht="12.75">
      <c r="A687" s="14"/>
      <c r="B687" s="206"/>
      <c r="C687" s="6"/>
      <c r="D687" s="14"/>
      <c r="E687" s="185"/>
      <c r="F687" s="35"/>
      <c r="G687" s="185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</row>
    <row r="688" spans="1:28" ht="12.75">
      <c r="A688" s="14"/>
      <c r="B688" s="206"/>
      <c r="C688" s="6"/>
      <c r="D688" s="14"/>
      <c r="E688" s="185"/>
      <c r="F688" s="35"/>
      <c r="G688" s="185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</row>
    <row r="689" spans="1:28" ht="12.75">
      <c r="A689" s="14"/>
      <c r="B689" s="206"/>
      <c r="C689" s="6"/>
      <c r="D689" s="14"/>
      <c r="E689" s="185"/>
      <c r="F689" s="35"/>
      <c r="G689" s="185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</row>
    <row r="690" spans="1:28" ht="12.75">
      <c r="A690" s="14"/>
      <c r="B690" s="206"/>
      <c r="C690" s="6"/>
      <c r="D690" s="14"/>
      <c r="E690" s="185"/>
      <c r="F690" s="35"/>
      <c r="G690" s="185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</row>
    <row r="691" spans="1:28" ht="12.75">
      <c r="A691" s="14"/>
      <c r="B691" s="206"/>
      <c r="C691" s="6"/>
      <c r="D691" s="14"/>
      <c r="E691" s="185"/>
      <c r="F691" s="35"/>
      <c r="G691" s="185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</row>
    <row r="692" spans="1:28" ht="12.75">
      <c r="A692" s="14"/>
      <c r="B692" s="206"/>
      <c r="C692" s="6"/>
      <c r="D692" s="14"/>
      <c r="E692" s="185"/>
      <c r="F692" s="35"/>
      <c r="G692" s="185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</row>
    <row r="693" spans="1:28" ht="12.75">
      <c r="A693" s="14"/>
      <c r="B693" s="206"/>
      <c r="C693" s="6"/>
      <c r="D693" s="14"/>
      <c r="E693" s="185"/>
      <c r="F693" s="35"/>
      <c r="G693" s="185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 spans="1:28" ht="12.75">
      <c r="A694" s="14"/>
      <c r="B694" s="206"/>
      <c r="C694" s="6"/>
      <c r="D694" s="14"/>
      <c r="E694" s="185"/>
      <c r="F694" s="35"/>
      <c r="G694" s="185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</row>
    <row r="695" spans="1:28" ht="12.75">
      <c r="A695" s="14"/>
      <c r="B695" s="206"/>
      <c r="C695" s="6"/>
      <c r="D695" s="14"/>
      <c r="E695" s="185"/>
      <c r="F695" s="35"/>
      <c r="G695" s="185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</row>
    <row r="696" spans="1:28" ht="12.75">
      <c r="A696" s="14"/>
      <c r="B696" s="206"/>
      <c r="C696" s="6"/>
      <c r="D696" s="14"/>
      <c r="E696" s="185"/>
      <c r="F696" s="35"/>
      <c r="G696" s="185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</row>
    <row r="697" spans="1:28" ht="12.75">
      <c r="A697" s="14"/>
      <c r="B697" s="206"/>
      <c r="C697" s="6"/>
      <c r="D697" s="14"/>
      <c r="E697" s="185"/>
      <c r="F697" s="35"/>
      <c r="G697" s="185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</row>
    <row r="698" spans="1:28" ht="12.75">
      <c r="A698" s="14"/>
      <c r="B698" s="206"/>
      <c r="C698" s="6"/>
      <c r="D698" s="14"/>
      <c r="E698" s="185"/>
      <c r="F698" s="35"/>
      <c r="G698" s="185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</row>
    <row r="699" spans="1:28" ht="12.75">
      <c r="A699" s="14"/>
      <c r="B699" s="206"/>
      <c r="C699" s="6"/>
      <c r="D699" s="14"/>
      <c r="E699" s="185"/>
      <c r="F699" s="35"/>
      <c r="G699" s="185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</row>
    <row r="700" spans="1:28" ht="12.75">
      <c r="A700" s="14"/>
      <c r="B700" s="206"/>
      <c r="C700" s="6"/>
      <c r="D700" s="14"/>
      <c r="E700" s="185"/>
      <c r="F700" s="35"/>
      <c r="G700" s="185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</row>
    <row r="701" spans="1:28" ht="12.75">
      <c r="A701" s="14"/>
      <c r="B701" s="206"/>
      <c r="C701" s="6"/>
      <c r="D701" s="14"/>
      <c r="E701" s="185"/>
      <c r="F701" s="35"/>
      <c r="G701" s="185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</row>
    <row r="702" spans="1:28" ht="12.75">
      <c r="A702" s="14"/>
      <c r="B702" s="206"/>
      <c r="C702" s="6"/>
      <c r="D702" s="14"/>
      <c r="E702" s="185"/>
      <c r="F702" s="35"/>
      <c r="G702" s="185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</row>
    <row r="703" spans="1:28" ht="12.75">
      <c r="A703" s="14"/>
      <c r="B703" s="206"/>
      <c r="C703" s="6"/>
      <c r="D703" s="14"/>
      <c r="E703" s="185"/>
      <c r="F703" s="35"/>
      <c r="G703" s="185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</row>
    <row r="704" spans="1:28" ht="12.75">
      <c r="A704" s="14"/>
      <c r="B704" s="206"/>
      <c r="C704" s="6"/>
      <c r="D704" s="14"/>
      <c r="E704" s="185"/>
      <c r="F704" s="35"/>
      <c r="G704" s="185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</row>
    <row r="705" spans="1:28" ht="12.75">
      <c r="A705" s="14"/>
      <c r="B705" s="206"/>
      <c r="C705" s="6"/>
      <c r="D705" s="14"/>
      <c r="E705" s="185"/>
      <c r="F705" s="35"/>
      <c r="G705" s="185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</row>
    <row r="706" spans="1:28" ht="12.75">
      <c r="A706" s="14"/>
      <c r="B706" s="206"/>
      <c r="C706" s="6"/>
      <c r="D706" s="14"/>
      <c r="E706" s="185"/>
      <c r="F706" s="35"/>
      <c r="G706" s="185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</row>
    <row r="707" spans="1:28" ht="12.75">
      <c r="A707" s="14"/>
      <c r="B707" s="206"/>
      <c r="C707" s="6"/>
      <c r="D707" s="14"/>
      <c r="E707" s="185"/>
      <c r="F707" s="35"/>
      <c r="G707" s="185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</row>
    <row r="708" spans="1:28" ht="12.75">
      <c r="A708" s="14"/>
      <c r="B708" s="206"/>
      <c r="C708" s="6"/>
      <c r="D708" s="14"/>
      <c r="E708" s="185"/>
      <c r="F708" s="35"/>
      <c r="G708" s="185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</row>
    <row r="709" spans="1:28" ht="12.75">
      <c r="A709" s="14"/>
      <c r="B709" s="206"/>
      <c r="C709" s="6"/>
      <c r="D709" s="14"/>
      <c r="E709" s="185"/>
      <c r="F709" s="35"/>
      <c r="G709" s="185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</row>
    <row r="710" spans="1:28" ht="12.75">
      <c r="A710" s="14"/>
      <c r="B710" s="206"/>
      <c r="C710" s="6"/>
      <c r="D710" s="14"/>
      <c r="E710" s="185"/>
      <c r="F710" s="35"/>
      <c r="G710" s="185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</row>
    <row r="711" spans="1:28" ht="12.75">
      <c r="A711" s="14"/>
      <c r="B711" s="206"/>
      <c r="C711" s="6"/>
      <c r="D711" s="14"/>
      <c r="E711" s="185"/>
      <c r="F711" s="35"/>
      <c r="G711" s="185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</row>
    <row r="712" spans="1:28" ht="12.75">
      <c r="A712" s="14"/>
      <c r="B712" s="206"/>
      <c r="C712" s="6"/>
      <c r="D712" s="14"/>
      <c r="E712" s="185"/>
      <c r="F712" s="35"/>
      <c r="G712" s="185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</row>
    <row r="713" spans="1:28" ht="12.75">
      <c r="A713" s="14"/>
      <c r="B713" s="206"/>
      <c r="C713" s="6"/>
      <c r="D713" s="14"/>
      <c r="E713" s="185"/>
      <c r="F713" s="35"/>
      <c r="G713" s="185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</row>
    <row r="714" spans="1:28" ht="12.75">
      <c r="A714" s="14"/>
      <c r="B714" s="206"/>
      <c r="C714" s="6"/>
      <c r="D714" s="14"/>
      <c r="E714" s="185"/>
      <c r="F714" s="35"/>
      <c r="G714" s="185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</row>
    <row r="715" spans="1:28" ht="12.75">
      <c r="A715" s="14"/>
      <c r="B715" s="206"/>
      <c r="C715" s="6"/>
      <c r="D715" s="14"/>
      <c r="E715" s="185"/>
      <c r="F715" s="35"/>
      <c r="G715" s="185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</row>
    <row r="716" spans="1:28" ht="12.75">
      <c r="A716" s="14"/>
      <c r="B716" s="206"/>
      <c r="C716" s="6"/>
      <c r="D716" s="14"/>
      <c r="E716" s="185"/>
      <c r="F716" s="35"/>
      <c r="G716" s="185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</row>
    <row r="717" spans="1:28" ht="12.75">
      <c r="A717" s="14"/>
      <c r="B717" s="206"/>
      <c r="C717" s="6"/>
      <c r="D717" s="14"/>
      <c r="E717" s="185"/>
      <c r="F717" s="35"/>
      <c r="G717" s="185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</row>
    <row r="718" spans="1:28" ht="12.75">
      <c r="A718" s="14"/>
      <c r="B718" s="206"/>
      <c r="C718" s="6"/>
      <c r="D718" s="14"/>
      <c r="E718" s="185"/>
      <c r="F718" s="35"/>
      <c r="G718" s="185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</row>
    <row r="719" spans="1:28" ht="12.75">
      <c r="A719" s="14"/>
      <c r="B719" s="206"/>
      <c r="C719" s="6"/>
      <c r="D719" s="14"/>
      <c r="E719" s="185"/>
      <c r="F719" s="35"/>
      <c r="G719" s="185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</row>
    <row r="720" spans="1:28" ht="12.75">
      <c r="A720" s="14"/>
      <c r="B720" s="206"/>
      <c r="C720" s="6"/>
      <c r="D720" s="14"/>
      <c r="E720" s="185"/>
      <c r="F720" s="35"/>
      <c r="G720" s="185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</row>
    <row r="721" spans="1:28" ht="12.75">
      <c r="A721" s="14"/>
      <c r="B721" s="206"/>
      <c r="C721" s="6"/>
      <c r="D721" s="14"/>
      <c r="E721" s="185"/>
      <c r="F721" s="35"/>
      <c r="G721" s="185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 spans="1:28" ht="12.75">
      <c r="A722" s="14"/>
      <c r="B722" s="206"/>
      <c r="C722" s="6"/>
      <c r="D722" s="14"/>
      <c r="E722" s="185"/>
      <c r="F722" s="35"/>
      <c r="G722" s="185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</row>
    <row r="723" spans="1:28" ht="12.75">
      <c r="A723" s="14"/>
      <c r="B723" s="206"/>
      <c r="C723" s="6"/>
      <c r="D723" s="14"/>
      <c r="E723" s="185"/>
      <c r="F723" s="35"/>
      <c r="G723" s="185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</row>
    <row r="724" spans="1:28" ht="12.75">
      <c r="A724" s="14"/>
      <c r="B724" s="206"/>
      <c r="C724" s="6"/>
      <c r="D724" s="14"/>
      <c r="E724" s="185"/>
      <c r="F724" s="35"/>
      <c r="G724" s="185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</row>
    <row r="725" spans="1:28" ht="12.75">
      <c r="A725" s="14"/>
      <c r="B725" s="206"/>
      <c r="C725" s="6"/>
      <c r="D725" s="14"/>
      <c r="E725" s="185"/>
      <c r="F725" s="35"/>
      <c r="G725" s="185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</row>
    <row r="726" spans="1:28" ht="12.75">
      <c r="A726" s="14"/>
      <c r="B726" s="206"/>
      <c r="C726" s="6"/>
      <c r="D726" s="14"/>
      <c r="E726" s="185"/>
      <c r="F726" s="35"/>
      <c r="G726" s="185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</row>
    <row r="727" spans="1:28" ht="12.75">
      <c r="A727" s="14"/>
      <c r="B727" s="206"/>
      <c r="C727" s="6"/>
      <c r="D727" s="14"/>
      <c r="E727" s="185"/>
      <c r="F727" s="35"/>
      <c r="G727" s="185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</row>
    <row r="728" spans="1:28" ht="12.75">
      <c r="A728" s="14"/>
      <c r="B728" s="206"/>
      <c r="C728" s="6"/>
      <c r="D728" s="14"/>
      <c r="E728" s="185"/>
      <c r="F728" s="35"/>
      <c r="G728" s="185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</row>
    <row r="729" spans="1:28" ht="12.75">
      <c r="A729" s="14"/>
      <c r="B729" s="206"/>
      <c r="C729" s="6"/>
      <c r="D729" s="14"/>
      <c r="E729" s="185"/>
      <c r="F729" s="35"/>
      <c r="G729" s="185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</row>
    <row r="730" spans="1:28" ht="12.75">
      <c r="A730" s="14"/>
      <c r="B730" s="206"/>
      <c r="C730" s="6"/>
      <c r="D730" s="14"/>
      <c r="E730" s="185"/>
      <c r="F730" s="35"/>
      <c r="G730" s="185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</row>
    <row r="731" spans="1:28" ht="12.75">
      <c r="A731" s="14"/>
      <c r="B731" s="206"/>
      <c r="C731" s="6"/>
      <c r="D731" s="14"/>
      <c r="E731" s="185"/>
      <c r="F731" s="35"/>
      <c r="G731" s="185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</row>
    <row r="732" spans="1:28" ht="12.75">
      <c r="A732" s="14"/>
      <c r="B732" s="206"/>
      <c r="C732" s="6"/>
      <c r="D732" s="14"/>
      <c r="E732" s="185"/>
      <c r="F732" s="35"/>
      <c r="G732" s="185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</row>
    <row r="733" spans="1:28" ht="12.75">
      <c r="A733" s="14"/>
      <c r="B733" s="206"/>
      <c r="C733" s="6"/>
      <c r="D733" s="14"/>
      <c r="E733" s="185"/>
      <c r="F733" s="35"/>
      <c r="G733" s="185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</row>
    <row r="734" spans="1:28" ht="12.75">
      <c r="A734" s="14"/>
      <c r="B734" s="206"/>
      <c r="C734" s="6"/>
      <c r="D734" s="14"/>
      <c r="E734" s="185"/>
      <c r="F734" s="35"/>
      <c r="G734" s="185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</row>
    <row r="735" spans="1:28" ht="12.75">
      <c r="A735" s="14"/>
      <c r="B735" s="206"/>
      <c r="C735" s="6"/>
      <c r="D735" s="14"/>
      <c r="E735" s="185"/>
      <c r="F735" s="35"/>
      <c r="G735" s="185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</row>
    <row r="736" spans="1:28" ht="12.75">
      <c r="A736" s="14"/>
      <c r="B736" s="206"/>
      <c r="C736" s="6"/>
      <c r="D736" s="14"/>
      <c r="E736" s="185"/>
      <c r="F736" s="35"/>
      <c r="G736" s="185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</row>
    <row r="737" spans="1:28" ht="12.75">
      <c r="A737" s="14"/>
      <c r="B737" s="206"/>
      <c r="C737" s="6"/>
      <c r="D737" s="14"/>
      <c r="E737" s="185"/>
      <c r="F737" s="35"/>
      <c r="G737" s="185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</row>
    <row r="738" spans="1:28" ht="12.75">
      <c r="A738" s="14"/>
      <c r="B738" s="206"/>
      <c r="C738" s="6"/>
      <c r="D738" s="14"/>
      <c r="E738" s="185"/>
      <c r="F738" s="35"/>
      <c r="G738" s="185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</row>
    <row r="739" spans="1:28" ht="12.75">
      <c r="A739" s="14"/>
      <c r="B739" s="206"/>
      <c r="C739" s="6"/>
      <c r="D739" s="14"/>
      <c r="E739" s="185"/>
      <c r="F739" s="35"/>
      <c r="G739" s="185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</row>
    <row r="740" spans="1:28" ht="12.75">
      <c r="A740" s="14"/>
      <c r="B740" s="206"/>
      <c r="C740" s="6"/>
      <c r="D740" s="14"/>
      <c r="E740" s="185"/>
      <c r="F740" s="35"/>
      <c r="G740" s="185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</row>
    <row r="741" spans="1:28" ht="12.75">
      <c r="A741" s="14"/>
      <c r="B741" s="206"/>
      <c r="C741" s="6"/>
      <c r="D741" s="14"/>
      <c r="E741" s="185"/>
      <c r="F741" s="35"/>
      <c r="G741" s="185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</row>
    <row r="742" spans="1:28" ht="12.75">
      <c r="A742" s="14"/>
      <c r="B742" s="206"/>
      <c r="C742" s="6"/>
      <c r="D742" s="14"/>
      <c r="E742" s="185"/>
      <c r="F742" s="35"/>
      <c r="G742" s="185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</row>
    <row r="743" spans="1:28" ht="12.75">
      <c r="A743" s="14"/>
      <c r="B743" s="206"/>
      <c r="C743" s="6"/>
      <c r="D743" s="14"/>
      <c r="E743" s="185"/>
      <c r="F743" s="35"/>
      <c r="G743" s="185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</row>
    <row r="744" spans="1:28" ht="12.75">
      <c r="A744" s="14"/>
      <c r="B744" s="206"/>
      <c r="C744" s="6"/>
      <c r="D744" s="14"/>
      <c r="E744" s="185"/>
      <c r="F744" s="35"/>
      <c r="G744" s="185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</row>
    <row r="745" spans="1:28" ht="12.75">
      <c r="A745" s="14"/>
      <c r="B745" s="206"/>
      <c r="C745" s="6"/>
      <c r="D745" s="14"/>
      <c r="E745" s="185"/>
      <c r="F745" s="35"/>
      <c r="G745" s="185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</row>
    <row r="746" spans="1:28" ht="12.75">
      <c r="A746" s="14"/>
      <c r="B746" s="206"/>
      <c r="C746" s="6"/>
      <c r="D746" s="14"/>
      <c r="E746" s="185"/>
      <c r="F746" s="35"/>
      <c r="G746" s="185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</row>
    <row r="747" spans="1:28" ht="12.75">
      <c r="A747" s="14"/>
      <c r="B747" s="206"/>
      <c r="C747" s="6"/>
      <c r="D747" s="14"/>
      <c r="E747" s="185"/>
      <c r="F747" s="35"/>
      <c r="G747" s="185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</row>
    <row r="748" spans="1:28" ht="12.75">
      <c r="A748" s="14"/>
      <c r="B748" s="206"/>
      <c r="C748" s="6"/>
      <c r="D748" s="14"/>
      <c r="E748" s="185"/>
      <c r="F748" s="35"/>
      <c r="G748" s="185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</row>
    <row r="749" spans="1:28" ht="12.75">
      <c r="A749" s="14"/>
      <c r="B749" s="206"/>
      <c r="C749" s="6"/>
      <c r="D749" s="14"/>
      <c r="E749" s="185"/>
      <c r="F749" s="35"/>
      <c r="G749" s="185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</row>
    <row r="750" spans="1:28" ht="12.75">
      <c r="A750" s="14"/>
      <c r="B750" s="206"/>
      <c r="C750" s="6"/>
      <c r="D750" s="14"/>
      <c r="E750" s="185"/>
      <c r="F750" s="35"/>
      <c r="G750" s="185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</row>
    <row r="751" spans="1:28" ht="12.75">
      <c r="A751" s="14"/>
      <c r="B751" s="206"/>
      <c r="C751" s="6"/>
      <c r="D751" s="14"/>
      <c r="E751" s="185"/>
      <c r="F751" s="35"/>
      <c r="G751" s="185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</row>
    <row r="752" spans="1:28" ht="12.75">
      <c r="A752" s="14"/>
      <c r="B752" s="206"/>
      <c r="C752" s="6"/>
      <c r="D752" s="14"/>
      <c r="E752" s="185"/>
      <c r="F752" s="35"/>
      <c r="G752" s="185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</row>
    <row r="753" spans="1:28" ht="12.75">
      <c r="A753" s="14"/>
      <c r="B753" s="206"/>
      <c r="C753" s="6"/>
      <c r="D753" s="14"/>
      <c r="E753" s="185"/>
      <c r="F753" s="35"/>
      <c r="G753" s="185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</row>
    <row r="754" spans="1:28" ht="12.75">
      <c r="A754" s="14"/>
      <c r="B754" s="206"/>
      <c r="C754" s="6"/>
      <c r="D754" s="14"/>
      <c r="E754" s="185"/>
      <c r="F754" s="35"/>
      <c r="G754" s="185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</row>
    <row r="755" spans="1:28" ht="12.75">
      <c r="A755" s="14"/>
      <c r="B755" s="206"/>
      <c r="C755" s="6"/>
      <c r="D755" s="14"/>
      <c r="E755" s="185"/>
      <c r="F755" s="35"/>
      <c r="G755" s="185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 spans="1:28" ht="12.75">
      <c r="A756" s="14"/>
      <c r="B756" s="206"/>
      <c r="C756" s="6"/>
      <c r="D756" s="14"/>
      <c r="E756" s="185"/>
      <c r="F756" s="35"/>
      <c r="G756" s="185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</row>
    <row r="757" spans="1:28" ht="12.75">
      <c r="A757" s="14"/>
      <c r="B757" s="206"/>
      <c r="C757" s="6"/>
      <c r="D757" s="14"/>
      <c r="E757" s="185"/>
      <c r="F757" s="35"/>
      <c r="G757" s="185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</row>
    <row r="758" spans="1:28" ht="12.75">
      <c r="A758" s="14"/>
      <c r="B758" s="206"/>
      <c r="C758" s="6"/>
      <c r="D758" s="14"/>
      <c r="E758" s="185"/>
      <c r="F758" s="35"/>
      <c r="G758" s="185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</row>
    <row r="759" spans="1:28" ht="12.75">
      <c r="A759" s="14"/>
      <c r="B759" s="206"/>
      <c r="C759" s="6"/>
      <c r="D759" s="14"/>
      <c r="E759" s="185"/>
      <c r="F759" s="35"/>
      <c r="G759" s="185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</row>
    <row r="760" spans="1:28" ht="12.75">
      <c r="A760" s="14"/>
      <c r="B760" s="206"/>
      <c r="C760" s="6"/>
      <c r="D760" s="14"/>
      <c r="E760" s="185"/>
      <c r="F760" s="35"/>
      <c r="G760" s="185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</row>
    <row r="761" spans="1:28" ht="12.75">
      <c r="A761" s="14"/>
      <c r="B761" s="206"/>
      <c r="C761" s="6"/>
      <c r="D761" s="14"/>
      <c r="E761" s="185"/>
      <c r="F761" s="35"/>
      <c r="G761" s="185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</row>
    <row r="762" spans="1:28" ht="12.75">
      <c r="A762" s="14"/>
      <c r="B762" s="206"/>
      <c r="C762" s="6"/>
      <c r="D762" s="14"/>
      <c r="E762" s="185"/>
      <c r="F762" s="35"/>
      <c r="G762" s="185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</row>
    <row r="763" spans="1:28" ht="12.75">
      <c r="A763" s="14"/>
      <c r="B763" s="206"/>
      <c r="C763" s="6"/>
      <c r="D763" s="14"/>
      <c r="E763" s="185"/>
      <c r="F763" s="35"/>
      <c r="G763" s="185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</row>
    <row r="764" spans="1:28" ht="12.75">
      <c r="A764" s="14"/>
      <c r="B764" s="206"/>
      <c r="C764" s="6"/>
      <c r="D764" s="14"/>
      <c r="E764" s="185"/>
      <c r="F764" s="35"/>
      <c r="G764" s="185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</row>
    <row r="765" spans="1:28" ht="12.75">
      <c r="A765" s="14"/>
      <c r="B765" s="206"/>
      <c r="C765" s="6"/>
      <c r="D765" s="14"/>
      <c r="E765" s="185"/>
      <c r="F765" s="35"/>
      <c r="G765" s="185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</row>
    <row r="766" spans="1:28" ht="12.75">
      <c r="A766" s="14"/>
      <c r="B766" s="206"/>
      <c r="C766" s="6"/>
      <c r="D766" s="14"/>
      <c r="E766" s="185"/>
      <c r="F766" s="35"/>
      <c r="G766" s="185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</row>
    <row r="767" spans="1:28" ht="12.75">
      <c r="A767" s="14"/>
      <c r="B767" s="206"/>
      <c r="C767" s="6"/>
      <c r="D767" s="14"/>
      <c r="E767" s="185"/>
      <c r="F767" s="35"/>
      <c r="G767" s="185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</row>
    <row r="768" spans="1:28" ht="12.75">
      <c r="A768" s="14"/>
      <c r="B768" s="206"/>
      <c r="C768" s="6"/>
      <c r="D768" s="14"/>
      <c r="E768" s="185"/>
      <c r="F768" s="35"/>
      <c r="G768" s="185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</row>
    <row r="769" spans="1:28" ht="12.75">
      <c r="A769" s="14"/>
      <c r="B769" s="206"/>
      <c r="C769" s="6"/>
      <c r="D769" s="14"/>
      <c r="E769" s="185"/>
      <c r="F769" s="35"/>
      <c r="G769" s="185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</row>
    <row r="770" spans="1:28" ht="12.75">
      <c r="A770" s="14"/>
      <c r="B770" s="206"/>
      <c r="C770" s="6"/>
      <c r="D770" s="14"/>
      <c r="E770" s="185"/>
      <c r="F770" s="35"/>
      <c r="G770" s="185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</row>
    <row r="771" spans="1:28" ht="12.75">
      <c r="A771" s="14"/>
      <c r="B771" s="206"/>
      <c r="C771" s="6"/>
      <c r="D771" s="14"/>
      <c r="E771" s="185"/>
      <c r="F771" s="35"/>
      <c r="G771" s="185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</row>
    <row r="772" spans="1:28" ht="12.75">
      <c r="A772" s="14"/>
      <c r="B772" s="206"/>
      <c r="C772" s="6"/>
      <c r="D772" s="14"/>
      <c r="E772" s="185"/>
      <c r="F772" s="35"/>
      <c r="G772" s="185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</row>
    <row r="773" spans="1:28" ht="12.75">
      <c r="A773" s="14"/>
      <c r="B773" s="206"/>
      <c r="C773" s="6"/>
      <c r="D773" s="14"/>
      <c r="E773" s="185"/>
      <c r="F773" s="35"/>
      <c r="G773" s="185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</row>
    <row r="774" spans="1:28" ht="12.75">
      <c r="A774" s="14"/>
      <c r="B774" s="206"/>
      <c r="C774" s="6"/>
      <c r="D774" s="14"/>
      <c r="E774" s="185"/>
      <c r="F774" s="35"/>
      <c r="G774" s="185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</row>
    <row r="775" spans="1:28" ht="12.75">
      <c r="A775" s="14"/>
      <c r="B775" s="206"/>
      <c r="C775" s="6"/>
      <c r="D775" s="14"/>
      <c r="E775" s="185"/>
      <c r="F775" s="35"/>
      <c r="G775" s="185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</row>
    <row r="776" spans="1:28" ht="12.75">
      <c r="A776" s="14"/>
      <c r="B776" s="206"/>
      <c r="C776" s="6"/>
      <c r="D776" s="14"/>
      <c r="E776" s="185"/>
      <c r="F776" s="35"/>
      <c r="G776" s="185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</row>
    <row r="777" spans="1:28" ht="12.75">
      <c r="A777" s="14"/>
      <c r="B777" s="206"/>
      <c r="C777" s="6"/>
      <c r="D777" s="14"/>
      <c r="E777" s="185"/>
      <c r="F777" s="35"/>
      <c r="G777" s="185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</row>
    <row r="778" spans="1:28" ht="12.75">
      <c r="A778" s="14"/>
      <c r="B778" s="206"/>
      <c r="C778" s="6"/>
      <c r="D778" s="14"/>
      <c r="E778" s="185"/>
      <c r="F778" s="35"/>
      <c r="G778" s="185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</row>
    <row r="779" spans="1:28" ht="12.75">
      <c r="A779" s="14"/>
      <c r="B779" s="206"/>
      <c r="C779" s="6"/>
      <c r="D779" s="14"/>
      <c r="E779" s="185"/>
      <c r="F779" s="35"/>
      <c r="G779" s="185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</row>
    <row r="780" spans="1:28" ht="12.75">
      <c r="A780" s="14"/>
      <c r="B780" s="206"/>
      <c r="C780" s="6"/>
      <c r="D780" s="14"/>
      <c r="E780" s="185"/>
      <c r="F780" s="35"/>
      <c r="G780" s="185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</row>
    <row r="781" spans="1:28" ht="12.75">
      <c r="A781" s="14"/>
      <c r="B781" s="206"/>
      <c r="C781" s="6"/>
      <c r="D781" s="14"/>
      <c r="E781" s="185"/>
      <c r="F781" s="35"/>
      <c r="G781" s="185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</row>
    <row r="782" spans="1:28" ht="12.75">
      <c r="A782" s="14"/>
      <c r="B782" s="206"/>
      <c r="C782" s="6"/>
      <c r="D782" s="14"/>
      <c r="E782" s="185"/>
      <c r="F782" s="35"/>
      <c r="G782" s="185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</row>
    <row r="783" spans="1:28" ht="12.75">
      <c r="A783" s="14"/>
      <c r="B783" s="206"/>
      <c r="C783" s="6"/>
      <c r="D783" s="14"/>
      <c r="E783" s="185"/>
      <c r="F783" s="35"/>
      <c r="G783" s="185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</row>
    <row r="784" spans="1:28" ht="12.75">
      <c r="A784" s="14"/>
      <c r="B784" s="206"/>
      <c r="C784" s="6"/>
      <c r="D784" s="14"/>
      <c r="E784" s="185"/>
      <c r="F784" s="35"/>
      <c r="G784" s="185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</row>
    <row r="785" spans="1:28" ht="12.75">
      <c r="A785" s="14"/>
      <c r="B785" s="206"/>
      <c r="C785" s="6"/>
      <c r="D785" s="14"/>
      <c r="E785" s="185"/>
      <c r="F785" s="35"/>
      <c r="G785" s="185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</row>
    <row r="786" spans="1:28" ht="12.75">
      <c r="A786" s="14"/>
      <c r="B786" s="206"/>
      <c r="C786" s="6"/>
      <c r="D786" s="14"/>
      <c r="E786" s="185"/>
      <c r="F786" s="35"/>
      <c r="G786" s="185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</row>
    <row r="787" spans="1:28" ht="12.75">
      <c r="A787" s="14"/>
      <c r="B787" s="206"/>
      <c r="C787" s="6"/>
      <c r="D787" s="14"/>
      <c r="E787" s="185"/>
      <c r="F787" s="35"/>
      <c r="G787" s="185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</row>
    <row r="788" spans="1:28" ht="12.75">
      <c r="A788" s="14"/>
      <c r="B788" s="206"/>
      <c r="C788" s="6"/>
      <c r="D788" s="14"/>
      <c r="E788" s="185"/>
      <c r="F788" s="35"/>
      <c r="G788" s="185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</row>
    <row r="789" spans="1:28" ht="12.75">
      <c r="A789" s="14"/>
      <c r="B789" s="206"/>
      <c r="C789" s="6"/>
      <c r="D789" s="14"/>
      <c r="E789" s="185"/>
      <c r="F789" s="35"/>
      <c r="G789" s="185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</row>
    <row r="790" spans="1:28" ht="12.75">
      <c r="A790" s="14"/>
      <c r="B790" s="206"/>
      <c r="C790" s="6"/>
      <c r="D790" s="14"/>
      <c r="E790" s="185"/>
      <c r="F790" s="35"/>
      <c r="G790" s="185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</row>
    <row r="791" spans="1:28" ht="12.75">
      <c r="A791" s="14"/>
      <c r="B791" s="206"/>
      <c r="C791" s="6"/>
      <c r="D791" s="14"/>
      <c r="E791" s="185"/>
      <c r="F791" s="35"/>
      <c r="G791" s="185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</row>
    <row r="792" spans="1:28" ht="12.75">
      <c r="A792" s="14"/>
      <c r="B792" s="206"/>
      <c r="C792" s="6"/>
      <c r="D792" s="14"/>
      <c r="E792" s="185"/>
      <c r="F792" s="35"/>
      <c r="G792" s="185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</row>
    <row r="793" spans="1:28" ht="12.75">
      <c r="A793" s="14"/>
      <c r="B793" s="206"/>
      <c r="C793" s="6"/>
      <c r="D793" s="14"/>
      <c r="E793" s="185"/>
      <c r="F793" s="35"/>
      <c r="G793" s="185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</row>
    <row r="794" spans="1:28" ht="12.75">
      <c r="A794" s="14"/>
      <c r="B794" s="206"/>
      <c r="C794" s="6"/>
      <c r="D794" s="14"/>
      <c r="E794" s="185"/>
      <c r="F794" s="35"/>
      <c r="G794" s="185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</row>
    <row r="795" spans="1:28" ht="12.75">
      <c r="A795" s="14"/>
      <c r="B795" s="206"/>
      <c r="C795" s="6"/>
      <c r="D795" s="14"/>
      <c r="E795" s="185"/>
      <c r="F795" s="35"/>
      <c r="G795" s="185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</row>
    <row r="796" spans="1:28" ht="12.75">
      <c r="A796" s="14"/>
      <c r="B796" s="206"/>
      <c r="C796" s="6"/>
      <c r="D796" s="14"/>
      <c r="E796" s="185"/>
      <c r="F796" s="35"/>
      <c r="G796" s="185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</row>
    <row r="797" spans="1:28" ht="12.75">
      <c r="A797" s="14"/>
      <c r="B797" s="206"/>
      <c r="C797" s="6"/>
      <c r="D797" s="14"/>
      <c r="E797" s="185"/>
      <c r="F797" s="35"/>
      <c r="G797" s="185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</row>
    <row r="798" spans="1:28" ht="12.75">
      <c r="A798" s="14"/>
      <c r="B798" s="206"/>
      <c r="C798" s="6"/>
      <c r="D798" s="14"/>
      <c r="E798" s="185"/>
      <c r="F798" s="35"/>
      <c r="G798" s="185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</row>
    <row r="799" spans="1:28" ht="12.75">
      <c r="A799" s="14"/>
      <c r="B799" s="206"/>
      <c r="C799" s="6"/>
      <c r="D799" s="14"/>
      <c r="E799" s="185"/>
      <c r="F799" s="35"/>
      <c r="G799" s="185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</row>
    <row r="800" spans="1:28" ht="12.75">
      <c r="A800" s="14"/>
      <c r="B800" s="206"/>
      <c r="C800" s="6"/>
      <c r="D800" s="14"/>
      <c r="E800" s="185"/>
      <c r="F800" s="35"/>
      <c r="G800" s="185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</row>
    <row r="801" spans="1:28" ht="12.75">
      <c r="A801" s="14"/>
      <c r="B801" s="206"/>
      <c r="C801" s="6"/>
      <c r="D801" s="14"/>
      <c r="E801" s="185"/>
      <c r="F801" s="35"/>
      <c r="G801" s="185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</row>
    <row r="802" spans="1:28" ht="12.75">
      <c r="A802" s="14"/>
      <c r="B802" s="206"/>
      <c r="C802" s="6"/>
      <c r="D802" s="14"/>
      <c r="E802" s="185"/>
      <c r="F802" s="35"/>
      <c r="G802" s="185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</row>
    <row r="803" spans="1:28" ht="12.75">
      <c r="A803" s="14"/>
      <c r="B803" s="206"/>
      <c r="C803" s="6"/>
      <c r="D803" s="14"/>
      <c r="E803" s="185"/>
      <c r="F803" s="35"/>
      <c r="G803" s="185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</row>
    <row r="804" spans="1:28" ht="12.75">
      <c r="A804" s="14"/>
      <c r="B804" s="206"/>
      <c r="C804" s="6"/>
      <c r="D804" s="14"/>
      <c r="E804" s="185"/>
      <c r="F804" s="35"/>
      <c r="G804" s="185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</row>
    <row r="805" spans="1:28" ht="12.75">
      <c r="A805" s="14"/>
      <c r="B805" s="206"/>
      <c r="C805" s="6"/>
      <c r="D805" s="14"/>
      <c r="E805" s="185"/>
      <c r="F805" s="35"/>
      <c r="G805" s="185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</row>
    <row r="806" spans="1:28" ht="12.75">
      <c r="A806" s="14"/>
      <c r="B806" s="206"/>
      <c r="C806" s="6"/>
      <c r="D806" s="14"/>
      <c r="E806" s="185"/>
      <c r="F806" s="35"/>
      <c r="G806" s="185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</row>
    <row r="807" spans="1:28" ht="12.75">
      <c r="A807" s="14"/>
      <c r="B807" s="206"/>
      <c r="C807" s="6"/>
      <c r="D807" s="14"/>
      <c r="E807" s="185"/>
      <c r="F807" s="35"/>
      <c r="G807" s="185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</row>
    <row r="808" spans="1:28" ht="12.75">
      <c r="A808" s="14"/>
      <c r="B808" s="206"/>
      <c r="C808" s="6"/>
      <c r="D808" s="14"/>
      <c r="E808" s="185"/>
      <c r="F808" s="35"/>
      <c r="G808" s="185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</row>
    <row r="809" spans="1:28" ht="12.75">
      <c r="A809" s="14"/>
      <c r="B809" s="206"/>
      <c r="C809" s="6"/>
      <c r="D809" s="14"/>
      <c r="E809" s="185"/>
      <c r="F809" s="35"/>
      <c r="G809" s="185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</row>
    <row r="810" spans="1:28" ht="12.75">
      <c r="A810" s="14"/>
      <c r="B810" s="206"/>
      <c r="C810" s="6"/>
      <c r="D810" s="14"/>
      <c r="E810" s="185"/>
      <c r="F810" s="35"/>
      <c r="G810" s="185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</row>
    <row r="811" spans="1:28" ht="12.75">
      <c r="A811" s="14"/>
      <c r="B811" s="206"/>
      <c r="C811" s="6"/>
      <c r="D811" s="14"/>
      <c r="E811" s="185"/>
      <c r="F811" s="35"/>
      <c r="G811" s="185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</row>
    <row r="812" spans="1:28" ht="12.75">
      <c r="A812" s="14"/>
      <c r="B812" s="206"/>
      <c r="C812" s="6"/>
      <c r="D812" s="14"/>
      <c r="E812" s="185"/>
      <c r="F812" s="35"/>
      <c r="G812" s="185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</row>
    <row r="813" spans="1:28" ht="12.75">
      <c r="A813" s="14"/>
      <c r="B813" s="206"/>
      <c r="C813" s="6"/>
      <c r="D813" s="14"/>
      <c r="E813" s="185"/>
      <c r="F813" s="35"/>
      <c r="G813" s="185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</row>
    <row r="814" spans="1:28" ht="12.75">
      <c r="A814" s="14"/>
      <c r="B814" s="206"/>
      <c r="C814" s="6"/>
      <c r="D814" s="14"/>
      <c r="E814" s="185"/>
      <c r="F814" s="35"/>
      <c r="G814" s="185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</row>
    <row r="815" spans="1:28" ht="12.75">
      <c r="A815" s="14"/>
      <c r="B815" s="206"/>
      <c r="C815" s="6"/>
      <c r="D815" s="14"/>
      <c r="E815" s="185"/>
      <c r="F815" s="35"/>
      <c r="G815" s="185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</row>
    <row r="816" spans="1:28" ht="12.75">
      <c r="A816" s="14"/>
      <c r="B816" s="206"/>
      <c r="C816" s="6"/>
      <c r="D816" s="14"/>
      <c r="E816" s="185"/>
      <c r="F816" s="35"/>
      <c r="G816" s="185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</row>
    <row r="817" spans="1:28" ht="12.75">
      <c r="A817" s="14"/>
      <c r="B817" s="206"/>
      <c r="C817" s="6"/>
      <c r="D817" s="14"/>
      <c r="E817" s="185"/>
      <c r="F817" s="35"/>
      <c r="G817" s="185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</row>
    <row r="818" spans="1:28" ht="12.75">
      <c r="A818" s="14"/>
      <c r="B818" s="206"/>
      <c r="C818" s="6"/>
      <c r="D818" s="14"/>
      <c r="E818" s="185"/>
      <c r="F818" s="35"/>
      <c r="G818" s="185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</row>
    <row r="819" spans="1:28" ht="12.75">
      <c r="A819" s="14"/>
      <c r="B819" s="206"/>
      <c r="C819" s="6"/>
      <c r="D819" s="14"/>
      <c r="E819" s="185"/>
      <c r="F819" s="35"/>
      <c r="G819" s="185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</row>
    <row r="820" spans="1:28" ht="12.75">
      <c r="A820" s="14"/>
      <c r="B820" s="206"/>
      <c r="C820" s="6"/>
      <c r="D820" s="14"/>
      <c r="E820" s="185"/>
      <c r="F820" s="35"/>
      <c r="G820" s="185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</row>
    <row r="821" spans="1:28" ht="12.75">
      <c r="A821" s="14"/>
      <c r="B821" s="206"/>
      <c r="C821" s="6"/>
      <c r="D821" s="14"/>
      <c r="E821" s="185"/>
      <c r="F821" s="35"/>
      <c r="G821" s="185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</row>
    <row r="822" spans="1:28" ht="12.75">
      <c r="A822" s="14"/>
      <c r="B822" s="206"/>
      <c r="C822" s="6"/>
      <c r="D822" s="14"/>
      <c r="E822" s="185"/>
      <c r="F822" s="35"/>
      <c r="G822" s="185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 spans="1:28" ht="12.75">
      <c r="A823" s="14"/>
      <c r="B823" s="206"/>
      <c r="C823" s="6"/>
      <c r="D823" s="14"/>
      <c r="E823" s="185"/>
      <c r="F823" s="35"/>
      <c r="G823" s="185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</row>
    <row r="824" spans="1:28" ht="12.75">
      <c r="A824" s="14"/>
      <c r="B824" s="206"/>
      <c r="C824" s="6"/>
      <c r="D824" s="14"/>
      <c r="E824" s="185"/>
      <c r="F824" s="35"/>
      <c r="G824" s="185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</row>
    <row r="825" spans="1:28" ht="12.75">
      <c r="A825" s="14"/>
      <c r="B825" s="206"/>
      <c r="C825" s="6"/>
      <c r="D825" s="14"/>
      <c r="E825" s="185"/>
      <c r="F825" s="35"/>
      <c r="G825" s="185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</row>
    <row r="826" spans="1:28" ht="12.75">
      <c r="A826" s="14"/>
      <c r="B826" s="206"/>
      <c r="C826" s="6"/>
      <c r="D826" s="14"/>
      <c r="E826" s="185"/>
      <c r="F826" s="35"/>
      <c r="G826" s="185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</row>
    <row r="827" spans="1:28" ht="12.75">
      <c r="A827" s="14"/>
      <c r="B827" s="206"/>
      <c r="C827" s="6"/>
      <c r="D827" s="14"/>
      <c r="E827" s="185"/>
      <c r="F827" s="35"/>
      <c r="G827" s="185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</row>
    <row r="828" spans="1:28" ht="12.75">
      <c r="A828" s="14"/>
      <c r="B828" s="206"/>
      <c r="C828" s="6"/>
      <c r="D828" s="14"/>
      <c r="E828" s="185"/>
      <c r="F828" s="35"/>
      <c r="G828" s="185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</row>
    <row r="829" spans="1:28" ht="12.75">
      <c r="A829" s="14"/>
      <c r="B829" s="206"/>
      <c r="C829" s="6"/>
      <c r="D829" s="14"/>
      <c r="E829" s="185"/>
      <c r="F829" s="35"/>
      <c r="G829" s="185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</row>
    <row r="830" spans="1:28" ht="12.75">
      <c r="A830" s="14"/>
      <c r="B830" s="206"/>
      <c r="C830" s="6"/>
      <c r="D830" s="14"/>
      <c r="E830" s="185"/>
      <c r="F830" s="35"/>
      <c r="G830" s="185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</row>
    <row r="831" spans="1:28" ht="12.75">
      <c r="A831" s="14"/>
      <c r="B831" s="206"/>
      <c r="C831" s="6"/>
      <c r="D831" s="14"/>
      <c r="E831" s="185"/>
      <c r="F831" s="35"/>
      <c r="G831" s="185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</row>
    <row r="832" spans="1:28" ht="12.75">
      <c r="A832" s="14"/>
      <c r="B832" s="206"/>
      <c r="C832" s="6"/>
      <c r="D832" s="14"/>
      <c r="E832" s="185"/>
      <c r="F832" s="35"/>
      <c r="G832" s="185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</row>
    <row r="833" spans="1:28" ht="12.75">
      <c r="A833" s="14"/>
      <c r="B833" s="206"/>
      <c r="C833" s="6"/>
      <c r="D833" s="14"/>
      <c r="E833" s="185"/>
      <c r="F833" s="35"/>
      <c r="G833" s="185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</row>
    <row r="834" spans="1:28" ht="12.75">
      <c r="A834" s="14"/>
      <c r="B834" s="206"/>
      <c r="C834" s="6"/>
      <c r="D834" s="14"/>
      <c r="E834" s="185"/>
      <c r="F834" s="35"/>
      <c r="G834" s="185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</row>
    <row r="835" spans="1:28" ht="12.75">
      <c r="A835" s="14"/>
      <c r="B835" s="206"/>
      <c r="C835" s="6"/>
      <c r="D835" s="14"/>
      <c r="E835" s="185"/>
      <c r="F835" s="35"/>
      <c r="G835" s="185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</row>
    <row r="836" spans="1:28" ht="12.75">
      <c r="A836" s="14"/>
      <c r="B836" s="206"/>
      <c r="C836" s="6"/>
      <c r="D836" s="14"/>
      <c r="E836" s="185"/>
      <c r="F836" s="35"/>
      <c r="G836" s="185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</row>
    <row r="837" spans="1:28" ht="12.75">
      <c r="A837" s="14"/>
      <c r="B837" s="206"/>
      <c r="C837" s="6"/>
      <c r="D837" s="14"/>
      <c r="E837" s="185"/>
      <c r="F837" s="35"/>
      <c r="G837" s="185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</row>
    <row r="838" spans="1:28" ht="12.75">
      <c r="A838" s="14"/>
      <c r="B838" s="206"/>
      <c r="C838" s="6"/>
      <c r="D838" s="14"/>
      <c r="E838" s="185"/>
      <c r="F838" s="35"/>
      <c r="G838" s="185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</row>
    <row r="839" spans="1:28" ht="12.75">
      <c r="A839" s="14"/>
      <c r="B839" s="206"/>
      <c r="C839" s="6"/>
      <c r="D839" s="14"/>
      <c r="E839" s="185"/>
      <c r="F839" s="35"/>
      <c r="G839" s="185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</row>
    <row r="840" spans="1:28" ht="12.75">
      <c r="A840" s="14"/>
      <c r="B840" s="206"/>
      <c r="C840" s="6"/>
      <c r="D840" s="14"/>
      <c r="E840" s="185"/>
      <c r="F840" s="35"/>
      <c r="G840" s="185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</row>
    <row r="841" spans="1:28" ht="12.75">
      <c r="A841" s="14"/>
      <c r="B841" s="206"/>
      <c r="C841" s="6"/>
      <c r="D841" s="14"/>
      <c r="E841" s="185"/>
      <c r="F841" s="35"/>
      <c r="G841" s="185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</row>
    <row r="842" spans="1:28" ht="12.75">
      <c r="A842" s="14"/>
      <c r="B842" s="206"/>
      <c r="C842" s="6"/>
      <c r="D842" s="14"/>
      <c r="E842" s="185"/>
      <c r="F842" s="35"/>
      <c r="G842" s="185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</row>
    <row r="843" spans="1:28" ht="12.75">
      <c r="A843" s="14"/>
      <c r="B843" s="206"/>
      <c r="C843" s="6"/>
      <c r="D843" s="14"/>
      <c r="E843" s="185"/>
      <c r="F843" s="35"/>
      <c r="G843" s="185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</row>
    <row r="844" spans="1:28" ht="12.75">
      <c r="A844" s="14"/>
      <c r="B844" s="206"/>
      <c r="C844" s="6"/>
      <c r="D844" s="14"/>
      <c r="E844" s="185"/>
      <c r="F844" s="35"/>
      <c r="G844" s="185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</row>
    <row r="845" spans="1:28" ht="12.75">
      <c r="A845" s="14"/>
      <c r="B845" s="206"/>
      <c r="C845" s="6"/>
      <c r="D845" s="14"/>
      <c r="E845" s="185"/>
      <c r="F845" s="35"/>
      <c r="G845" s="185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</row>
    <row r="846" spans="1:28" ht="12.75">
      <c r="A846" s="14"/>
      <c r="B846" s="206"/>
      <c r="C846" s="6"/>
      <c r="D846" s="14"/>
      <c r="E846" s="185"/>
      <c r="F846" s="35"/>
      <c r="G846" s="185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</row>
    <row r="847" spans="1:28" ht="12.75">
      <c r="A847" s="14"/>
      <c r="B847" s="206"/>
      <c r="C847" s="6"/>
      <c r="D847" s="14"/>
      <c r="E847" s="185"/>
      <c r="F847" s="35"/>
      <c r="G847" s="185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</row>
    <row r="848" spans="1:28" ht="12.75">
      <c r="A848" s="14"/>
      <c r="B848" s="206"/>
      <c r="C848" s="6"/>
      <c r="D848" s="14"/>
      <c r="E848" s="185"/>
      <c r="F848" s="35"/>
      <c r="G848" s="185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 spans="1:28" ht="12.75">
      <c r="A849" s="14"/>
      <c r="B849" s="206"/>
      <c r="C849" s="6"/>
      <c r="D849" s="14"/>
      <c r="E849" s="185"/>
      <c r="F849" s="35"/>
      <c r="G849" s="185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</row>
    <row r="850" spans="1:28" ht="12.75">
      <c r="A850" s="14"/>
      <c r="B850" s="206"/>
      <c r="C850" s="6"/>
      <c r="D850" s="14"/>
      <c r="E850" s="185"/>
      <c r="F850" s="35"/>
      <c r="G850" s="185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</row>
    <row r="851" spans="1:28" ht="12.75">
      <c r="A851" s="14"/>
      <c r="B851" s="206"/>
      <c r="C851" s="6"/>
      <c r="D851" s="14"/>
      <c r="E851" s="185"/>
      <c r="F851" s="35"/>
      <c r="G851" s="185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</row>
    <row r="852" spans="1:28" ht="12.75">
      <c r="A852" s="14"/>
      <c r="B852" s="206"/>
      <c r="C852" s="6"/>
      <c r="D852" s="14"/>
      <c r="E852" s="185"/>
      <c r="F852" s="35"/>
      <c r="G852" s="185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</row>
    <row r="853" spans="1:28" ht="12.75">
      <c r="A853" s="14"/>
      <c r="B853" s="206"/>
      <c r="C853" s="6"/>
      <c r="D853" s="14"/>
      <c r="E853" s="185"/>
      <c r="F853" s="35"/>
      <c r="G853" s="185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</row>
    <row r="854" spans="1:28" ht="12.75">
      <c r="A854" s="14"/>
      <c r="B854" s="206"/>
      <c r="C854" s="6"/>
      <c r="D854" s="14"/>
      <c r="E854" s="185"/>
      <c r="F854" s="35"/>
      <c r="G854" s="185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</row>
    <row r="855" spans="1:28" ht="12.75">
      <c r="A855" s="14"/>
      <c r="B855" s="206"/>
      <c r="C855" s="6"/>
      <c r="D855" s="14"/>
      <c r="E855" s="185"/>
      <c r="F855" s="35"/>
      <c r="G855" s="185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</row>
    <row r="856" spans="1:28" ht="12.75">
      <c r="A856" s="14"/>
      <c r="B856" s="206"/>
      <c r="C856" s="6"/>
      <c r="D856" s="14"/>
      <c r="E856" s="185"/>
      <c r="F856" s="35"/>
      <c r="G856" s="185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</row>
    <row r="857" spans="1:28" ht="12.75">
      <c r="A857" s="14"/>
      <c r="B857" s="206"/>
      <c r="C857" s="6"/>
      <c r="D857" s="14"/>
      <c r="E857" s="185"/>
      <c r="F857" s="35"/>
      <c r="G857" s="185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</row>
    <row r="858" spans="1:28" ht="12.75">
      <c r="A858" s="14"/>
      <c r="B858" s="206"/>
      <c r="C858" s="6"/>
      <c r="D858" s="14"/>
      <c r="E858" s="185"/>
      <c r="F858" s="35"/>
      <c r="G858" s="185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</row>
    <row r="859" spans="1:28" ht="12.75">
      <c r="A859" s="14"/>
      <c r="B859" s="206"/>
      <c r="C859" s="6"/>
      <c r="D859" s="14"/>
      <c r="E859" s="185"/>
      <c r="F859" s="35"/>
      <c r="G859" s="185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</row>
    <row r="860" spans="1:28" ht="12.75">
      <c r="A860" s="14"/>
      <c r="B860" s="206"/>
      <c r="C860" s="6"/>
      <c r="D860" s="14"/>
      <c r="E860" s="185"/>
      <c r="F860" s="35"/>
      <c r="G860" s="185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</row>
    <row r="861" spans="1:28" ht="12.75">
      <c r="A861" s="14"/>
      <c r="B861" s="206"/>
      <c r="C861" s="6"/>
      <c r="D861" s="14"/>
      <c r="E861" s="185"/>
      <c r="F861" s="35"/>
      <c r="G861" s="185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</row>
    <row r="862" spans="1:28" ht="12.75">
      <c r="A862" s="14"/>
      <c r="B862" s="206"/>
      <c r="C862" s="6"/>
      <c r="D862" s="14"/>
      <c r="E862" s="185"/>
      <c r="F862" s="35"/>
      <c r="G862" s="185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</row>
    <row r="863" spans="1:28" ht="12.75">
      <c r="A863" s="14"/>
      <c r="B863" s="206"/>
      <c r="C863" s="6"/>
      <c r="D863" s="14"/>
      <c r="E863" s="185"/>
      <c r="F863" s="35"/>
      <c r="G863" s="185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</row>
    <row r="864" spans="1:28" ht="12.75">
      <c r="A864" s="14"/>
      <c r="B864" s="206"/>
      <c r="C864" s="6"/>
      <c r="D864" s="14"/>
      <c r="E864" s="185"/>
      <c r="F864" s="35"/>
      <c r="G864" s="185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</row>
    <row r="865" spans="1:28" ht="12.75">
      <c r="A865" s="14"/>
      <c r="B865" s="206"/>
      <c r="C865" s="6"/>
      <c r="D865" s="14"/>
      <c r="E865" s="185"/>
      <c r="F865" s="35"/>
      <c r="G865" s="185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</row>
    <row r="866" spans="1:28" ht="12.75">
      <c r="A866" s="14"/>
      <c r="B866" s="206"/>
      <c r="C866" s="6"/>
      <c r="D866" s="14"/>
      <c r="E866" s="185"/>
      <c r="F866" s="35"/>
      <c r="G866" s="185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</row>
    <row r="867" spans="1:28" ht="12.75">
      <c r="A867" s="14"/>
      <c r="B867" s="206"/>
      <c r="C867" s="6"/>
      <c r="D867" s="14"/>
      <c r="E867" s="185"/>
      <c r="F867" s="35"/>
      <c r="G867" s="185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</row>
    <row r="868" spans="1:28" ht="12.75">
      <c r="A868" s="14"/>
      <c r="B868" s="206"/>
      <c r="C868" s="6"/>
      <c r="D868" s="14"/>
      <c r="E868" s="185"/>
      <c r="F868" s="35"/>
      <c r="G868" s="185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</row>
    <row r="869" spans="1:28" ht="12.75">
      <c r="A869" s="14"/>
      <c r="B869" s="206"/>
      <c r="C869" s="6"/>
      <c r="D869" s="14"/>
      <c r="E869" s="185"/>
      <c r="F869" s="35"/>
      <c r="G869" s="185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</row>
    <row r="870" spans="1:28" ht="12.75">
      <c r="A870" s="14"/>
      <c r="B870" s="206"/>
      <c r="C870" s="6"/>
      <c r="D870" s="14"/>
      <c r="E870" s="185"/>
      <c r="F870" s="35"/>
      <c r="G870" s="185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</row>
    <row r="871" spans="1:28" ht="12.75">
      <c r="A871" s="14"/>
      <c r="B871" s="206"/>
      <c r="C871" s="6"/>
      <c r="D871" s="14"/>
      <c r="E871" s="185"/>
      <c r="F871" s="35"/>
      <c r="G871" s="185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</row>
    <row r="872" spans="1:28" ht="12.75">
      <c r="A872" s="14"/>
      <c r="B872" s="206"/>
      <c r="C872" s="6"/>
      <c r="D872" s="14"/>
      <c r="E872" s="185"/>
      <c r="F872" s="35"/>
      <c r="G872" s="185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</row>
    <row r="873" spans="1:28" ht="12.75">
      <c r="A873" s="14"/>
      <c r="B873" s="206"/>
      <c r="C873" s="6"/>
      <c r="D873" s="14"/>
      <c r="E873" s="185"/>
      <c r="F873" s="35"/>
      <c r="G873" s="185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</row>
    <row r="874" spans="1:28" ht="12.75">
      <c r="A874" s="14"/>
      <c r="B874" s="206"/>
      <c r="C874" s="6"/>
      <c r="D874" s="14"/>
      <c r="E874" s="185"/>
      <c r="F874" s="35"/>
      <c r="G874" s="185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</row>
    <row r="875" spans="1:28" ht="12.75">
      <c r="A875" s="14"/>
      <c r="B875" s="206"/>
      <c r="C875" s="6"/>
      <c r="D875" s="14"/>
      <c r="E875" s="185"/>
      <c r="F875" s="35"/>
      <c r="G875" s="185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</row>
    <row r="876" spans="1:28" ht="12.75">
      <c r="A876" s="14"/>
      <c r="B876" s="206"/>
      <c r="C876" s="6"/>
      <c r="D876" s="14"/>
      <c r="E876" s="185"/>
      <c r="F876" s="35"/>
      <c r="G876" s="185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</row>
    <row r="877" spans="1:28" ht="12.75">
      <c r="A877" s="14"/>
      <c r="B877" s="206"/>
      <c r="C877" s="6"/>
      <c r="D877" s="14"/>
      <c r="E877" s="185"/>
      <c r="F877" s="35"/>
      <c r="G877" s="185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</row>
    <row r="878" spans="1:28" ht="12.75">
      <c r="A878" s="14"/>
      <c r="B878" s="206"/>
      <c r="C878" s="6"/>
      <c r="D878" s="14"/>
      <c r="E878" s="185"/>
      <c r="F878" s="35"/>
      <c r="G878" s="185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</row>
    <row r="879" spans="1:28" ht="12.75">
      <c r="A879" s="14"/>
      <c r="B879" s="206"/>
      <c r="C879" s="6"/>
      <c r="D879" s="14"/>
      <c r="E879" s="185"/>
      <c r="F879" s="35"/>
      <c r="G879" s="185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</row>
    <row r="880" spans="1:28" ht="12.75">
      <c r="A880" s="14"/>
      <c r="B880" s="206"/>
      <c r="C880" s="6"/>
      <c r="D880" s="14"/>
      <c r="E880" s="185"/>
      <c r="F880" s="35"/>
      <c r="G880" s="185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</row>
    <row r="881" spans="1:28" ht="12.75">
      <c r="A881" s="14"/>
      <c r="B881" s="206"/>
      <c r="C881" s="6"/>
      <c r="D881" s="14"/>
      <c r="E881" s="185"/>
      <c r="F881" s="35"/>
      <c r="G881" s="185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</row>
    <row r="882" spans="1:28" ht="12.75">
      <c r="A882" s="14"/>
      <c r="B882" s="206"/>
      <c r="C882" s="6"/>
      <c r="D882" s="14"/>
      <c r="E882" s="185"/>
      <c r="F882" s="35"/>
      <c r="G882" s="185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</row>
    <row r="883" spans="1:28" ht="12.75">
      <c r="A883" s="14"/>
      <c r="B883" s="206"/>
      <c r="C883" s="6"/>
      <c r="D883" s="14"/>
      <c r="E883" s="185"/>
      <c r="F883" s="35"/>
      <c r="G883" s="185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</row>
    <row r="884" spans="1:28" ht="12.75">
      <c r="A884" s="14"/>
      <c r="B884" s="206"/>
      <c r="C884" s="6"/>
      <c r="D884" s="14"/>
      <c r="E884" s="185"/>
      <c r="F884" s="35"/>
      <c r="G884" s="185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</row>
    <row r="885" spans="1:28" ht="12.75">
      <c r="A885" s="14"/>
      <c r="B885" s="206"/>
      <c r="C885" s="6"/>
      <c r="D885" s="14"/>
      <c r="E885" s="185"/>
      <c r="F885" s="35"/>
      <c r="G885" s="185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</row>
    <row r="886" spans="1:28" ht="12.75">
      <c r="A886" s="14"/>
      <c r="B886" s="206"/>
      <c r="C886" s="6"/>
      <c r="D886" s="14"/>
      <c r="E886" s="185"/>
      <c r="F886" s="35"/>
      <c r="G886" s="185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</row>
    <row r="887" spans="1:28" ht="12.75">
      <c r="A887" s="14"/>
      <c r="B887" s="206"/>
      <c r="C887" s="6"/>
      <c r="D887" s="14"/>
      <c r="E887" s="185"/>
      <c r="F887" s="35"/>
      <c r="G887" s="185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</row>
    <row r="888" spans="1:28" ht="12.75">
      <c r="A888" s="14"/>
      <c r="B888" s="206"/>
      <c r="C888" s="6"/>
      <c r="D888" s="14"/>
      <c r="E888" s="185"/>
      <c r="F888" s="35"/>
      <c r="G888" s="185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</row>
    <row r="889" spans="1:28" ht="12.75">
      <c r="A889" s="14"/>
      <c r="B889" s="206"/>
      <c r="C889" s="6"/>
      <c r="D889" s="14"/>
      <c r="E889" s="185"/>
      <c r="F889" s="35"/>
      <c r="G889" s="185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</row>
    <row r="890" spans="1:28" ht="12.75">
      <c r="A890" s="14"/>
      <c r="B890" s="206"/>
      <c r="C890" s="6"/>
      <c r="D890" s="14"/>
      <c r="E890" s="185"/>
      <c r="F890" s="35"/>
      <c r="G890" s="185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</row>
    <row r="891" spans="1:28" ht="12.75">
      <c r="A891" s="14"/>
      <c r="B891" s="206"/>
      <c r="C891" s="6"/>
      <c r="D891" s="14"/>
      <c r="E891" s="185"/>
      <c r="F891" s="35"/>
      <c r="G891" s="185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</row>
    <row r="892" spans="1:28" ht="12.75">
      <c r="A892" s="14"/>
      <c r="B892" s="206"/>
      <c r="C892" s="6"/>
      <c r="D892" s="14"/>
      <c r="E892" s="185"/>
      <c r="F892" s="35"/>
      <c r="G892" s="185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</row>
    <row r="893" spans="1:28" ht="12.75">
      <c r="A893" s="14"/>
      <c r="B893" s="206"/>
      <c r="C893" s="6"/>
      <c r="D893" s="14"/>
      <c r="E893" s="185"/>
      <c r="F893" s="35"/>
      <c r="G893" s="185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</row>
    <row r="894" spans="1:28" ht="12.75">
      <c r="A894" s="14"/>
      <c r="B894" s="206"/>
      <c r="C894" s="6"/>
      <c r="D894" s="14"/>
      <c r="E894" s="185"/>
      <c r="F894" s="35"/>
      <c r="G894" s="185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</row>
    <row r="895" spans="1:28" ht="12.75">
      <c r="A895" s="14"/>
      <c r="B895" s="206"/>
      <c r="C895" s="6"/>
      <c r="D895" s="14"/>
      <c r="E895" s="185"/>
      <c r="F895" s="35"/>
      <c r="G895" s="185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</row>
    <row r="896" spans="1:28" ht="12.75">
      <c r="A896" s="14"/>
      <c r="B896" s="206"/>
      <c r="C896" s="6"/>
      <c r="D896" s="14"/>
      <c r="E896" s="185"/>
      <c r="F896" s="35"/>
      <c r="G896" s="185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</row>
    <row r="897" spans="1:28" ht="12.75">
      <c r="A897" s="14"/>
      <c r="B897" s="206"/>
      <c r="C897" s="6"/>
      <c r="D897" s="14"/>
      <c r="E897" s="185"/>
      <c r="F897" s="35"/>
      <c r="G897" s="185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</row>
    <row r="898" spans="1:28" ht="12.75">
      <c r="A898" s="14"/>
      <c r="B898" s="206"/>
      <c r="C898" s="6"/>
      <c r="D898" s="14"/>
      <c r="E898" s="185"/>
      <c r="F898" s="35"/>
      <c r="G898" s="185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</row>
    <row r="899" spans="1:28" ht="12.75">
      <c r="A899" s="14"/>
      <c r="B899" s="206"/>
      <c r="C899" s="6"/>
      <c r="D899" s="14"/>
      <c r="E899" s="185"/>
      <c r="F899" s="35"/>
      <c r="G899" s="185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</row>
    <row r="900" spans="1:28" ht="12.75">
      <c r="A900" s="14"/>
      <c r="B900" s="206"/>
      <c r="C900" s="6"/>
      <c r="D900" s="14"/>
      <c r="E900" s="185"/>
      <c r="F900" s="35"/>
      <c r="G900" s="185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</row>
    <row r="901" spans="1:28" ht="12.75">
      <c r="A901" s="14"/>
      <c r="B901" s="206"/>
      <c r="C901" s="6"/>
      <c r="D901" s="14"/>
      <c r="E901" s="185"/>
      <c r="F901" s="35"/>
      <c r="G901" s="185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</row>
    <row r="902" spans="1:28" ht="12.75">
      <c r="A902" s="14"/>
      <c r="B902" s="206"/>
      <c r="C902" s="6"/>
      <c r="D902" s="14"/>
      <c r="E902" s="185"/>
      <c r="F902" s="35"/>
      <c r="G902" s="185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</row>
    <row r="903" spans="1:28" ht="12.75">
      <c r="A903" s="14"/>
      <c r="B903" s="206"/>
      <c r="C903" s="6"/>
      <c r="D903" s="14"/>
      <c r="E903" s="185"/>
      <c r="F903" s="35"/>
      <c r="G903" s="185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</row>
    <row r="904" spans="1:28" ht="12.75">
      <c r="A904" s="14"/>
      <c r="B904" s="206"/>
      <c r="C904" s="6"/>
      <c r="D904" s="14"/>
      <c r="E904" s="185"/>
      <c r="F904" s="35"/>
      <c r="G904" s="185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</row>
    <row r="905" spans="1:28" ht="12.75">
      <c r="A905" s="14"/>
      <c r="B905" s="206"/>
      <c r="C905" s="6"/>
      <c r="D905" s="14"/>
      <c r="E905" s="185"/>
      <c r="F905" s="35"/>
      <c r="G905" s="185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 spans="1:28" ht="12.75">
      <c r="A906" s="14"/>
      <c r="B906" s="206"/>
      <c r="C906" s="6"/>
      <c r="D906" s="14"/>
      <c r="E906" s="185"/>
      <c r="F906" s="35"/>
      <c r="G906" s="185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</row>
    <row r="907" spans="1:28" ht="12.75">
      <c r="A907" s="14"/>
      <c r="B907" s="206"/>
      <c r="C907" s="6"/>
      <c r="D907" s="14"/>
      <c r="E907" s="185"/>
      <c r="F907" s="35"/>
      <c r="G907" s="185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</row>
    <row r="908" spans="1:28" ht="12.75">
      <c r="A908" s="14"/>
      <c r="B908" s="206"/>
      <c r="C908" s="6"/>
      <c r="D908" s="14"/>
      <c r="E908" s="185"/>
      <c r="F908" s="35"/>
      <c r="G908" s="185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</row>
    <row r="909" spans="1:28" ht="12.75">
      <c r="A909" s="14"/>
      <c r="B909" s="206"/>
      <c r="C909" s="6"/>
      <c r="D909" s="14"/>
      <c r="E909" s="185"/>
      <c r="F909" s="35"/>
      <c r="G909" s="185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</row>
    <row r="910" spans="1:28" ht="12.75">
      <c r="A910" s="14"/>
      <c r="B910" s="206"/>
      <c r="C910" s="6"/>
      <c r="D910" s="14"/>
      <c r="E910" s="185"/>
      <c r="F910" s="35"/>
      <c r="G910" s="185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</row>
    <row r="911" spans="1:28" ht="12.75">
      <c r="A911" s="14"/>
      <c r="B911" s="206"/>
      <c r="C911" s="6"/>
      <c r="D911" s="14"/>
      <c r="E911" s="185"/>
      <c r="F911" s="35"/>
      <c r="G911" s="185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</row>
    <row r="912" spans="1:28" ht="12.75">
      <c r="A912" s="14"/>
      <c r="B912" s="206"/>
      <c r="C912" s="6"/>
      <c r="D912" s="14"/>
      <c r="E912" s="185"/>
      <c r="F912" s="35"/>
      <c r="G912" s="185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</row>
    <row r="913" spans="1:28" ht="12.75">
      <c r="A913" s="14"/>
      <c r="B913" s="206"/>
      <c r="C913" s="6"/>
      <c r="D913" s="14"/>
      <c r="E913" s="185"/>
      <c r="F913" s="35"/>
      <c r="G913" s="185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</row>
    <row r="914" spans="1:28" ht="12.75">
      <c r="A914" s="14"/>
      <c r="B914" s="206"/>
      <c r="C914" s="6"/>
      <c r="D914" s="14"/>
      <c r="E914" s="185"/>
      <c r="F914" s="35"/>
      <c r="G914" s="185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</row>
    <row r="915" spans="1:28" ht="12.75">
      <c r="A915" s="14"/>
      <c r="B915" s="206"/>
      <c r="C915" s="6"/>
      <c r="D915" s="14"/>
      <c r="E915" s="185"/>
      <c r="F915" s="35"/>
      <c r="G915" s="185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</row>
    <row r="916" spans="1:28" ht="12.75">
      <c r="A916" s="14"/>
      <c r="B916" s="206"/>
      <c r="C916" s="6"/>
      <c r="D916" s="14"/>
      <c r="E916" s="185"/>
      <c r="F916" s="35"/>
      <c r="G916" s="185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</row>
    <row r="917" spans="1:28" ht="12.75">
      <c r="A917" s="14"/>
      <c r="B917" s="206"/>
      <c r="C917" s="6"/>
      <c r="D917" s="14"/>
      <c r="E917" s="185"/>
      <c r="F917" s="35"/>
      <c r="G917" s="185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</row>
    <row r="918" spans="1:28" ht="12.75">
      <c r="A918" s="14"/>
      <c r="B918" s="206"/>
      <c r="C918" s="6"/>
      <c r="D918" s="14"/>
      <c r="E918" s="185"/>
      <c r="F918" s="35"/>
      <c r="G918" s="185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</row>
    <row r="919" spans="1:28" ht="12.75">
      <c r="A919" s="14"/>
      <c r="B919" s="206"/>
      <c r="C919" s="6"/>
      <c r="D919" s="14"/>
      <c r="E919" s="185"/>
      <c r="F919" s="35"/>
      <c r="G919" s="185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</row>
    <row r="920" spans="1:28" ht="12.75">
      <c r="A920" s="14"/>
      <c r="B920" s="206"/>
      <c r="C920" s="6"/>
      <c r="D920" s="14"/>
      <c r="E920" s="185"/>
      <c r="F920" s="35"/>
      <c r="G920" s="185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</row>
    <row r="921" spans="1:28" ht="12.75">
      <c r="A921" s="14"/>
      <c r="B921" s="206"/>
      <c r="C921" s="6"/>
      <c r="D921" s="14"/>
      <c r="E921" s="185"/>
      <c r="F921" s="35"/>
      <c r="G921" s="185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</row>
    <row r="922" spans="1:28" ht="12.75">
      <c r="A922" s="14"/>
      <c r="B922" s="206"/>
      <c r="C922" s="6"/>
      <c r="D922" s="14"/>
      <c r="E922" s="185"/>
      <c r="F922" s="35"/>
      <c r="G922" s="185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</row>
    <row r="923" spans="1:28" ht="12.75">
      <c r="A923" s="14"/>
      <c r="B923" s="206"/>
      <c r="C923" s="6"/>
      <c r="D923" s="14"/>
      <c r="E923" s="185"/>
      <c r="F923" s="35"/>
      <c r="G923" s="185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</row>
    <row r="924" spans="1:28" ht="12.75">
      <c r="A924" s="14"/>
      <c r="B924" s="206"/>
      <c r="C924" s="6"/>
      <c r="D924" s="14"/>
      <c r="E924" s="185"/>
      <c r="F924" s="35"/>
      <c r="G924" s="185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 spans="1:28" ht="12.75">
      <c r="A925" s="14"/>
      <c r="B925" s="206"/>
      <c r="C925" s="6"/>
      <c r="D925" s="14"/>
      <c r="E925" s="185"/>
      <c r="F925" s="35"/>
      <c r="G925" s="185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</row>
    <row r="926" spans="1:28" ht="12.75">
      <c r="A926" s="14"/>
      <c r="B926" s="206"/>
      <c r="C926" s="6"/>
      <c r="D926" s="14"/>
      <c r="E926" s="185"/>
      <c r="F926" s="35"/>
      <c r="G926" s="185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</row>
    <row r="927" spans="1:28" ht="12.75">
      <c r="A927" s="14"/>
      <c r="B927" s="206"/>
      <c r="C927" s="6"/>
      <c r="D927" s="14"/>
      <c r="E927" s="185"/>
      <c r="F927" s="35"/>
      <c r="G927" s="185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</row>
    <row r="928" spans="1:28" ht="12.75">
      <c r="A928" s="14"/>
      <c r="B928" s="206"/>
      <c r="C928" s="6"/>
      <c r="D928" s="14"/>
      <c r="E928" s="185"/>
      <c r="F928" s="35"/>
      <c r="G928" s="185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</row>
    <row r="929" spans="1:28" ht="12.75">
      <c r="A929" s="14"/>
      <c r="B929" s="206"/>
      <c r="C929" s="6"/>
      <c r="D929" s="14"/>
      <c r="E929" s="185"/>
      <c r="F929" s="35"/>
      <c r="G929" s="185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</row>
    <row r="930" spans="1:28" ht="12.75">
      <c r="A930" s="14"/>
      <c r="B930" s="206"/>
      <c r="C930" s="6"/>
      <c r="D930" s="14"/>
      <c r="E930" s="185"/>
      <c r="F930" s="35"/>
      <c r="G930" s="185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</row>
    <row r="931" spans="1:28" ht="12.75">
      <c r="A931" s="14"/>
      <c r="B931" s="206"/>
      <c r="C931" s="6"/>
      <c r="D931" s="14"/>
      <c r="E931" s="185"/>
      <c r="F931" s="35"/>
      <c r="G931" s="185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</row>
    <row r="932" spans="1:28" ht="12.75">
      <c r="A932" s="14"/>
      <c r="B932" s="206"/>
      <c r="C932" s="6"/>
      <c r="D932" s="14"/>
      <c r="E932" s="185"/>
      <c r="F932" s="35"/>
      <c r="G932" s="185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</row>
    <row r="933" spans="1:28" ht="12.75">
      <c r="A933" s="14"/>
      <c r="B933" s="206"/>
      <c r="C933" s="6"/>
      <c r="D933" s="14"/>
      <c r="E933" s="185"/>
      <c r="F933" s="35"/>
      <c r="G933" s="185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</row>
    <row r="934" spans="1:28" ht="12.75">
      <c r="A934" s="14"/>
      <c r="B934" s="206"/>
      <c r="C934" s="6"/>
      <c r="D934" s="14"/>
      <c r="E934" s="185"/>
      <c r="F934" s="35"/>
      <c r="G934" s="185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</row>
    <row r="935" spans="1:28" ht="12.75">
      <c r="A935" s="14"/>
      <c r="B935" s="206"/>
      <c r="C935" s="6"/>
      <c r="D935" s="14"/>
      <c r="E935" s="185"/>
      <c r="F935" s="35"/>
      <c r="G935" s="185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</row>
    <row r="936" spans="1:28" ht="12.75">
      <c r="A936" s="14"/>
      <c r="B936" s="206"/>
      <c r="C936" s="6"/>
      <c r="D936" s="14"/>
      <c r="E936" s="185"/>
      <c r="F936" s="35"/>
      <c r="G936" s="185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</row>
    <row r="937" spans="1:28" ht="12.75">
      <c r="A937" s="14"/>
      <c r="B937" s="206"/>
      <c r="C937" s="6"/>
      <c r="D937" s="14"/>
      <c r="E937" s="185"/>
      <c r="F937" s="35"/>
      <c r="G937" s="185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</row>
    <row r="938" spans="1:28" ht="12.75">
      <c r="A938" s="14"/>
      <c r="B938" s="206"/>
      <c r="C938" s="6"/>
      <c r="D938" s="14"/>
      <c r="E938" s="185"/>
      <c r="F938" s="35"/>
      <c r="G938" s="185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</row>
    <row r="939" spans="1:28" ht="12.75">
      <c r="A939" s="14"/>
      <c r="B939" s="206"/>
      <c r="C939" s="6"/>
      <c r="D939" s="14"/>
      <c r="E939" s="185"/>
      <c r="F939" s="35"/>
      <c r="G939" s="185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</row>
    <row r="940" spans="1:28" ht="12.75">
      <c r="A940" s="14"/>
      <c r="B940" s="206"/>
      <c r="C940" s="6"/>
      <c r="D940" s="14"/>
      <c r="E940" s="185"/>
      <c r="F940" s="35"/>
      <c r="G940" s="185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</row>
    <row r="941" spans="1:28" ht="12.75">
      <c r="A941" s="14"/>
      <c r="B941" s="206"/>
      <c r="C941" s="6"/>
      <c r="D941" s="14"/>
      <c r="E941" s="185"/>
      <c r="F941" s="35"/>
      <c r="G941" s="185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</row>
    <row r="942" spans="1:28" ht="12.75">
      <c r="A942" s="14"/>
      <c r="B942" s="206"/>
      <c r="C942" s="6"/>
      <c r="D942" s="14"/>
      <c r="E942" s="185"/>
      <c r="F942" s="35"/>
      <c r="G942" s="185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</row>
    <row r="943" spans="1:28" ht="12.75">
      <c r="A943" s="14"/>
      <c r="B943" s="206"/>
      <c r="C943" s="6"/>
      <c r="D943" s="14"/>
      <c r="E943" s="185"/>
      <c r="F943" s="35"/>
      <c r="G943" s="185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</row>
    <row r="944" spans="1:28" ht="12.75">
      <c r="A944" s="14"/>
      <c r="B944" s="206"/>
      <c r="C944" s="6"/>
      <c r="D944" s="14"/>
      <c r="E944" s="185"/>
      <c r="F944" s="35"/>
      <c r="G944" s="185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</row>
    <row r="945" spans="1:28" ht="12.75">
      <c r="A945" s="14"/>
      <c r="B945" s="206"/>
      <c r="C945" s="6"/>
      <c r="D945" s="14"/>
      <c r="E945" s="185"/>
      <c r="F945" s="35"/>
      <c r="G945" s="185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</row>
    <row r="946" spans="1:28" ht="12.75">
      <c r="A946" s="14"/>
      <c r="B946" s="206"/>
      <c r="C946" s="6"/>
      <c r="D946" s="14"/>
      <c r="E946" s="185"/>
      <c r="F946" s="35"/>
      <c r="G946" s="185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</row>
    <row r="947" spans="1:28" ht="12.75">
      <c r="A947" s="14"/>
      <c r="B947" s="206"/>
      <c r="C947" s="6"/>
      <c r="D947" s="14"/>
      <c r="E947" s="185"/>
      <c r="F947" s="35"/>
      <c r="G947" s="185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</row>
    <row r="948" spans="1:28" ht="12.75">
      <c r="A948" s="14"/>
      <c r="B948" s="206"/>
      <c r="C948" s="6"/>
      <c r="D948" s="14"/>
      <c r="E948" s="185"/>
      <c r="F948" s="35"/>
      <c r="G948" s="185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</row>
    <row r="949" spans="1:28" ht="12.75">
      <c r="A949" s="14"/>
      <c r="B949" s="206"/>
      <c r="C949" s="6"/>
      <c r="D949" s="14"/>
      <c r="E949" s="185"/>
      <c r="F949" s="35"/>
      <c r="G949" s="185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</row>
    <row r="950" spans="1:28" ht="12.75">
      <c r="A950" s="14"/>
      <c r="B950" s="206"/>
      <c r="C950" s="6"/>
      <c r="D950" s="14"/>
      <c r="E950" s="185"/>
      <c r="F950" s="35"/>
      <c r="G950" s="185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</row>
    <row r="951" spans="1:28" ht="12.75">
      <c r="A951" s="14"/>
      <c r="B951" s="206"/>
      <c r="C951" s="6"/>
      <c r="D951" s="14"/>
      <c r="E951" s="185"/>
      <c r="F951" s="35"/>
      <c r="G951" s="185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</row>
    <row r="952" spans="1:28" ht="12.75">
      <c r="A952" s="14"/>
      <c r="B952" s="206"/>
      <c r="C952" s="6"/>
      <c r="D952" s="14"/>
      <c r="E952" s="185"/>
      <c r="F952" s="35"/>
      <c r="G952" s="185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</row>
    <row r="953" spans="1:28" ht="12.75">
      <c r="A953" s="14"/>
      <c r="B953" s="206"/>
      <c r="C953" s="6"/>
      <c r="D953" s="14"/>
      <c r="E953" s="185"/>
      <c r="F953" s="35"/>
      <c r="G953" s="185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</row>
    <row r="954" spans="1:28" ht="12.75">
      <c r="A954" s="14"/>
      <c r="B954" s="206"/>
      <c r="C954" s="6"/>
      <c r="D954" s="14"/>
      <c r="E954" s="185"/>
      <c r="F954" s="35"/>
      <c r="G954" s="185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</row>
    <row r="955" spans="1:28" ht="12.75">
      <c r="A955" s="14"/>
      <c r="B955" s="206"/>
      <c r="C955" s="6"/>
      <c r="D955" s="14"/>
      <c r="E955" s="185"/>
      <c r="F955" s="35"/>
      <c r="G955" s="185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</row>
    <row r="956" spans="1:28" ht="12.75">
      <c r="A956" s="14"/>
      <c r="B956" s="206"/>
      <c r="C956" s="6"/>
      <c r="D956" s="14"/>
      <c r="E956" s="185"/>
      <c r="F956" s="35"/>
      <c r="G956" s="185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 spans="1:28" ht="12.75">
      <c r="A957" s="14"/>
      <c r="B957" s="206"/>
      <c r="C957" s="6"/>
      <c r="D957" s="14"/>
      <c r="E957" s="185"/>
      <c r="F957" s="35"/>
      <c r="G957" s="185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</row>
    <row r="958" spans="1:28" ht="12.75">
      <c r="A958" s="14"/>
      <c r="B958" s="206"/>
      <c r="C958" s="6"/>
      <c r="D958" s="14"/>
      <c r="E958" s="185"/>
      <c r="F958" s="35"/>
      <c r="G958" s="185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</row>
    <row r="959" spans="1:28" ht="12.75">
      <c r="A959" s="14"/>
      <c r="B959" s="206"/>
      <c r="C959" s="6"/>
      <c r="D959" s="14"/>
      <c r="E959" s="185"/>
      <c r="F959" s="35"/>
      <c r="G959" s="185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</row>
    <row r="960" spans="1:28" ht="12.75">
      <c r="A960" s="14"/>
      <c r="B960" s="206"/>
      <c r="C960" s="6"/>
      <c r="D960" s="14"/>
      <c r="E960" s="185"/>
      <c r="F960" s="35"/>
      <c r="G960" s="185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</row>
    <row r="961" spans="1:28" ht="12.75">
      <c r="A961" s="14"/>
      <c r="B961" s="206"/>
      <c r="C961" s="6"/>
      <c r="D961" s="14"/>
      <c r="E961" s="185"/>
      <c r="F961" s="35"/>
      <c r="G961" s="185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</row>
    <row r="962" spans="1:28" ht="12.75">
      <c r="A962" s="14"/>
      <c r="B962" s="206"/>
      <c r="C962" s="6"/>
      <c r="D962" s="14"/>
      <c r="E962" s="185"/>
      <c r="F962" s="35"/>
      <c r="G962" s="185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</row>
    <row r="963" spans="1:28" ht="12.75">
      <c r="A963" s="14"/>
      <c r="B963" s="206"/>
      <c r="C963" s="6"/>
      <c r="D963" s="14"/>
      <c r="E963" s="185"/>
      <c r="F963" s="35"/>
      <c r="G963" s="185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</row>
    <row r="964" spans="1:28" ht="12.75">
      <c r="A964" s="14"/>
      <c r="B964" s="206"/>
      <c r="C964" s="6"/>
      <c r="D964" s="14"/>
      <c r="E964" s="185"/>
      <c r="F964" s="35"/>
      <c r="G964" s="185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</row>
    <row r="965" spans="1:28" ht="12.75">
      <c r="A965" s="14"/>
      <c r="B965" s="206"/>
      <c r="C965" s="6"/>
      <c r="D965" s="14"/>
      <c r="E965" s="185"/>
      <c r="F965" s="35"/>
      <c r="G965" s="185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</row>
    <row r="966" spans="1:28" ht="12.75">
      <c r="A966" s="14"/>
      <c r="B966" s="183"/>
      <c r="C966" s="208"/>
      <c r="D966" s="14"/>
      <c r="E966" s="185"/>
      <c r="F966" s="35"/>
      <c r="G966" s="185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</row>
    <row r="967" spans="1:28" ht="12.75">
      <c r="A967" s="14"/>
      <c r="B967" s="183"/>
      <c r="C967" s="208"/>
      <c r="D967" s="14"/>
      <c r="E967" s="185"/>
      <c r="F967" s="35"/>
      <c r="G967" s="185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</row>
    <row r="968" spans="1:28" ht="12.75">
      <c r="A968" s="14"/>
      <c r="B968" s="183"/>
      <c r="C968" s="208"/>
      <c r="D968" s="14"/>
      <c r="E968" s="185"/>
      <c r="F968" s="35"/>
      <c r="G968" s="185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</row>
    <row r="969" spans="1:28" ht="12.75">
      <c r="A969" s="14"/>
      <c r="B969" s="183"/>
      <c r="C969" s="208"/>
      <c r="D969" s="14"/>
      <c r="E969" s="185"/>
      <c r="F969" s="35"/>
      <c r="G969" s="185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</row>
    <row r="970" spans="1:28" ht="12.75">
      <c r="A970" s="14"/>
      <c r="B970" s="183"/>
      <c r="C970" s="208"/>
      <c r="D970" s="14"/>
      <c r="E970" s="185"/>
      <c r="F970" s="35"/>
      <c r="G970" s="185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</row>
    <row r="971" spans="1:28" ht="12.75">
      <c r="A971" s="14"/>
      <c r="B971" s="183"/>
      <c r="C971" s="208"/>
      <c r="D971" s="14"/>
      <c r="E971" s="185"/>
      <c r="F971" s="35"/>
      <c r="G971" s="185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</row>
    <row r="972" spans="1:28" ht="12.75">
      <c r="A972" s="14"/>
      <c r="B972" s="183"/>
      <c r="C972" s="208"/>
      <c r="D972" s="14"/>
      <c r="E972" s="185"/>
      <c r="F972" s="35"/>
      <c r="G972" s="185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</row>
    <row r="973" spans="1:28" ht="12.75">
      <c r="A973" s="14"/>
      <c r="B973" s="183"/>
      <c r="C973" s="208"/>
      <c r="D973" s="14"/>
      <c r="E973" s="185"/>
      <c r="F973" s="35"/>
      <c r="G973" s="185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</row>
  </sheetData>
  <printOptions horizontalCentered="1" gridLines="1"/>
  <pageMargins left="0.7" right="0.7" top="0.75" bottom="0.75" header="0" footer="0"/>
  <pageSetup paperSize="9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AG968"/>
  <sheetViews>
    <sheetView workbookViewId="0"/>
  </sheetViews>
  <sheetFormatPr defaultColWidth="12.5703125" defaultRowHeight="15.75" customHeight="1"/>
  <cols>
    <col min="1" max="1" width="6.28515625" customWidth="1"/>
    <col min="2" max="2" width="37.42578125" customWidth="1"/>
    <col min="3" max="3" width="13.140625" customWidth="1"/>
    <col min="4" max="4" width="23.42578125" customWidth="1"/>
    <col min="11" max="11" width="9.7109375" customWidth="1"/>
    <col min="12" max="12" width="33.7109375" customWidth="1"/>
  </cols>
  <sheetData>
    <row r="1" spans="1:33" ht="12.75">
      <c r="A1" s="14"/>
      <c r="B1" s="207"/>
      <c r="C1" s="14"/>
      <c r="D1" s="185"/>
      <c r="E1" s="35"/>
      <c r="F1" s="209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</row>
    <row r="2" spans="1:33" ht="15">
      <c r="A2" s="210"/>
      <c r="B2" s="211"/>
      <c r="C2" s="212"/>
      <c r="D2" s="213"/>
      <c r="E2" s="214"/>
      <c r="F2" s="215"/>
      <c r="G2" s="212"/>
      <c r="H2" s="212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</row>
    <row r="3" spans="1:33" ht="25.5">
      <c r="A3" s="18" t="s">
        <v>5</v>
      </c>
      <c r="B3" s="20" t="s">
        <v>7</v>
      </c>
      <c r="C3" s="217" t="s">
        <v>159</v>
      </c>
      <c r="D3" s="24" t="s">
        <v>10</v>
      </c>
      <c r="E3" s="26" t="s">
        <v>11</v>
      </c>
      <c r="F3" s="218" t="s">
        <v>160</v>
      </c>
      <c r="G3" s="217" t="s">
        <v>161</v>
      </c>
      <c r="H3" s="22" t="s">
        <v>13</v>
      </c>
      <c r="I3" s="134" t="s">
        <v>162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33" ht="12.75">
      <c r="A4" s="219">
        <v>1</v>
      </c>
      <c r="B4" s="4" t="s">
        <v>163</v>
      </c>
      <c r="C4" s="59">
        <v>7</v>
      </c>
      <c r="D4" s="8" t="s">
        <v>18</v>
      </c>
      <c r="E4" s="11"/>
      <c r="F4" s="220"/>
      <c r="G4" s="220"/>
      <c r="H4" s="220"/>
      <c r="I4" s="14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33" ht="24" customHeight="1">
      <c r="A5" s="219">
        <v>2</v>
      </c>
      <c r="B5" s="4" t="s">
        <v>164</v>
      </c>
      <c r="C5" s="59">
        <v>7</v>
      </c>
      <c r="D5" s="8" t="s">
        <v>18</v>
      </c>
      <c r="E5" s="48"/>
      <c r="F5" s="221"/>
      <c r="G5" s="220"/>
      <c r="H5" s="220"/>
      <c r="I5" s="144" t="s">
        <v>165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3" ht="12.75">
      <c r="A6" s="219">
        <v>3</v>
      </c>
      <c r="B6" s="29" t="s">
        <v>23</v>
      </c>
      <c r="C6" s="6">
        <v>10</v>
      </c>
      <c r="D6" s="45" t="s">
        <v>166</v>
      </c>
      <c r="E6" s="47">
        <v>31</v>
      </c>
      <c r="F6" s="222">
        <v>30000</v>
      </c>
      <c r="G6" s="221"/>
      <c r="H6" s="221"/>
      <c r="I6" s="10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spans="1:33" ht="12.75">
      <c r="A7" s="219">
        <v>4</v>
      </c>
      <c r="B7" s="4" t="s">
        <v>26</v>
      </c>
      <c r="C7" s="6">
        <v>10</v>
      </c>
      <c r="D7" s="45" t="s">
        <v>166</v>
      </c>
      <c r="E7" s="47">
        <v>31</v>
      </c>
      <c r="F7" s="223">
        <v>14000</v>
      </c>
      <c r="G7" s="220"/>
      <c r="H7" s="220"/>
      <c r="I7" s="144" t="s">
        <v>167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spans="1:33" ht="12.75">
      <c r="A8" s="219">
        <v>5</v>
      </c>
      <c r="B8" s="29" t="s">
        <v>29</v>
      </c>
      <c r="C8" s="6">
        <v>10</v>
      </c>
      <c r="D8" s="45" t="s">
        <v>166</v>
      </c>
      <c r="E8" s="47">
        <v>31</v>
      </c>
      <c r="F8" s="222">
        <v>32000</v>
      </c>
      <c r="G8" s="220"/>
      <c r="H8" s="220"/>
      <c r="I8" s="100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 spans="1:33" ht="12.75">
      <c r="A9" s="219">
        <v>6</v>
      </c>
      <c r="B9" s="29" t="s">
        <v>36</v>
      </c>
      <c r="C9" s="6">
        <v>7</v>
      </c>
      <c r="D9" s="45" t="s">
        <v>166</v>
      </c>
      <c r="E9" s="47">
        <v>31</v>
      </c>
      <c r="F9" s="222">
        <v>31450</v>
      </c>
      <c r="G9" s="220"/>
      <c r="H9" s="220"/>
      <c r="I9" s="144" t="s">
        <v>91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spans="1:33" ht="12.75">
      <c r="A10" s="219">
        <v>7</v>
      </c>
      <c r="B10" s="224" t="s">
        <v>61</v>
      </c>
      <c r="C10" s="98"/>
      <c r="D10" s="105" t="s">
        <v>120</v>
      </c>
      <c r="E10" s="47">
        <v>11</v>
      </c>
      <c r="F10" s="225"/>
      <c r="G10" s="225"/>
      <c r="H10" s="225">
        <v>37000</v>
      </c>
      <c r="I10" s="100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spans="1:33" ht="25.5">
      <c r="A11" s="219">
        <v>8</v>
      </c>
      <c r="B11" s="224" t="s">
        <v>168</v>
      </c>
      <c r="C11" s="98">
        <v>5</v>
      </c>
      <c r="D11" s="226" t="s">
        <v>169</v>
      </c>
      <c r="E11" s="47"/>
      <c r="F11" s="225" t="s">
        <v>118</v>
      </c>
      <c r="G11" s="227"/>
      <c r="H11" s="227"/>
      <c r="I11" s="228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spans="1:33" ht="25.5">
      <c r="A12" s="219">
        <v>9</v>
      </c>
      <c r="B12" s="224" t="s">
        <v>170</v>
      </c>
      <c r="C12" s="98">
        <v>7</v>
      </c>
      <c r="D12" s="105" t="s">
        <v>171</v>
      </c>
      <c r="E12" s="47"/>
      <c r="F12" s="229">
        <v>29750</v>
      </c>
      <c r="G12" s="227"/>
      <c r="H12" s="227"/>
      <c r="I12" s="230" t="s">
        <v>172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33" ht="12.75">
      <c r="A13" s="219">
        <v>10</v>
      </c>
      <c r="B13" s="152" t="s">
        <v>107</v>
      </c>
      <c r="C13" s="59">
        <v>5</v>
      </c>
      <c r="D13" s="45" t="s">
        <v>166</v>
      </c>
      <c r="E13" s="47">
        <v>31</v>
      </c>
      <c r="F13" s="223">
        <v>29774.62</v>
      </c>
      <c r="G13" s="227"/>
      <c r="H13" s="227"/>
      <c r="I13" s="228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1:33" ht="12.75">
      <c r="A14" s="219">
        <v>11</v>
      </c>
      <c r="B14" s="231" t="s">
        <v>173</v>
      </c>
      <c r="C14" s="98">
        <v>7</v>
      </c>
      <c r="D14" s="105" t="s">
        <v>174</v>
      </c>
      <c r="E14" s="200">
        <v>31</v>
      </c>
      <c r="F14" s="98">
        <v>16808.259999999998</v>
      </c>
      <c r="G14" s="227"/>
      <c r="H14" s="227"/>
      <c r="I14" s="228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spans="1:33" ht="12.75">
      <c r="A15" s="219">
        <v>12</v>
      </c>
      <c r="B15" s="232" t="s">
        <v>175</v>
      </c>
      <c r="C15" s="144"/>
      <c r="D15" s="109"/>
      <c r="E15" s="110"/>
      <c r="F15" s="233"/>
      <c r="G15" s="233"/>
      <c r="H15" s="233"/>
      <c r="I15" s="230" t="s">
        <v>176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spans="1:33" ht="12.75">
      <c r="A16" s="219">
        <v>13</v>
      </c>
      <c r="B16" s="234" t="s">
        <v>92</v>
      </c>
      <c r="C16" s="234">
        <v>7</v>
      </c>
      <c r="D16" s="235"/>
      <c r="E16" s="234">
        <v>15</v>
      </c>
      <c r="F16" s="235"/>
      <c r="G16" s="235"/>
      <c r="H16" s="235"/>
      <c r="I16" s="235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spans="1:33" ht="28.5" customHeight="1">
      <c r="A17" s="114"/>
      <c r="B17" s="236" t="s">
        <v>177</v>
      </c>
      <c r="C17" s="100">
        <f>SUM(C4:C16)</f>
        <v>82</v>
      </c>
      <c r="D17" s="109"/>
      <c r="E17" s="110"/>
      <c r="F17" s="237">
        <f t="shared" ref="F17:H17" si="0">SUM(F4:F16)</f>
        <v>183782.88</v>
      </c>
      <c r="G17" s="237">
        <f t="shared" si="0"/>
        <v>0</v>
      </c>
      <c r="H17" s="237">
        <f t="shared" si="0"/>
        <v>37000</v>
      </c>
      <c r="I17" s="238">
        <f>F17+G17+H17</f>
        <v>220782.88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spans="1:33" ht="93.75" customHeight="1">
      <c r="A18" s="114"/>
      <c r="B18" s="29"/>
      <c r="C18" s="6"/>
      <c r="D18" s="118"/>
      <c r="E18" s="120"/>
      <c r="F18" s="239"/>
      <c r="G18" s="114"/>
      <c r="H18" s="114"/>
      <c r="I18" s="100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spans="1:33" ht="26.25" customHeight="1">
      <c r="A19" s="2"/>
      <c r="B19" s="4"/>
      <c r="C19" s="6"/>
      <c r="D19" s="8"/>
      <c r="E19" s="11"/>
      <c r="F19" s="220"/>
      <c r="G19" s="6"/>
      <c r="H19" s="6"/>
      <c r="I19" s="100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 spans="1:33" ht="25.5">
      <c r="A20" s="123" t="s">
        <v>5</v>
      </c>
      <c r="B20" s="125" t="s">
        <v>74</v>
      </c>
      <c r="C20" s="217" t="s">
        <v>159</v>
      </c>
      <c r="D20" s="129" t="s">
        <v>10</v>
      </c>
      <c r="E20" s="131" t="s">
        <v>11</v>
      </c>
      <c r="F20" s="218" t="s">
        <v>160</v>
      </c>
      <c r="G20" s="217" t="s">
        <v>161</v>
      </c>
      <c r="H20" s="127" t="s">
        <v>13</v>
      </c>
      <c r="I20" s="240" t="s">
        <v>162</v>
      </c>
      <c r="J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spans="1:33" ht="12.75">
      <c r="A21" s="2">
        <v>1</v>
      </c>
      <c r="B21" s="4" t="s">
        <v>178</v>
      </c>
      <c r="C21" s="59">
        <v>7</v>
      </c>
      <c r="D21" s="8" t="s">
        <v>76</v>
      </c>
      <c r="E21" s="11"/>
      <c r="F21" s="220"/>
      <c r="G21" s="6"/>
      <c r="H21" s="6"/>
      <c r="I21" s="144"/>
      <c r="J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spans="1:33" ht="33" customHeight="1">
      <c r="A22" s="2">
        <v>2</v>
      </c>
      <c r="B22" s="4" t="s">
        <v>179</v>
      </c>
      <c r="C22" s="59">
        <v>7</v>
      </c>
      <c r="D22" s="8" t="s">
        <v>18</v>
      </c>
      <c r="E22" s="11"/>
      <c r="F22" s="220"/>
      <c r="G22" s="6"/>
      <c r="H22" s="6"/>
      <c r="I22" s="144" t="s">
        <v>180</v>
      </c>
      <c r="J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spans="1:33" ht="12.75">
      <c r="A23" s="2">
        <v>3</v>
      </c>
      <c r="B23" s="29" t="s">
        <v>29</v>
      </c>
      <c r="C23" s="6">
        <v>10</v>
      </c>
      <c r="D23" s="45" t="s">
        <v>166</v>
      </c>
      <c r="E23" s="47">
        <v>31</v>
      </c>
      <c r="F23" s="223">
        <v>32000</v>
      </c>
      <c r="G23" s="6"/>
      <c r="H23" s="6"/>
      <c r="I23" s="100"/>
      <c r="J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spans="1:33" ht="12.75">
      <c r="A24" s="2">
        <v>4</v>
      </c>
      <c r="B24" s="29" t="s">
        <v>26</v>
      </c>
      <c r="C24" s="6">
        <v>10</v>
      </c>
      <c r="D24" s="45" t="s">
        <v>166</v>
      </c>
      <c r="E24" s="47">
        <v>31</v>
      </c>
      <c r="F24" s="223">
        <v>14000</v>
      </c>
      <c r="G24" s="6"/>
      <c r="H24" s="6"/>
      <c r="I24" s="100"/>
      <c r="J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spans="1:33" ht="12.75">
      <c r="A25" s="2">
        <v>5</v>
      </c>
      <c r="B25" s="29" t="s">
        <v>36</v>
      </c>
      <c r="C25" s="6">
        <v>7</v>
      </c>
      <c r="D25" s="45" t="s">
        <v>166</v>
      </c>
      <c r="E25" s="47">
        <v>31</v>
      </c>
      <c r="F25" s="223">
        <v>29750</v>
      </c>
      <c r="G25" s="6"/>
      <c r="H25" s="6"/>
      <c r="I25" s="100"/>
      <c r="J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spans="1:33" ht="12.75">
      <c r="A26" s="2">
        <v>6</v>
      </c>
      <c r="B26" s="241" t="s">
        <v>107</v>
      </c>
      <c r="C26" s="6">
        <v>7</v>
      </c>
      <c r="D26" s="45" t="s">
        <v>166</v>
      </c>
      <c r="E26" s="47">
        <v>31</v>
      </c>
      <c r="F26" s="223">
        <v>29774.62</v>
      </c>
      <c r="G26" s="6"/>
      <c r="H26" s="6"/>
      <c r="I26" s="100"/>
      <c r="J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spans="1:33" ht="12.75">
      <c r="A27" s="2">
        <v>7</v>
      </c>
      <c r="B27" s="242" t="s">
        <v>181</v>
      </c>
      <c r="C27" s="243">
        <v>10</v>
      </c>
      <c r="D27" s="45" t="s">
        <v>166</v>
      </c>
      <c r="E27" s="244">
        <v>31</v>
      </c>
      <c r="F27" s="223">
        <v>65131.99</v>
      </c>
      <c r="G27" s="6"/>
      <c r="H27" s="6"/>
      <c r="I27" s="144" t="s">
        <v>182</v>
      </c>
      <c r="J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spans="1:33" ht="12.75">
      <c r="A28" s="2">
        <v>8</v>
      </c>
      <c r="B28" s="245" t="s">
        <v>183</v>
      </c>
      <c r="C28" s="246">
        <v>7</v>
      </c>
      <c r="D28" s="246" t="s">
        <v>184</v>
      </c>
      <c r="E28" s="247"/>
      <c r="F28" s="248">
        <v>35000</v>
      </c>
      <c r="G28" s="247"/>
      <c r="H28" s="247"/>
      <c r="I28" s="230"/>
      <c r="J28" s="14"/>
      <c r="K28" s="249"/>
      <c r="L28" s="249"/>
      <c r="M28" s="249"/>
      <c r="N28" s="249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spans="1:33" ht="25.5">
      <c r="A29" s="2">
        <v>9</v>
      </c>
      <c r="B29" s="231" t="s">
        <v>185</v>
      </c>
      <c r="C29" s="98">
        <v>7</v>
      </c>
      <c r="D29" s="105" t="s">
        <v>186</v>
      </c>
      <c r="E29" s="47"/>
      <c r="F29" s="250">
        <v>26000</v>
      </c>
      <c r="G29" s="6"/>
      <c r="H29" s="6"/>
      <c r="I29" s="230" t="s">
        <v>187</v>
      </c>
      <c r="J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1:33" ht="12.75">
      <c r="A30" s="2">
        <v>10</v>
      </c>
      <c r="B30" s="97" t="s">
        <v>173</v>
      </c>
      <c r="C30" s="98">
        <v>7</v>
      </c>
      <c r="D30" s="105" t="s">
        <v>174</v>
      </c>
      <c r="E30" s="47">
        <v>31</v>
      </c>
      <c r="F30" s="251">
        <v>16808.259999999998</v>
      </c>
      <c r="G30" s="6"/>
      <c r="H30" s="6"/>
      <c r="I30" s="252"/>
      <c r="J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  <row r="31" spans="1:33" ht="12.75">
      <c r="A31" s="2">
        <v>11</v>
      </c>
      <c r="B31" s="253" t="s">
        <v>188</v>
      </c>
      <c r="C31" s="98">
        <v>7</v>
      </c>
      <c r="D31" s="105" t="s">
        <v>189</v>
      </c>
      <c r="E31" s="200">
        <v>31</v>
      </c>
      <c r="F31" s="225">
        <v>25000</v>
      </c>
      <c r="G31" s="6"/>
      <c r="H31" s="6"/>
      <c r="I31" s="230"/>
      <c r="J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spans="1:33" ht="12.75">
      <c r="A32" s="2">
        <v>12</v>
      </c>
      <c r="B32" s="254" t="s">
        <v>175</v>
      </c>
      <c r="C32" s="98"/>
      <c r="D32" s="105"/>
      <c r="E32" s="200"/>
      <c r="F32" s="229"/>
      <c r="G32" s="6"/>
      <c r="H32" s="6"/>
      <c r="I32" s="230" t="s">
        <v>176</v>
      </c>
      <c r="J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spans="1:33" ht="12.75">
      <c r="A33" s="2"/>
      <c r="B33" s="253" t="s">
        <v>92</v>
      </c>
      <c r="C33" s="98">
        <v>7</v>
      </c>
      <c r="D33" s="105"/>
      <c r="E33" s="200"/>
      <c r="F33" s="225"/>
      <c r="G33" s="6"/>
      <c r="H33" s="6"/>
      <c r="I33" s="230"/>
      <c r="J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 spans="1:33" ht="12.75">
      <c r="A34" s="2"/>
      <c r="B34" s="29"/>
      <c r="C34" s="6">
        <f>SUM(C21:C33)</f>
        <v>93</v>
      </c>
      <c r="D34" s="8"/>
      <c r="E34" s="11">
        <f t="shared" ref="E34:H34" si="1">SUM(E21:E32)</f>
        <v>217</v>
      </c>
      <c r="F34" s="220">
        <f t="shared" si="1"/>
        <v>273464.87</v>
      </c>
      <c r="G34" s="220">
        <f t="shared" si="1"/>
        <v>0</v>
      </c>
      <c r="H34" s="220">
        <f t="shared" si="1"/>
        <v>0</v>
      </c>
      <c r="I34" s="238">
        <f>F34+G34+H34</f>
        <v>273464.87</v>
      </c>
      <c r="J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  <row r="35" spans="1:33" ht="12.75">
      <c r="A35" s="116"/>
      <c r="B35" s="29"/>
      <c r="C35" s="6"/>
      <c r="D35" s="118"/>
      <c r="E35" s="120"/>
      <c r="F35" s="255"/>
      <c r="G35" s="116"/>
      <c r="H35" s="116"/>
      <c r="I35" s="100"/>
      <c r="J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</row>
    <row r="36" spans="1:33" ht="12.75">
      <c r="A36" s="2"/>
      <c r="B36" s="29"/>
      <c r="C36" s="6"/>
      <c r="D36" s="8"/>
      <c r="E36" s="11"/>
      <c r="F36" s="220"/>
      <c r="G36" s="6"/>
      <c r="H36" s="6"/>
      <c r="I36" s="100"/>
      <c r="J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</row>
    <row r="37" spans="1:33" ht="12.75">
      <c r="A37" s="123"/>
      <c r="B37" s="125" t="s">
        <v>96</v>
      </c>
      <c r="C37" s="162"/>
      <c r="D37" s="164"/>
      <c r="E37" s="166"/>
      <c r="F37" s="256"/>
      <c r="G37" s="162"/>
      <c r="H37" s="162"/>
      <c r="I37" s="100"/>
      <c r="J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</row>
    <row r="38" spans="1:33" ht="12.75">
      <c r="A38" s="2">
        <v>1</v>
      </c>
      <c r="B38" s="4" t="s">
        <v>101</v>
      </c>
      <c r="C38" s="59"/>
      <c r="D38" s="8"/>
      <c r="E38" s="11"/>
      <c r="F38" s="223">
        <v>22000</v>
      </c>
      <c r="G38" s="6"/>
      <c r="H38" s="6"/>
      <c r="I38" s="144" t="s">
        <v>190</v>
      </c>
      <c r="J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</row>
    <row r="39" spans="1:33" ht="12.75">
      <c r="A39" s="116"/>
      <c r="B39" s="172"/>
      <c r="C39" s="116"/>
      <c r="D39" s="118"/>
      <c r="E39" s="120"/>
      <c r="F39" s="255"/>
      <c r="G39" s="116"/>
      <c r="H39" s="116"/>
      <c r="I39" s="100"/>
      <c r="J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</row>
    <row r="40" spans="1:33" ht="12.75">
      <c r="A40" s="175"/>
      <c r="B40" s="177" t="s">
        <v>106</v>
      </c>
      <c r="C40" s="175"/>
      <c r="D40" s="179"/>
      <c r="E40" s="180"/>
      <c r="F40" s="257"/>
      <c r="G40" s="175"/>
      <c r="H40" s="175"/>
      <c r="I40" s="100"/>
      <c r="J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</row>
    <row r="41" spans="1:33" ht="12.75">
      <c r="A41" s="100">
        <v>1</v>
      </c>
      <c r="B41" s="181" t="s">
        <v>101</v>
      </c>
      <c r="C41" s="144"/>
      <c r="D41" s="109"/>
      <c r="E41" s="110"/>
      <c r="F41" s="258">
        <v>15000</v>
      </c>
      <c r="G41" s="100"/>
      <c r="H41" s="100"/>
      <c r="I41" s="100"/>
      <c r="J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</row>
    <row r="42" spans="1:33" ht="12.75">
      <c r="A42" s="14"/>
      <c r="B42" s="183"/>
      <c r="C42" s="14"/>
      <c r="D42" s="185"/>
      <c r="E42" s="35"/>
      <c r="F42" s="209"/>
      <c r="G42" s="14"/>
      <c r="H42" s="14"/>
      <c r="I42" s="100"/>
      <c r="J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</row>
    <row r="43" spans="1:33" ht="12.75">
      <c r="A43" s="189"/>
      <c r="B43" s="191" t="s">
        <v>122</v>
      </c>
      <c r="C43" s="189"/>
      <c r="D43" s="193"/>
      <c r="E43" s="194" t="s">
        <v>113</v>
      </c>
      <c r="F43" s="259"/>
      <c r="G43" s="189"/>
      <c r="H43" s="189"/>
      <c r="I43" s="100"/>
      <c r="J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</row>
    <row r="44" spans="1:33" ht="12.75">
      <c r="A44" s="2" t="s">
        <v>114</v>
      </c>
      <c r="B44" s="4" t="s">
        <v>128</v>
      </c>
      <c r="C44" s="59" t="s">
        <v>30</v>
      </c>
      <c r="D44" s="8"/>
      <c r="E44" s="47">
        <v>31</v>
      </c>
      <c r="F44" s="223">
        <v>25000</v>
      </c>
      <c r="G44" s="6"/>
      <c r="H44" s="6"/>
      <c r="I44" s="144" t="s">
        <v>190</v>
      </c>
      <c r="J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</row>
    <row r="45" spans="1:33" ht="12.75">
      <c r="A45" s="59" t="s">
        <v>151</v>
      </c>
      <c r="B45" s="4" t="s">
        <v>191</v>
      </c>
      <c r="C45" s="59" t="s">
        <v>192</v>
      </c>
      <c r="D45" s="45" t="s">
        <v>193</v>
      </c>
      <c r="E45" s="47">
        <v>31</v>
      </c>
      <c r="F45" s="223">
        <v>21250</v>
      </c>
      <c r="G45" s="6"/>
      <c r="H45" s="6"/>
      <c r="I45" s="100"/>
      <c r="J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</row>
    <row r="46" spans="1:33" ht="12.75">
      <c r="A46" s="59" t="s">
        <v>152</v>
      </c>
      <c r="B46" s="4" t="s">
        <v>194</v>
      </c>
      <c r="C46" s="59" t="s">
        <v>192</v>
      </c>
      <c r="D46" s="45" t="s">
        <v>193</v>
      </c>
      <c r="E46" s="47">
        <v>31</v>
      </c>
      <c r="F46" s="223">
        <v>21250</v>
      </c>
      <c r="G46" s="6"/>
      <c r="H46" s="6"/>
      <c r="I46" s="100"/>
      <c r="J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</row>
    <row r="47" spans="1:33" ht="12.75">
      <c r="A47" s="59" t="s">
        <v>153</v>
      </c>
      <c r="B47" s="4" t="s">
        <v>195</v>
      </c>
      <c r="C47" s="59" t="s">
        <v>192</v>
      </c>
      <c r="D47" s="45" t="s">
        <v>196</v>
      </c>
      <c r="E47" s="47">
        <v>31</v>
      </c>
      <c r="G47" s="223">
        <v>21250</v>
      </c>
      <c r="H47" s="6"/>
      <c r="I47" s="100"/>
      <c r="J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</row>
    <row r="48" spans="1:33" ht="12.75">
      <c r="A48" s="59" t="s">
        <v>132</v>
      </c>
      <c r="B48" s="253" t="s">
        <v>197</v>
      </c>
      <c r="C48" s="59" t="s">
        <v>192</v>
      </c>
      <c r="D48" s="45" t="s">
        <v>198</v>
      </c>
      <c r="E48" s="47">
        <v>31</v>
      </c>
      <c r="F48" s="223">
        <v>16000</v>
      </c>
      <c r="G48" s="6"/>
      <c r="H48" s="6"/>
      <c r="I48" s="100"/>
      <c r="J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</row>
    <row r="49" spans="1:33" ht="12.75">
      <c r="A49" s="14"/>
      <c r="B49" s="183"/>
      <c r="C49" s="14"/>
      <c r="D49" s="185"/>
      <c r="E49" s="35"/>
      <c r="F49" s="209"/>
      <c r="G49" s="14"/>
      <c r="H49" s="14"/>
      <c r="I49" s="100"/>
      <c r="J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</row>
    <row r="50" spans="1:33" ht="12.75">
      <c r="A50" s="189"/>
      <c r="B50" s="196" t="s">
        <v>111</v>
      </c>
      <c r="C50" s="189"/>
      <c r="D50" s="193"/>
      <c r="E50" s="194" t="s">
        <v>113</v>
      </c>
      <c r="F50" s="259"/>
      <c r="G50" s="189"/>
      <c r="H50" s="189"/>
      <c r="I50" s="100"/>
      <c r="J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</row>
    <row r="51" spans="1:33" ht="12.75">
      <c r="A51" s="2" t="s">
        <v>114</v>
      </c>
      <c r="B51" s="29" t="s">
        <v>116</v>
      </c>
      <c r="C51" s="59"/>
      <c r="D51" s="8"/>
      <c r="E51" s="47">
        <v>31</v>
      </c>
      <c r="F51" s="223">
        <v>7500</v>
      </c>
      <c r="G51" s="6"/>
      <c r="H51" s="6"/>
      <c r="I51" s="260"/>
      <c r="J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</row>
    <row r="52" spans="1:33" ht="12.75">
      <c r="A52" s="6" t="s">
        <v>119</v>
      </c>
      <c r="B52" s="29" t="s">
        <v>116</v>
      </c>
      <c r="C52" s="59"/>
      <c r="D52" s="8"/>
      <c r="E52" s="47">
        <v>31</v>
      </c>
      <c r="F52" s="223">
        <v>6500</v>
      </c>
      <c r="G52" s="6"/>
      <c r="H52" s="6"/>
      <c r="I52" s="260"/>
      <c r="J52" s="14"/>
      <c r="L52" s="1" t="s">
        <v>199</v>
      </c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</row>
    <row r="53" spans="1:33" ht="12.75">
      <c r="A53" s="116"/>
      <c r="B53" s="172"/>
      <c r="C53" s="116"/>
      <c r="D53" s="118"/>
      <c r="E53" s="120"/>
      <c r="F53" s="255"/>
      <c r="G53" s="116"/>
      <c r="H53" s="116"/>
      <c r="I53" s="150"/>
      <c r="J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</row>
    <row r="54" spans="1:33" ht="12.75">
      <c r="A54" s="184"/>
      <c r="B54" s="186" t="s">
        <v>123</v>
      </c>
      <c r="C54" s="187"/>
      <c r="D54" s="187"/>
      <c r="E54" s="190" t="s">
        <v>113</v>
      </c>
      <c r="F54" s="261"/>
      <c r="G54" s="187"/>
      <c r="H54" s="187"/>
      <c r="I54" s="150"/>
      <c r="J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</row>
    <row r="55" spans="1:33" ht="12.75">
      <c r="A55" s="2" t="s">
        <v>114</v>
      </c>
      <c r="B55" s="29" t="s">
        <v>125</v>
      </c>
      <c r="C55" s="59" t="s">
        <v>192</v>
      </c>
      <c r="D55" s="45" t="s">
        <v>200</v>
      </c>
      <c r="E55" s="47">
        <v>30</v>
      </c>
      <c r="F55" s="223">
        <v>10000</v>
      </c>
      <c r="G55" s="6"/>
      <c r="H55" s="6"/>
      <c r="I55" s="100"/>
      <c r="J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</row>
    <row r="56" spans="1:33" ht="12.75">
      <c r="A56" s="2" t="s">
        <v>119</v>
      </c>
      <c r="B56" s="4" t="s">
        <v>201</v>
      </c>
      <c r="C56" s="59" t="s">
        <v>192</v>
      </c>
      <c r="D56" s="59" t="s">
        <v>202</v>
      </c>
      <c r="E56" s="47">
        <v>30</v>
      </c>
      <c r="F56" s="223">
        <v>15000</v>
      </c>
      <c r="G56" s="6"/>
      <c r="H56" s="6"/>
      <c r="I56" s="100"/>
      <c r="J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</row>
    <row r="57" spans="1:33" ht="12.75">
      <c r="A57" s="144" t="s">
        <v>114</v>
      </c>
      <c r="B57" s="181"/>
      <c r="C57" s="100"/>
      <c r="D57" s="109"/>
      <c r="E57" s="262"/>
      <c r="F57" s="237"/>
      <c r="G57" s="100"/>
      <c r="H57" s="144">
        <v>14000</v>
      </c>
      <c r="I57" s="260" t="s">
        <v>203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</row>
    <row r="58" spans="1:33" ht="12.75">
      <c r="A58" s="144" t="s">
        <v>204</v>
      </c>
      <c r="B58" s="181"/>
      <c r="C58" s="144" t="s">
        <v>204</v>
      </c>
      <c r="D58" s="109"/>
      <c r="E58" s="262"/>
      <c r="F58" s="237"/>
      <c r="G58" s="100"/>
      <c r="H58" s="144">
        <v>10000</v>
      </c>
      <c r="I58" s="260" t="s">
        <v>205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</row>
    <row r="59" spans="1:33" ht="12.75">
      <c r="A59" s="144" t="s">
        <v>132</v>
      </c>
      <c r="B59" s="181"/>
      <c r="C59" s="100"/>
      <c r="D59" s="109"/>
      <c r="E59" s="262"/>
      <c r="F59" s="237"/>
      <c r="G59" s="100"/>
      <c r="H59" s="100"/>
      <c r="I59" s="260" t="s">
        <v>206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</row>
    <row r="60" spans="1:33" ht="12.75">
      <c r="A60" s="100"/>
      <c r="B60" s="181"/>
      <c r="C60" s="100"/>
      <c r="D60" s="109"/>
      <c r="E60" s="262"/>
      <c r="F60" s="237"/>
      <c r="G60" s="100"/>
      <c r="H60" s="100"/>
      <c r="I60" s="150"/>
      <c r="J60" s="14"/>
      <c r="K60" s="14"/>
      <c r="L60" s="33" t="s">
        <v>199</v>
      </c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</row>
    <row r="61" spans="1:33" ht="12.75">
      <c r="A61" s="14"/>
      <c r="B61" s="183"/>
      <c r="C61" s="14"/>
      <c r="D61" s="185"/>
      <c r="E61" s="263" t="s">
        <v>3</v>
      </c>
      <c r="F61" s="264">
        <f>F38+F41+F44+F45+F46+G47+F51+F52+F55+F56+F48</f>
        <v>180750</v>
      </c>
      <c r="G61" s="14"/>
      <c r="H61" s="14"/>
      <c r="I61" s="265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</row>
    <row r="62" spans="1:33" ht="12.75">
      <c r="A62" s="14"/>
    </row>
    <row r="63" spans="1:33" ht="12.75">
      <c r="A63" s="14"/>
      <c r="H63" s="266" t="s">
        <v>207</v>
      </c>
      <c r="I63" s="264">
        <f>I34+F61+I17</f>
        <v>674997.75</v>
      </c>
    </row>
    <row r="64" spans="1:33" ht="12.75">
      <c r="A64" s="14"/>
      <c r="B64" s="183"/>
      <c r="C64" s="14"/>
      <c r="D64" s="185"/>
      <c r="E64" s="35"/>
      <c r="F64" s="209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</row>
    <row r="65" spans="1:33" ht="12.75">
      <c r="A65" s="14"/>
      <c r="B65" s="183"/>
      <c r="C65" s="14"/>
      <c r="D65" s="185"/>
      <c r="E65" s="35"/>
      <c r="F65" s="209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</row>
    <row r="66" spans="1:33" ht="12.75">
      <c r="A66" s="14"/>
      <c r="B66" s="183"/>
      <c r="C66" s="14"/>
      <c r="D66" s="185"/>
      <c r="E66" s="35"/>
      <c r="F66" s="209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</row>
    <row r="67" spans="1:33" ht="12.75">
      <c r="A67" s="14"/>
      <c r="B67" s="183"/>
      <c r="C67" s="14"/>
      <c r="D67" s="185"/>
      <c r="E67" s="35"/>
      <c r="F67" s="209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</row>
    <row r="68" spans="1:33" ht="12.75">
      <c r="A68" s="14"/>
      <c r="B68" s="183"/>
      <c r="C68" s="14"/>
      <c r="D68" s="185"/>
      <c r="E68" s="35"/>
      <c r="F68" s="209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</row>
    <row r="69" spans="1:33" ht="12.75">
      <c r="A69" s="14"/>
      <c r="B69" s="183"/>
      <c r="C69" s="14"/>
      <c r="D69" s="185"/>
      <c r="E69" s="35"/>
      <c r="F69" s="209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</row>
    <row r="70" spans="1:33" ht="12.75">
      <c r="A70" s="14"/>
      <c r="B70" s="183"/>
      <c r="C70" s="14"/>
      <c r="D70" s="185"/>
      <c r="E70" s="35"/>
      <c r="F70" s="209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</row>
    <row r="71" spans="1:33" ht="12.75">
      <c r="A71" s="14"/>
      <c r="B71" s="183"/>
      <c r="C71" s="14"/>
      <c r="D71" s="185"/>
      <c r="E71" s="35"/>
      <c r="F71" s="209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</row>
    <row r="72" spans="1:33" ht="12.75">
      <c r="A72" s="14"/>
      <c r="B72" s="183"/>
      <c r="C72" s="14"/>
      <c r="D72" s="185"/>
      <c r="E72" s="35"/>
      <c r="F72" s="209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</row>
    <row r="73" spans="1:33" ht="12.75">
      <c r="A73" s="14"/>
      <c r="B73" s="183"/>
      <c r="C73" s="14"/>
      <c r="D73" s="185"/>
      <c r="E73" s="35"/>
      <c r="F73" s="209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</row>
    <row r="74" spans="1:33" ht="12.75">
      <c r="A74" s="14"/>
      <c r="B74" s="183"/>
      <c r="C74" s="14"/>
      <c r="D74" s="185"/>
      <c r="E74" s="35"/>
      <c r="F74" s="209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</row>
    <row r="75" spans="1:33" ht="12.75">
      <c r="A75" s="14"/>
      <c r="B75" s="183"/>
      <c r="C75" s="14"/>
      <c r="D75" s="185"/>
      <c r="E75" s="35"/>
      <c r="F75" s="209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</row>
    <row r="76" spans="1:33" ht="12.75">
      <c r="A76" s="14"/>
      <c r="B76" s="183"/>
      <c r="C76" s="14"/>
      <c r="D76" s="185"/>
      <c r="E76" s="35"/>
      <c r="F76" s="209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</row>
    <row r="77" spans="1:33" ht="12.75">
      <c r="A77" s="14"/>
      <c r="B77" s="183"/>
      <c r="C77" s="14"/>
      <c r="D77" s="185"/>
      <c r="E77" s="35"/>
      <c r="F77" s="209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</row>
    <row r="78" spans="1:33" ht="12.75">
      <c r="A78" s="14"/>
      <c r="B78" s="183"/>
      <c r="C78" s="14"/>
      <c r="D78" s="185"/>
      <c r="E78" s="35"/>
      <c r="F78" s="209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</row>
    <row r="79" spans="1:33" ht="12.75">
      <c r="A79" s="14"/>
      <c r="B79" s="183"/>
      <c r="C79" s="14"/>
      <c r="D79" s="185"/>
      <c r="E79" s="35"/>
      <c r="F79" s="209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</row>
    <row r="80" spans="1:33" ht="12.75">
      <c r="A80" s="14"/>
      <c r="B80" s="183"/>
      <c r="C80" s="14"/>
      <c r="D80" s="185"/>
      <c r="E80" s="35"/>
      <c r="F80" s="209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</row>
    <row r="81" spans="1:33" ht="12.75">
      <c r="A81" s="14"/>
      <c r="B81" s="183"/>
      <c r="C81" s="14"/>
      <c r="D81" s="185"/>
      <c r="E81" s="35"/>
      <c r="F81" s="209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</row>
    <row r="82" spans="1:33" ht="12.75">
      <c r="A82" s="14"/>
      <c r="B82" s="183"/>
      <c r="C82" s="14"/>
      <c r="D82" s="185"/>
      <c r="E82" s="35"/>
      <c r="F82" s="209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</row>
    <row r="83" spans="1:33" ht="12.75">
      <c r="A83" s="14"/>
      <c r="B83" s="183"/>
      <c r="C83" s="14"/>
      <c r="D83" s="185"/>
      <c r="E83" s="35"/>
      <c r="F83" s="209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</row>
    <row r="84" spans="1:33" ht="12.75">
      <c r="A84" s="14"/>
      <c r="B84" s="183"/>
      <c r="C84" s="14"/>
      <c r="D84" s="185"/>
      <c r="E84" s="35"/>
      <c r="F84" s="209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</row>
    <row r="85" spans="1:33" ht="12.75">
      <c r="A85" s="14"/>
      <c r="B85" s="183"/>
      <c r="C85" s="14"/>
      <c r="D85" s="185"/>
      <c r="E85" s="35"/>
      <c r="F85" s="209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</row>
    <row r="86" spans="1:33" ht="12.75">
      <c r="A86" s="14"/>
      <c r="B86" s="183"/>
      <c r="C86" s="14"/>
      <c r="D86" s="185"/>
      <c r="E86" s="35"/>
      <c r="F86" s="209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</row>
    <row r="87" spans="1:33" ht="12.75">
      <c r="A87" s="14"/>
      <c r="B87" s="183"/>
      <c r="C87" s="14"/>
      <c r="D87" s="185"/>
      <c r="E87" s="35"/>
      <c r="F87" s="209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</row>
    <row r="88" spans="1:33" ht="12.75">
      <c r="A88" s="14"/>
      <c r="B88" s="183"/>
      <c r="C88" s="14"/>
      <c r="D88" s="185"/>
      <c r="E88" s="35"/>
      <c r="F88" s="209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</row>
    <row r="89" spans="1:33" ht="12.75">
      <c r="A89" s="14"/>
      <c r="B89" s="183"/>
      <c r="C89" s="14"/>
      <c r="D89" s="185"/>
      <c r="E89" s="35"/>
      <c r="F89" s="209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</row>
    <row r="90" spans="1:33" ht="12.75">
      <c r="A90" s="14"/>
      <c r="B90" s="183"/>
      <c r="C90" s="14"/>
      <c r="D90" s="185"/>
      <c r="E90" s="35"/>
      <c r="F90" s="209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</row>
    <row r="91" spans="1:33" ht="12.75">
      <c r="A91" s="14"/>
      <c r="B91" s="183"/>
      <c r="C91" s="14"/>
      <c r="D91" s="185"/>
      <c r="E91" s="35"/>
      <c r="F91" s="209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</row>
    <row r="92" spans="1:33" ht="12.75">
      <c r="A92" s="14"/>
      <c r="B92" s="183"/>
      <c r="C92" s="14"/>
      <c r="D92" s="185"/>
      <c r="E92" s="35"/>
      <c r="F92" s="209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</row>
    <row r="93" spans="1:33" ht="12.75">
      <c r="A93" s="14"/>
      <c r="B93" s="183"/>
      <c r="C93" s="14"/>
      <c r="D93" s="185"/>
      <c r="E93" s="35"/>
      <c r="F93" s="209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</row>
    <row r="94" spans="1:33" ht="12.75">
      <c r="A94" s="14"/>
      <c r="B94" s="183"/>
      <c r="C94" s="14"/>
      <c r="D94" s="185"/>
      <c r="E94" s="35"/>
      <c r="F94" s="209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</row>
    <row r="95" spans="1:33" ht="12.75">
      <c r="A95" s="14"/>
      <c r="B95" s="183"/>
      <c r="C95" s="14"/>
      <c r="D95" s="185"/>
      <c r="E95" s="35"/>
      <c r="F95" s="209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</row>
    <row r="96" spans="1:33" ht="12.75">
      <c r="A96" s="14"/>
      <c r="B96" s="183"/>
      <c r="C96" s="14"/>
      <c r="D96" s="185"/>
      <c r="E96" s="35"/>
      <c r="F96" s="209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</row>
    <row r="97" spans="1:33" ht="12.75">
      <c r="A97" s="14"/>
      <c r="B97" s="183"/>
      <c r="C97" s="14"/>
      <c r="D97" s="185"/>
      <c r="E97" s="35"/>
      <c r="F97" s="209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</row>
    <row r="98" spans="1:33" ht="12.75">
      <c r="A98" s="14"/>
      <c r="B98" s="183"/>
      <c r="C98" s="14"/>
      <c r="D98" s="185"/>
      <c r="E98" s="35"/>
      <c r="F98" s="209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</row>
    <row r="99" spans="1:33" ht="12.75">
      <c r="A99" s="14"/>
      <c r="B99" s="183"/>
      <c r="C99" s="14"/>
      <c r="D99" s="185"/>
      <c r="E99" s="35"/>
      <c r="F99" s="209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</row>
    <row r="100" spans="1:33" ht="12.75">
      <c r="A100" s="14"/>
      <c r="B100" s="183"/>
      <c r="C100" s="14"/>
      <c r="D100" s="185"/>
      <c r="E100" s="35"/>
      <c r="F100" s="209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</row>
    <row r="101" spans="1:33" ht="12.75">
      <c r="A101" s="14"/>
      <c r="B101" s="183"/>
      <c r="C101" s="14"/>
      <c r="D101" s="185"/>
      <c r="E101" s="35"/>
      <c r="F101" s="209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</row>
    <row r="102" spans="1:33" ht="12.75">
      <c r="A102" s="14"/>
      <c r="B102" s="183"/>
      <c r="C102" s="14"/>
      <c r="D102" s="185"/>
      <c r="E102" s="35"/>
      <c r="F102" s="209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</row>
    <row r="103" spans="1:33" ht="12.75">
      <c r="A103" s="14"/>
      <c r="B103" s="183"/>
      <c r="C103" s="14"/>
      <c r="D103" s="185"/>
      <c r="E103" s="35"/>
      <c r="F103" s="209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</row>
    <row r="104" spans="1:33" ht="12.75">
      <c r="A104" s="14"/>
      <c r="B104" s="183"/>
      <c r="C104" s="14"/>
      <c r="D104" s="185"/>
      <c r="E104" s="35"/>
      <c r="F104" s="209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</row>
    <row r="105" spans="1:33" ht="12.75">
      <c r="A105" s="14"/>
      <c r="B105" s="183"/>
      <c r="C105" s="14"/>
      <c r="D105" s="185"/>
      <c r="E105" s="35"/>
      <c r="F105" s="209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</row>
    <row r="106" spans="1:33" ht="12.75">
      <c r="A106" s="14"/>
      <c r="B106" s="183"/>
      <c r="C106" s="14"/>
      <c r="D106" s="185"/>
      <c r="E106" s="35"/>
      <c r="F106" s="209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</row>
    <row r="107" spans="1:33" ht="12.75">
      <c r="A107" s="14"/>
      <c r="B107" s="183"/>
      <c r="C107" s="14"/>
      <c r="D107" s="185"/>
      <c r="E107" s="35"/>
      <c r="F107" s="209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</row>
    <row r="108" spans="1:33" ht="12.75">
      <c r="A108" s="14"/>
      <c r="B108" s="183"/>
      <c r="C108" s="14"/>
      <c r="D108" s="185"/>
      <c r="E108" s="35"/>
      <c r="F108" s="209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</row>
    <row r="109" spans="1:33" ht="12.75">
      <c r="A109" s="14"/>
      <c r="B109" s="183"/>
      <c r="C109" s="14"/>
      <c r="D109" s="185"/>
      <c r="E109" s="35"/>
      <c r="F109" s="209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</row>
    <row r="110" spans="1:33" ht="12.75">
      <c r="A110" s="14"/>
      <c r="B110" s="183"/>
      <c r="C110" s="14"/>
      <c r="D110" s="185"/>
      <c r="E110" s="35"/>
      <c r="F110" s="209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</row>
    <row r="111" spans="1:33" ht="12.75">
      <c r="A111" s="14"/>
      <c r="B111" s="183"/>
      <c r="C111" s="14"/>
      <c r="D111" s="185"/>
      <c r="E111" s="35"/>
      <c r="F111" s="209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</row>
    <row r="112" spans="1:33" ht="12.75">
      <c r="A112" s="14"/>
      <c r="B112" s="183"/>
      <c r="C112" s="14"/>
      <c r="D112" s="185"/>
      <c r="E112" s="35"/>
      <c r="F112" s="209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</row>
    <row r="113" spans="1:33" ht="12.75">
      <c r="A113" s="14"/>
      <c r="B113" s="183"/>
      <c r="C113" s="14"/>
      <c r="D113" s="185"/>
      <c r="E113" s="35"/>
      <c r="F113" s="209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</row>
    <row r="114" spans="1:33" ht="12.75">
      <c r="A114" s="14"/>
      <c r="B114" s="183"/>
      <c r="C114" s="14"/>
      <c r="D114" s="185"/>
      <c r="E114" s="35"/>
      <c r="F114" s="209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</row>
    <row r="115" spans="1:33" ht="12.75">
      <c r="A115" s="14"/>
      <c r="B115" s="183"/>
      <c r="C115" s="14"/>
      <c r="D115" s="185"/>
      <c r="E115" s="35"/>
      <c r="F115" s="209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</row>
    <row r="116" spans="1:33" ht="12.75">
      <c r="A116" s="14"/>
      <c r="B116" s="183"/>
      <c r="C116" s="14"/>
      <c r="D116" s="185"/>
      <c r="E116" s="35"/>
      <c r="F116" s="209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</row>
    <row r="117" spans="1:33" ht="12.75">
      <c r="A117" s="14"/>
      <c r="B117" s="183"/>
      <c r="C117" s="14"/>
      <c r="D117" s="185"/>
      <c r="E117" s="35"/>
      <c r="F117" s="209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</row>
    <row r="118" spans="1:33" ht="12.75">
      <c r="A118" s="14"/>
      <c r="B118" s="183"/>
      <c r="C118" s="14"/>
      <c r="D118" s="185"/>
      <c r="E118" s="35"/>
      <c r="F118" s="209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</row>
    <row r="119" spans="1:33" ht="12.75">
      <c r="A119" s="14"/>
      <c r="B119" s="183"/>
      <c r="C119" s="14"/>
      <c r="D119" s="185"/>
      <c r="E119" s="35"/>
      <c r="F119" s="209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</row>
    <row r="120" spans="1:33" ht="12.75">
      <c r="A120" s="14"/>
      <c r="B120" s="183"/>
      <c r="C120" s="14"/>
      <c r="D120" s="185"/>
      <c r="E120" s="35"/>
      <c r="F120" s="209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</row>
    <row r="121" spans="1:33" ht="12.75">
      <c r="A121" s="14"/>
      <c r="B121" s="183"/>
      <c r="C121" s="14"/>
      <c r="D121" s="185"/>
      <c r="E121" s="35"/>
      <c r="F121" s="209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</row>
    <row r="122" spans="1:33" ht="12.75">
      <c r="A122" s="14"/>
      <c r="B122" s="183"/>
      <c r="C122" s="14"/>
      <c r="D122" s="185"/>
      <c r="E122" s="35"/>
      <c r="F122" s="209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</row>
    <row r="123" spans="1:33" ht="12.75">
      <c r="A123" s="14"/>
      <c r="B123" s="183"/>
      <c r="C123" s="14"/>
      <c r="D123" s="185"/>
      <c r="E123" s="35"/>
      <c r="F123" s="209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</row>
    <row r="124" spans="1:33" ht="12.75">
      <c r="A124" s="14"/>
      <c r="B124" s="183"/>
      <c r="C124" s="14"/>
      <c r="D124" s="185"/>
      <c r="E124" s="35"/>
      <c r="F124" s="209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</row>
    <row r="125" spans="1:33" ht="12.75">
      <c r="A125" s="14"/>
      <c r="B125" s="183"/>
      <c r="C125" s="14"/>
      <c r="D125" s="185"/>
      <c r="E125" s="35"/>
      <c r="F125" s="209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</row>
    <row r="126" spans="1:33" ht="12.75">
      <c r="A126" s="14"/>
      <c r="B126" s="183"/>
      <c r="C126" s="14"/>
      <c r="D126" s="185"/>
      <c r="E126" s="35"/>
      <c r="F126" s="209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</row>
    <row r="127" spans="1:33" ht="12.75">
      <c r="A127" s="14"/>
      <c r="B127" s="183"/>
      <c r="C127" s="14"/>
      <c r="D127" s="185"/>
      <c r="E127" s="35"/>
      <c r="F127" s="209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</row>
    <row r="128" spans="1:33" ht="12.75">
      <c r="A128" s="14"/>
      <c r="B128" s="183"/>
      <c r="C128" s="14"/>
      <c r="D128" s="185"/>
      <c r="E128" s="35"/>
      <c r="F128" s="209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</row>
    <row r="129" spans="1:33" ht="12.75">
      <c r="A129" s="14"/>
      <c r="B129" s="183"/>
      <c r="C129" s="14"/>
      <c r="D129" s="185"/>
      <c r="E129" s="35"/>
      <c r="F129" s="209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</row>
    <row r="130" spans="1:33" ht="12.75">
      <c r="A130" s="14"/>
      <c r="B130" s="183"/>
      <c r="C130" s="14"/>
      <c r="D130" s="185"/>
      <c r="E130" s="35"/>
      <c r="F130" s="209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</row>
    <row r="131" spans="1:33" ht="12.75">
      <c r="A131" s="14"/>
      <c r="B131" s="183"/>
      <c r="C131" s="14"/>
      <c r="D131" s="185"/>
      <c r="E131" s="35"/>
      <c r="F131" s="209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</row>
    <row r="132" spans="1:33" ht="12.75">
      <c r="A132" s="14"/>
      <c r="B132" s="183"/>
      <c r="C132" s="14"/>
      <c r="D132" s="185"/>
      <c r="E132" s="35"/>
      <c r="F132" s="209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</row>
    <row r="133" spans="1:33" ht="12.75">
      <c r="A133" s="14"/>
      <c r="B133" s="183"/>
      <c r="C133" s="14"/>
      <c r="D133" s="185"/>
      <c r="E133" s="35"/>
      <c r="F133" s="209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</row>
    <row r="134" spans="1:33" ht="12.75">
      <c r="A134" s="14"/>
      <c r="B134" s="183"/>
      <c r="C134" s="14"/>
      <c r="D134" s="185"/>
      <c r="E134" s="35"/>
      <c r="F134" s="209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</row>
    <row r="135" spans="1:33" ht="12.75">
      <c r="A135" s="14"/>
      <c r="B135" s="183"/>
      <c r="C135" s="14"/>
      <c r="D135" s="185"/>
      <c r="E135" s="35"/>
      <c r="F135" s="209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</row>
    <row r="136" spans="1:33" ht="12.75">
      <c r="A136" s="14"/>
      <c r="B136" s="183"/>
      <c r="C136" s="14"/>
      <c r="D136" s="185"/>
      <c r="E136" s="35"/>
      <c r="F136" s="209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</row>
    <row r="137" spans="1:33" ht="12.75">
      <c r="A137" s="14"/>
      <c r="B137" s="183"/>
      <c r="C137" s="14"/>
      <c r="D137" s="185"/>
      <c r="E137" s="35"/>
      <c r="F137" s="209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</row>
    <row r="138" spans="1:33" ht="12.75">
      <c r="A138" s="14"/>
      <c r="B138" s="206"/>
      <c r="C138" s="6"/>
      <c r="D138" s="185"/>
      <c r="E138" s="35"/>
      <c r="F138" s="209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</row>
    <row r="139" spans="1:33" ht="12.75">
      <c r="A139" s="14"/>
      <c r="B139" s="206"/>
      <c r="C139" s="6"/>
      <c r="D139" s="185"/>
      <c r="E139" s="35"/>
      <c r="F139" s="209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</row>
    <row r="140" spans="1:33" ht="12.75">
      <c r="A140" s="14"/>
      <c r="B140" s="206"/>
      <c r="C140" s="6"/>
      <c r="D140" s="185"/>
      <c r="E140" s="35"/>
      <c r="F140" s="209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</row>
    <row r="141" spans="1:33" ht="12.75">
      <c r="A141" s="14"/>
      <c r="B141" s="206"/>
      <c r="C141" s="6"/>
      <c r="D141" s="185"/>
      <c r="E141" s="35"/>
      <c r="F141" s="209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</row>
    <row r="142" spans="1:33" ht="12.75">
      <c r="A142" s="14"/>
      <c r="B142" s="206"/>
      <c r="C142" s="6"/>
      <c r="D142" s="185"/>
      <c r="E142" s="35"/>
      <c r="F142" s="209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</row>
    <row r="143" spans="1:33" ht="12.75">
      <c r="A143" s="14"/>
      <c r="B143" s="206"/>
      <c r="C143" s="6"/>
      <c r="D143" s="185"/>
      <c r="E143" s="35"/>
      <c r="F143" s="209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</row>
    <row r="144" spans="1:33" ht="12.75">
      <c r="A144" s="14"/>
      <c r="B144" s="206"/>
      <c r="C144" s="6"/>
      <c r="D144" s="185"/>
      <c r="E144" s="35"/>
      <c r="F144" s="209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</row>
    <row r="145" spans="1:33" ht="12.75">
      <c r="A145" s="14"/>
      <c r="B145" s="206"/>
      <c r="C145" s="6"/>
      <c r="D145" s="185"/>
      <c r="E145" s="35"/>
      <c r="F145" s="209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</row>
    <row r="146" spans="1:33" ht="12.75">
      <c r="A146" s="14"/>
      <c r="B146" s="206"/>
      <c r="C146" s="6"/>
      <c r="D146" s="185"/>
      <c r="E146" s="35"/>
      <c r="F146" s="209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</row>
    <row r="147" spans="1:33" ht="12.75">
      <c r="A147" s="14"/>
      <c r="B147" s="206"/>
      <c r="C147" s="6"/>
      <c r="D147" s="185"/>
      <c r="E147" s="35"/>
      <c r="F147" s="209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</row>
    <row r="148" spans="1:33" ht="12.75">
      <c r="A148" s="14"/>
      <c r="B148" s="206"/>
      <c r="C148" s="6"/>
      <c r="D148" s="185"/>
      <c r="E148" s="35"/>
      <c r="F148" s="209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</row>
    <row r="149" spans="1:33" ht="12.75">
      <c r="A149" s="14"/>
      <c r="B149" s="206"/>
      <c r="C149" s="6"/>
      <c r="D149" s="185"/>
      <c r="E149" s="35"/>
      <c r="F149" s="209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</row>
    <row r="150" spans="1:33" ht="12.75">
      <c r="A150" s="14"/>
      <c r="B150" s="206"/>
      <c r="C150" s="6"/>
      <c r="D150" s="185"/>
      <c r="E150" s="35"/>
      <c r="F150" s="209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</row>
    <row r="151" spans="1:33" ht="12.75">
      <c r="A151" s="14"/>
      <c r="B151" s="206"/>
      <c r="C151" s="6"/>
      <c r="D151" s="185"/>
      <c r="E151" s="35"/>
      <c r="F151" s="209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</row>
    <row r="152" spans="1:33" ht="12.75">
      <c r="A152" s="14"/>
      <c r="B152" s="206"/>
      <c r="C152" s="6"/>
      <c r="D152" s="185"/>
      <c r="E152" s="35"/>
      <c r="F152" s="209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</row>
    <row r="153" spans="1:33" ht="12.75">
      <c r="A153" s="14"/>
      <c r="B153" s="206"/>
      <c r="C153" s="6"/>
      <c r="D153" s="185"/>
      <c r="E153" s="35"/>
      <c r="F153" s="209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</row>
    <row r="154" spans="1:33" ht="12.75">
      <c r="A154" s="14"/>
      <c r="B154" s="206"/>
      <c r="C154" s="6"/>
      <c r="D154" s="185"/>
      <c r="E154" s="35"/>
      <c r="F154" s="209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</row>
    <row r="155" spans="1:33" ht="12.75">
      <c r="A155" s="14"/>
      <c r="B155" s="206"/>
      <c r="C155" s="6"/>
      <c r="D155" s="185"/>
      <c r="E155" s="35"/>
      <c r="F155" s="209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</row>
    <row r="156" spans="1:33" ht="12.75">
      <c r="A156" s="14"/>
      <c r="B156" s="206"/>
      <c r="C156" s="6"/>
      <c r="D156" s="185"/>
      <c r="E156" s="35"/>
      <c r="F156" s="209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</row>
    <row r="157" spans="1:33" ht="12.75">
      <c r="A157" s="14"/>
      <c r="B157" s="206"/>
      <c r="C157" s="6"/>
      <c r="D157" s="185"/>
      <c r="E157" s="35"/>
      <c r="F157" s="209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</row>
    <row r="158" spans="1:33" ht="12.75">
      <c r="A158" s="14"/>
      <c r="B158" s="206"/>
      <c r="C158" s="6"/>
      <c r="D158" s="185"/>
      <c r="E158" s="35"/>
      <c r="F158" s="209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</row>
    <row r="159" spans="1:33" ht="12.75">
      <c r="A159" s="14"/>
      <c r="B159" s="206"/>
      <c r="C159" s="6"/>
      <c r="D159" s="185"/>
      <c r="E159" s="35"/>
      <c r="F159" s="209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</row>
    <row r="160" spans="1:33" ht="12.75">
      <c r="A160" s="14"/>
      <c r="B160" s="206"/>
      <c r="C160" s="6"/>
      <c r="D160" s="185"/>
      <c r="E160" s="35"/>
      <c r="F160" s="209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</row>
    <row r="161" spans="1:33" ht="12.75">
      <c r="A161" s="14"/>
      <c r="B161" s="206"/>
      <c r="C161" s="6"/>
      <c r="D161" s="185"/>
      <c r="E161" s="35"/>
      <c r="F161" s="209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</row>
    <row r="162" spans="1:33" ht="12.75">
      <c r="A162" s="14"/>
      <c r="B162" s="206"/>
      <c r="C162" s="6"/>
      <c r="D162" s="185"/>
      <c r="E162" s="35"/>
      <c r="F162" s="209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</row>
    <row r="163" spans="1:33" ht="12.75">
      <c r="A163" s="14"/>
      <c r="B163" s="206"/>
      <c r="C163" s="6"/>
      <c r="D163" s="185"/>
      <c r="E163" s="35"/>
      <c r="F163" s="209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</row>
    <row r="164" spans="1:33" ht="12.75">
      <c r="A164" s="14"/>
      <c r="B164" s="206"/>
      <c r="C164" s="6"/>
      <c r="D164" s="185"/>
      <c r="E164" s="35"/>
      <c r="F164" s="209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</row>
    <row r="165" spans="1:33" ht="12.75">
      <c r="A165" s="14"/>
      <c r="B165" s="206"/>
      <c r="C165" s="6"/>
      <c r="D165" s="185"/>
      <c r="E165" s="35"/>
      <c r="F165" s="209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</row>
    <row r="166" spans="1:33" ht="12.75">
      <c r="A166" s="14"/>
      <c r="B166" s="206"/>
      <c r="C166" s="6"/>
      <c r="D166" s="185"/>
      <c r="E166" s="35"/>
      <c r="F166" s="209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</row>
    <row r="167" spans="1:33" ht="12.75">
      <c r="A167" s="14"/>
      <c r="B167" s="206"/>
      <c r="C167" s="6"/>
      <c r="D167" s="185"/>
      <c r="E167" s="35"/>
      <c r="F167" s="209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</row>
    <row r="168" spans="1:33" ht="12.75">
      <c r="A168" s="14"/>
      <c r="B168" s="206"/>
      <c r="C168" s="6"/>
      <c r="D168" s="185"/>
      <c r="E168" s="35"/>
      <c r="F168" s="209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</row>
    <row r="169" spans="1:33" ht="12.75">
      <c r="A169" s="14"/>
      <c r="B169" s="206"/>
      <c r="C169" s="6"/>
      <c r="D169" s="185"/>
      <c r="E169" s="35"/>
      <c r="F169" s="209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</row>
    <row r="170" spans="1:33" ht="12.75">
      <c r="A170" s="14"/>
      <c r="B170" s="206"/>
      <c r="C170" s="6"/>
      <c r="D170" s="185"/>
      <c r="E170" s="35"/>
      <c r="F170" s="209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</row>
    <row r="171" spans="1:33" ht="12.75">
      <c r="A171" s="14"/>
      <c r="B171" s="206"/>
      <c r="C171" s="6"/>
      <c r="D171" s="185"/>
      <c r="E171" s="35"/>
      <c r="F171" s="209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</row>
    <row r="172" spans="1:33" ht="12.75">
      <c r="A172" s="14"/>
      <c r="B172" s="206"/>
      <c r="C172" s="6"/>
      <c r="D172" s="185"/>
      <c r="E172" s="35"/>
      <c r="F172" s="209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</row>
    <row r="173" spans="1:33" ht="12.75">
      <c r="A173" s="14"/>
      <c r="B173" s="206"/>
      <c r="C173" s="6"/>
      <c r="D173" s="185"/>
      <c r="E173" s="35"/>
      <c r="F173" s="209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</row>
    <row r="174" spans="1:33" ht="12.75">
      <c r="A174" s="14"/>
      <c r="B174" s="206"/>
      <c r="C174" s="6"/>
      <c r="D174" s="185"/>
      <c r="E174" s="35"/>
      <c r="F174" s="209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</row>
    <row r="175" spans="1:33" ht="12.75">
      <c r="A175" s="14"/>
      <c r="B175" s="206"/>
      <c r="C175" s="6"/>
      <c r="D175" s="185"/>
      <c r="E175" s="35"/>
      <c r="F175" s="209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</row>
    <row r="176" spans="1:33" ht="12.75">
      <c r="A176" s="14"/>
      <c r="B176" s="206"/>
      <c r="C176" s="6"/>
      <c r="D176" s="185"/>
      <c r="E176" s="35"/>
      <c r="F176" s="209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</row>
    <row r="177" spans="1:33" ht="12.75">
      <c r="A177" s="14"/>
      <c r="B177" s="206"/>
      <c r="C177" s="6"/>
      <c r="D177" s="185"/>
      <c r="E177" s="35"/>
      <c r="F177" s="209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</row>
    <row r="178" spans="1:33" ht="12.75">
      <c r="A178" s="14"/>
      <c r="B178" s="206"/>
      <c r="C178" s="6"/>
      <c r="D178" s="185"/>
      <c r="E178" s="35"/>
      <c r="F178" s="209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</row>
    <row r="179" spans="1:33" ht="12.75">
      <c r="A179" s="14"/>
      <c r="B179" s="206"/>
      <c r="C179" s="6"/>
      <c r="D179" s="185"/>
      <c r="E179" s="35"/>
      <c r="F179" s="209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</row>
    <row r="180" spans="1:33" ht="12.75">
      <c r="A180" s="14"/>
      <c r="B180" s="206"/>
      <c r="C180" s="6"/>
      <c r="D180" s="185"/>
      <c r="E180" s="35"/>
      <c r="F180" s="209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</row>
    <row r="181" spans="1:33" ht="12.75">
      <c r="A181" s="14"/>
      <c r="B181" s="206"/>
      <c r="C181" s="6"/>
      <c r="D181" s="185"/>
      <c r="E181" s="35"/>
      <c r="F181" s="209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</row>
    <row r="182" spans="1:33" ht="12.75">
      <c r="A182" s="14"/>
      <c r="B182" s="206"/>
      <c r="C182" s="6"/>
      <c r="D182" s="185"/>
      <c r="E182" s="35"/>
      <c r="F182" s="209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</row>
    <row r="183" spans="1:33" ht="12.75">
      <c r="A183" s="14"/>
      <c r="B183" s="206"/>
      <c r="C183" s="6"/>
      <c r="D183" s="185"/>
      <c r="E183" s="35"/>
      <c r="F183" s="209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</row>
    <row r="184" spans="1:33" ht="12.75">
      <c r="A184" s="14"/>
      <c r="B184" s="206"/>
      <c r="C184" s="6"/>
      <c r="D184" s="185"/>
      <c r="E184" s="35"/>
      <c r="F184" s="209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</row>
    <row r="185" spans="1:33" ht="12.75">
      <c r="A185" s="14"/>
      <c r="B185" s="206"/>
      <c r="C185" s="6"/>
      <c r="D185" s="185"/>
      <c r="E185" s="35"/>
      <c r="F185" s="209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</row>
    <row r="186" spans="1:33" ht="12.75">
      <c r="A186" s="14"/>
      <c r="B186" s="206"/>
      <c r="C186" s="6"/>
      <c r="D186" s="185"/>
      <c r="E186" s="35"/>
      <c r="F186" s="209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</row>
    <row r="187" spans="1:33" ht="12.75">
      <c r="A187" s="14"/>
      <c r="B187" s="206"/>
      <c r="C187" s="6"/>
      <c r="D187" s="185"/>
      <c r="E187" s="35"/>
      <c r="F187" s="209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</row>
    <row r="188" spans="1:33" ht="12.75">
      <c r="A188" s="14"/>
      <c r="B188" s="206"/>
      <c r="C188" s="6"/>
      <c r="D188" s="185"/>
      <c r="E188" s="35"/>
      <c r="F188" s="209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</row>
    <row r="189" spans="1:33" ht="12.75">
      <c r="A189" s="14"/>
      <c r="B189" s="206"/>
      <c r="C189" s="6"/>
      <c r="D189" s="185"/>
      <c r="E189" s="35"/>
      <c r="F189" s="209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</row>
    <row r="190" spans="1:33" ht="12.75">
      <c r="A190" s="14"/>
      <c r="B190" s="206"/>
      <c r="C190" s="6"/>
      <c r="D190" s="185"/>
      <c r="E190" s="35"/>
      <c r="F190" s="209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</row>
    <row r="191" spans="1:33" ht="12.75">
      <c r="A191" s="14"/>
      <c r="B191" s="206"/>
      <c r="C191" s="6"/>
      <c r="D191" s="185"/>
      <c r="E191" s="35"/>
      <c r="F191" s="209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</row>
    <row r="192" spans="1:33" ht="12.75">
      <c r="A192" s="14"/>
      <c r="B192" s="206"/>
      <c r="C192" s="6"/>
      <c r="D192" s="185"/>
      <c r="E192" s="35"/>
      <c r="F192" s="209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</row>
    <row r="193" spans="1:33" ht="12.75">
      <c r="A193" s="14"/>
      <c r="B193" s="206"/>
      <c r="C193" s="6"/>
      <c r="D193" s="185"/>
      <c r="E193" s="35"/>
      <c r="F193" s="209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</row>
    <row r="194" spans="1:33" ht="12.75">
      <c r="A194" s="14"/>
      <c r="B194" s="206"/>
      <c r="C194" s="6"/>
      <c r="D194" s="185"/>
      <c r="E194" s="35"/>
      <c r="F194" s="209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</row>
    <row r="195" spans="1:33" ht="12.75">
      <c r="A195" s="14"/>
      <c r="B195" s="206"/>
      <c r="C195" s="6"/>
      <c r="D195" s="185"/>
      <c r="E195" s="35"/>
      <c r="F195" s="209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</row>
    <row r="196" spans="1:33" ht="12.75">
      <c r="A196" s="14"/>
      <c r="B196" s="206"/>
      <c r="C196" s="6"/>
      <c r="D196" s="185"/>
      <c r="E196" s="35"/>
      <c r="F196" s="209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</row>
    <row r="197" spans="1:33" ht="12.75">
      <c r="A197" s="14"/>
      <c r="B197" s="206"/>
      <c r="C197" s="6"/>
      <c r="D197" s="185"/>
      <c r="E197" s="35"/>
      <c r="F197" s="209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</row>
    <row r="198" spans="1:33" ht="12.75">
      <c r="A198" s="14"/>
      <c r="B198" s="206"/>
      <c r="C198" s="6"/>
      <c r="D198" s="185"/>
      <c r="E198" s="35"/>
      <c r="F198" s="209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</row>
    <row r="199" spans="1:33" ht="12.75">
      <c r="A199" s="14"/>
      <c r="B199" s="206"/>
      <c r="C199" s="6"/>
      <c r="D199" s="185"/>
      <c r="E199" s="35"/>
      <c r="F199" s="209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</row>
    <row r="200" spans="1:33" ht="12.75">
      <c r="A200" s="14"/>
      <c r="B200" s="206"/>
      <c r="C200" s="6"/>
      <c r="D200" s="185"/>
      <c r="E200" s="35"/>
      <c r="F200" s="209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</row>
    <row r="201" spans="1:33" ht="12.75">
      <c r="A201" s="14"/>
      <c r="B201" s="206"/>
      <c r="C201" s="6"/>
      <c r="D201" s="185"/>
      <c r="E201" s="35"/>
      <c r="F201" s="209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</row>
    <row r="202" spans="1:33" ht="12.75">
      <c r="A202" s="14"/>
      <c r="B202" s="206"/>
      <c r="C202" s="6"/>
      <c r="D202" s="185"/>
      <c r="E202" s="35"/>
      <c r="F202" s="209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</row>
    <row r="203" spans="1:33" ht="12.75">
      <c r="A203" s="14"/>
      <c r="B203" s="206"/>
      <c r="C203" s="6"/>
      <c r="D203" s="185"/>
      <c r="E203" s="35"/>
      <c r="F203" s="209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</row>
    <row r="204" spans="1:33" ht="12.75">
      <c r="A204" s="14"/>
      <c r="B204" s="206"/>
      <c r="C204" s="6"/>
      <c r="D204" s="185"/>
      <c r="E204" s="35"/>
      <c r="F204" s="209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</row>
    <row r="205" spans="1:33" ht="12.75">
      <c r="A205" s="14"/>
      <c r="B205" s="206"/>
      <c r="C205" s="6"/>
      <c r="D205" s="185"/>
      <c r="E205" s="35"/>
      <c r="F205" s="209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</row>
    <row r="206" spans="1:33" ht="12.75">
      <c r="A206" s="14"/>
      <c r="B206" s="206"/>
      <c r="C206" s="6"/>
      <c r="D206" s="185"/>
      <c r="E206" s="35"/>
      <c r="F206" s="209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</row>
    <row r="207" spans="1:33" ht="12.75">
      <c r="A207" s="14"/>
      <c r="B207" s="206"/>
      <c r="C207" s="6"/>
      <c r="D207" s="185"/>
      <c r="E207" s="35"/>
      <c r="F207" s="209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</row>
    <row r="208" spans="1:33" ht="12.75">
      <c r="A208" s="14"/>
      <c r="B208" s="206"/>
      <c r="C208" s="6"/>
      <c r="D208" s="185"/>
      <c r="E208" s="35"/>
      <c r="F208" s="209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</row>
    <row r="209" spans="1:33" ht="12.75">
      <c r="A209" s="14"/>
      <c r="B209" s="206"/>
      <c r="C209" s="6"/>
      <c r="D209" s="185"/>
      <c r="E209" s="35"/>
      <c r="F209" s="209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</row>
    <row r="210" spans="1:33" ht="12.75">
      <c r="A210" s="14"/>
      <c r="B210" s="206"/>
      <c r="C210" s="6"/>
      <c r="D210" s="185"/>
      <c r="E210" s="35"/>
      <c r="F210" s="209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</row>
    <row r="211" spans="1:33" ht="12.75">
      <c r="A211" s="14"/>
      <c r="B211" s="206"/>
      <c r="C211" s="6"/>
      <c r="D211" s="185"/>
      <c r="E211" s="35"/>
      <c r="F211" s="209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</row>
    <row r="212" spans="1:33" ht="12.75">
      <c r="A212" s="14"/>
      <c r="B212" s="206"/>
      <c r="C212" s="6"/>
      <c r="D212" s="185"/>
      <c r="E212" s="35"/>
      <c r="F212" s="209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</row>
    <row r="213" spans="1:33" ht="12.75">
      <c r="A213" s="14"/>
      <c r="B213" s="206"/>
      <c r="C213" s="6"/>
      <c r="D213" s="185"/>
      <c r="E213" s="35"/>
      <c r="F213" s="209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</row>
    <row r="214" spans="1:33" ht="12.75">
      <c r="A214" s="14"/>
      <c r="B214" s="206"/>
      <c r="C214" s="6"/>
      <c r="D214" s="185"/>
      <c r="E214" s="35"/>
      <c r="F214" s="209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</row>
    <row r="215" spans="1:33" ht="12.75">
      <c r="A215" s="14"/>
      <c r="B215" s="206"/>
      <c r="C215" s="6"/>
      <c r="D215" s="185"/>
      <c r="E215" s="35"/>
      <c r="F215" s="209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</row>
    <row r="216" spans="1:33" ht="12.75">
      <c r="A216" s="14"/>
      <c r="B216" s="206"/>
      <c r="C216" s="6"/>
      <c r="D216" s="185"/>
      <c r="E216" s="35"/>
      <c r="F216" s="209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</row>
    <row r="217" spans="1:33" ht="12.75">
      <c r="A217" s="14"/>
      <c r="B217" s="206"/>
      <c r="C217" s="6"/>
      <c r="D217" s="185"/>
      <c r="E217" s="35"/>
      <c r="F217" s="209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</row>
    <row r="218" spans="1:33" ht="12.75">
      <c r="A218" s="14"/>
      <c r="B218" s="206"/>
      <c r="C218" s="6"/>
      <c r="D218" s="185"/>
      <c r="E218" s="35"/>
      <c r="F218" s="209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</row>
    <row r="219" spans="1:33" ht="12.75">
      <c r="A219" s="14"/>
      <c r="B219" s="206"/>
      <c r="C219" s="6"/>
      <c r="D219" s="185"/>
      <c r="E219" s="35"/>
      <c r="F219" s="209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</row>
    <row r="220" spans="1:33" ht="12.75">
      <c r="A220" s="14"/>
      <c r="B220" s="206"/>
      <c r="C220" s="6"/>
      <c r="D220" s="185"/>
      <c r="E220" s="35"/>
      <c r="F220" s="209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</row>
    <row r="221" spans="1:33" ht="12.75">
      <c r="A221" s="14"/>
      <c r="B221" s="206"/>
      <c r="C221" s="6"/>
      <c r="D221" s="185"/>
      <c r="E221" s="35"/>
      <c r="F221" s="209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</row>
    <row r="222" spans="1:33" ht="12.75">
      <c r="A222" s="14"/>
      <c r="B222" s="206"/>
      <c r="C222" s="6"/>
      <c r="D222" s="185"/>
      <c r="E222" s="35"/>
      <c r="F222" s="209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</row>
    <row r="223" spans="1:33" ht="12.75">
      <c r="A223" s="14"/>
      <c r="B223" s="206"/>
      <c r="C223" s="6"/>
      <c r="D223" s="185"/>
      <c r="E223" s="35"/>
      <c r="F223" s="209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</row>
    <row r="224" spans="1:33" ht="12.75">
      <c r="A224" s="14"/>
      <c r="B224" s="206"/>
      <c r="C224" s="6"/>
      <c r="D224" s="185"/>
      <c r="E224" s="35"/>
      <c r="F224" s="209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</row>
    <row r="225" spans="1:33" ht="12.75">
      <c r="A225" s="14"/>
      <c r="B225" s="206"/>
      <c r="C225" s="6"/>
      <c r="D225" s="185"/>
      <c r="E225" s="35"/>
      <c r="F225" s="209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</row>
    <row r="226" spans="1:33" ht="12.75">
      <c r="A226" s="14"/>
      <c r="B226" s="206"/>
      <c r="C226" s="6"/>
      <c r="D226" s="185"/>
      <c r="E226" s="35"/>
      <c r="F226" s="209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</row>
    <row r="227" spans="1:33" ht="12.75">
      <c r="A227" s="14"/>
      <c r="B227" s="206"/>
      <c r="C227" s="6"/>
      <c r="D227" s="185"/>
      <c r="E227" s="35"/>
      <c r="F227" s="209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</row>
    <row r="228" spans="1:33" ht="12.75">
      <c r="A228" s="14"/>
      <c r="B228" s="206"/>
      <c r="C228" s="6"/>
      <c r="D228" s="185"/>
      <c r="E228" s="35"/>
      <c r="F228" s="209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</row>
    <row r="229" spans="1:33" ht="12.75">
      <c r="A229" s="14"/>
      <c r="B229" s="206"/>
      <c r="C229" s="6"/>
      <c r="D229" s="185"/>
      <c r="E229" s="35"/>
      <c r="F229" s="209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</row>
    <row r="230" spans="1:33" ht="12.75">
      <c r="A230" s="14"/>
      <c r="B230" s="206"/>
      <c r="C230" s="6"/>
      <c r="D230" s="185"/>
      <c r="E230" s="35"/>
      <c r="F230" s="209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</row>
    <row r="231" spans="1:33" ht="12.75">
      <c r="A231" s="14"/>
      <c r="B231" s="206"/>
      <c r="C231" s="6"/>
      <c r="D231" s="185"/>
      <c r="E231" s="35"/>
      <c r="F231" s="209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</row>
    <row r="232" spans="1:33" ht="12.75">
      <c r="A232" s="14"/>
      <c r="B232" s="206"/>
      <c r="C232" s="6"/>
      <c r="D232" s="185"/>
      <c r="E232" s="35"/>
      <c r="F232" s="209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</row>
    <row r="233" spans="1:33" ht="12.75">
      <c r="A233" s="14"/>
      <c r="B233" s="206"/>
      <c r="C233" s="6"/>
      <c r="D233" s="185"/>
      <c r="E233" s="35"/>
      <c r="F233" s="209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</row>
    <row r="234" spans="1:33" ht="12.75">
      <c r="A234" s="14"/>
      <c r="B234" s="206"/>
      <c r="C234" s="6"/>
      <c r="D234" s="185"/>
      <c r="E234" s="35"/>
      <c r="F234" s="209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</row>
    <row r="235" spans="1:33" ht="12.75">
      <c r="A235" s="14"/>
      <c r="B235" s="206"/>
      <c r="C235" s="6"/>
      <c r="D235" s="185"/>
      <c r="E235" s="35"/>
      <c r="F235" s="209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</row>
    <row r="236" spans="1:33" ht="12.75">
      <c r="A236" s="14"/>
      <c r="B236" s="206"/>
      <c r="C236" s="6"/>
      <c r="D236" s="185"/>
      <c r="E236" s="35"/>
      <c r="F236" s="209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</row>
    <row r="237" spans="1:33" ht="12.75">
      <c r="A237" s="14"/>
      <c r="B237" s="206"/>
      <c r="C237" s="6"/>
      <c r="D237" s="185"/>
      <c r="E237" s="35"/>
      <c r="F237" s="209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</row>
    <row r="238" spans="1:33" ht="12.75">
      <c r="A238" s="14"/>
      <c r="B238" s="206"/>
      <c r="C238" s="6"/>
      <c r="D238" s="185"/>
      <c r="E238" s="35"/>
      <c r="F238" s="209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</row>
    <row r="239" spans="1:33" ht="12.75">
      <c r="A239" s="14"/>
      <c r="B239" s="206"/>
      <c r="C239" s="6"/>
      <c r="D239" s="185"/>
      <c r="E239" s="35"/>
      <c r="F239" s="209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</row>
    <row r="240" spans="1:33" ht="12.75">
      <c r="A240" s="14"/>
      <c r="B240" s="206"/>
      <c r="C240" s="6"/>
      <c r="D240" s="185"/>
      <c r="E240" s="35"/>
      <c r="F240" s="209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</row>
    <row r="241" spans="1:33" ht="12.75">
      <c r="A241" s="14"/>
      <c r="B241" s="206"/>
      <c r="C241" s="6"/>
      <c r="D241" s="185"/>
      <c r="E241" s="35"/>
      <c r="F241" s="209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</row>
    <row r="242" spans="1:33" ht="12.75">
      <c r="A242" s="14"/>
      <c r="B242" s="206"/>
      <c r="C242" s="6"/>
      <c r="D242" s="185"/>
      <c r="E242" s="35"/>
      <c r="F242" s="209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</row>
    <row r="243" spans="1:33" ht="12.75">
      <c r="A243" s="14"/>
      <c r="B243" s="206"/>
      <c r="C243" s="6"/>
      <c r="D243" s="185"/>
      <c r="E243" s="35"/>
      <c r="F243" s="209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</row>
    <row r="244" spans="1:33" ht="12.75">
      <c r="A244" s="14"/>
      <c r="B244" s="206"/>
      <c r="C244" s="6"/>
      <c r="D244" s="185"/>
      <c r="E244" s="35"/>
      <c r="F244" s="209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</row>
    <row r="245" spans="1:33" ht="12.75">
      <c r="A245" s="14"/>
      <c r="B245" s="206"/>
      <c r="C245" s="6"/>
      <c r="D245" s="185"/>
      <c r="E245" s="35"/>
      <c r="F245" s="209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</row>
    <row r="246" spans="1:33" ht="12.75">
      <c r="A246" s="14"/>
      <c r="B246" s="206"/>
      <c r="C246" s="6"/>
      <c r="D246" s="185"/>
      <c r="E246" s="35"/>
      <c r="F246" s="209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</row>
    <row r="247" spans="1:33" ht="12.75">
      <c r="A247" s="14"/>
      <c r="B247" s="206"/>
      <c r="C247" s="6"/>
      <c r="D247" s="185"/>
      <c r="E247" s="35"/>
      <c r="F247" s="209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</row>
    <row r="248" spans="1:33" ht="12.75">
      <c r="A248" s="14"/>
      <c r="B248" s="206"/>
      <c r="C248" s="6"/>
      <c r="D248" s="185"/>
      <c r="E248" s="35"/>
      <c r="F248" s="209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</row>
    <row r="249" spans="1:33" ht="12.75">
      <c r="A249" s="14"/>
      <c r="B249" s="206"/>
      <c r="C249" s="6"/>
      <c r="D249" s="185"/>
      <c r="E249" s="35"/>
      <c r="F249" s="209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</row>
    <row r="250" spans="1:33" ht="12.75">
      <c r="A250" s="14"/>
      <c r="B250" s="206"/>
      <c r="C250" s="6"/>
      <c r="D250" s="185"/>
      <c r="E250" s="35"/>
      <c r="F250" s="209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</row>
    <row r="251" spans="1:33" ht="12.75">
      <c r="A251" s="14"/>
      <c r="B251" s="206"/>
      <c r="C251" s="6"/>
      <c r="D251" s="185"/>
      <c r="E251" s="35"/>
      <c r="F251" s="209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</row>
    <row r="252" spans="1:33" ht="12.75">
      <c r="A252" s="14"/>
      <c r="B252" s="206"/>
      <c r="C252" s="6"/>
      <c r="D252" s="185"/>
      <c r="E252" s="35"/>
      <c r="F252" s="209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</row>
    <row r="253" spans="1:33" ht="12.75">
      <c r="A253" s="14"/>
      <c r="B253" s="206"/>
      <c r="C253" s="6"/>
      <c r="D253" s="185"/>
      <c r="E253" s="35"/>
      <c r="F253" s="209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</row>
    <row r="254" spans="1:33" ht="12.75">
      <c r="A254" s="14"/>
      <c r="B254" s="206"/>
      <c r="C254" s="6"/>
      <c r="D254" s="185"/>
      <c r="E254" s="35"/>
      <c r="F254" s="209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</row>
    <row r="255" spans="1:33" ht="12.75">
      <c r="A255" s="14"/>
      <c r="B255" s="206"/>
      <c r="C255" s="6"/>
      <c r="D255" s="185"/>
      <c r="E255" s="35"/>
      <c r="F255" s="209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</row>
    <row r="256" spans="1:33" ht="12.75">
      <c r="A256" s="14"/>
      <c r="B256" s="206"/>
      <c r="C256" s="6"/>
      <c r="D256" s="185"/>
      <c r="E256" s="35"/>
      <c r="F256" s="209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</row>
    <row r="257" spans="1:33" ht="12.75">
      <c r="A257" s="14"/>
      <c r="B257" s="206"/>
      <c r="C257" s="6"/>
      <c r="D257" s="185"/>
      <c r="E257" s="35"/>
      <c r="F257" s="209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</row>
    <row r="258" spans="1:33" ht="12.75">
      <c r="A258" s="14"/>
      <c r="B258" s="206"/>
      <c r="C258" s="6"/>
      <c r="D258" s="185"/>
      <c r="E258" s="35"/>
      <c r="F258" s="209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</row>
    <row r="259" spans="1:33" ht="12.75">
      <c r="A259" s="14"/>
      <c r="B259" s="206"/>
      <c r="C259" s="6"/>
      <c r="D259" s="185"/>
      <c r="E259" s="35"/>
      <c r="F259" s="209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</row>
    <row r="260" spans="1:33" ht="12.75">
      <c r="A260" s="14"/>
      <c r="B260" s="206"/>
      <c r="C260" s="6"/>
      <c r="D260" s="185"/>
      <c r="E260" s="35"/>
      <c r="F260" s="209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</row>
    <row r="261" spans="1:33" ht="12.75">
      <c r="A261" s="14"/>
      <c r="B261" s="206"/>
      <c r="C261" s="6"/>
      <c r="D261" s="185"/>
      <c r="E261" s="35"/>
      <c r="F261" s="209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</row>
    <row r="262" spans="1:33" ht="12.75">
      <c r="A262" s="14"/>
      <c r="B262" s="206"/>
      <c r="C262" s="6"/>
      <c r="D262" s="185"/>
      <c r="E262" s="35"/>
      <c r="F262" s="209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</row>
    <row r="263" spans="1:33" ht="12.75">
      <c r="A263" s="14"/>
      <c r="B263" s="206"/>
      <c r="C263" s="6"/>
      <c r="D263" s="185"/>
      <c r="E263" s="35"/>
      <c r="F263" s="209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</row>
    <row r="264" spans="1:33" ht="12.75">
      <c r="A264" s="14"/>
      <c r="B264" s="206"/>
      <c r="C264" s="6"/>
      <c r="D264" s="185"/>
      <c r="E264" s="35"/>
      <c r="F264" s="209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</row>
    <row r="265" spans="1:33" ht="12.75">
      <c r="A265" s="14"/>
      <c r="B265" s="206"/>
      <c r="C265" s="6"/>
      <c r="D265" s="185"/>
      <c r="E265" s="35"/>
      <c r="F265" s="209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</row>
    <row r="266" spans="1:33" ht="12.75">
      <c r="A266" s="14"/>
      <c r="B266" s="206"/>
      <c r="C266" s="6"/>
      <c r="D266" s="185"/>
      <c r="E266" s="35"/>
      <c r="F266" s="209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</row>
    <row r="267" spans="1:33" ht="12.75">
      <c r="A267" s="14"/>
      <c r="B267" s="206"/>
      <c r="C267" s="6"/>
      <c r="D267" s="185"/>
      <c r="E267" s="35"/>
      <c r="F267" s="209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</row>
    <row r="268" spans="1:33" ht="12.75">
      <c r="A268" s="14"/>
      <c r="B268" s="206"/>
      <c r="C268" s="6"/>
      <c r="D268" s="185"/>
      <c r="E268" s="35"/>
      <c r="F268" s="209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</row>
    <row r="269" spans="1:33" ht="12.75">
      <c r="A269" s="14"/>
      <c r="B269" s="206"/>
      <c r="C269" s="6"/>
      <c r="D269" s="185"/>
      <c r="E269" s="35"/>
      <c r="F269" s="209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</row>
    <row r="270" spans="1:33" ht="12.75">
      <c r="A270" s="14"/>
      <c r="B270" s="206"/>
      <c r="C270" s="6"/>
      <c r="D270" s="185"/>
      <c r="E270" s="35"/>
      <c r="F270" s="209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</row>
    <row r="271" spans="1:33" ht="12.75">
      <c r="A271" s="14"/>
      <c r="B271" s="206"/>
      <c r="C271" s="6"/>
      <c r="D271" s="185"/>
      <c r="E271" s="35"/>
      <c r="F271" s="209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</row>
    <row r="272" spans="1:33" ht="12.75">
      <c r="A272" s="14"/>
      <c r="B272" s="206"/>
      <c r="C272" s="6"/>
      <c r="D272" s="185"/>
      <c r="E272" s="35"/>
      <c r="F272" s="209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</row>
    <row r="273" spans="1:33" ht="12.75">
      <c r="A273" s="14"/>
      <c r="B273" s="206"/>
      <c r="C273" s="6"/>
      <c r="D273" s="185"/>
      <c r="E273" s="35"/>
      <c r="F273" s="209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</row>
    <row r="274" spans="1:33" ht="12.75">
      <c r="A274" s="14"/>
      <c r="B274" s="206"/>
      <c r="C274" s="6"/>
      <c r="D274" s="185"/>
      <c r="E274" s="35"/>
      <c r="F274" s="209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</row>
    <row r="275" spans="1:33" ht="12.75">
      <c r="A275" s="14"/>
      <c r="B275" s="206"/>
      <c r="C275" s="6"/>
      <c r="D275" s="185"/>
      <c r="E275" s="35"/>
      <c r="F275" s="209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</row>
    <row r="276" spans="1:33" ht="12.75">
      <c r="A276" s="14"/>
      <c r="B276" s="206"/>
      <c r="C276" s="6"/>
      <c r="D276" s="185"/>
      <c r="E276" s="35"/>
      <c r="F276" s="209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</row>
    <row r="277" spans="1:33" ht="12.75">
      <c r="A277" s="14"/>
      <c r="B277" s="206"/>
      <c r="C277" s="6"/>
      <c r="D277" s="185"/>
      <c r="E277" s="35"/>
      <c r="F277" s="209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</row>
    <row r="278" spans="1:33" ht="12.75">
      <c r="A278" s="14"/>
      <c r="B278" s="206"/>
      <c r="C278" s="6"/>
      <c r="D278" s="185"/>
      <c r="E278" s="35"/>
      <c r="F278" s="209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</row>
    <row r="279" spans="1:33" ht="12.75">
      <c r="A279" s="14"/>
      <c r="B279" s="206"/>
      <c r="C279" s="6"/>
      <c r="D279" s="185"/>
      <c r="E279" s="35"/>
      <c r="F279" s="209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</row>
    <row r="280" spans="1:33" ht="12.75">
      <c r="A280" s="14"/>
      <c r="B280" s="206"/>
      <c r="C280" s="6"/>
      <c r="D280" s="185"/>
      <c r="E280" s="35"/>
      <c r="F280" s="209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</row>
    <row r="281" spans="1:33" ht="12.75">
      <c r="A281" s="14"/>
      <c r="B281" s="206"/>
      <c r="C281" s="6"/>
      <c r="D281" s="185"/>
      <c r="E281" s="35"/>
      <c r="F281" s="209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</row>
    <row r="282" spans="1:33" ht="12.75">
      <c r="A282" s="14"/>
      <c r="B282" s="206"/>
      <c r="C282" s="6"/>
      <c r="D282" s="185"/>
      <c r="E282" s="35"/>
      <c r="F282" s="209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</row>
    <row r="283" spans="1:33" ht="12.75">
      <c r="A283" s="14"/>
      <c r="B283" s="206"/>
      <c r="C283" s="6"/>
      <c r="D283" s="185"/>
      <c r="E283" s="35"/>
      <c r="F283" s="209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</row>
    <row r="284" spans="1:33" ht="12.75">
      <c r="A284" s="14"/>
      <c r="B284" s="206"/>
      <c r="C284" s="6"/>
      <c r="D284" s="185"/>
      <c r="E284" s="35"/>
      <c r="F284" s="209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</row>
    <row r="285" spans="1:33" ht="12.75">
      <c r="A285" s="14"/>
      <c r="B285" s="206"/>
      <c r="C285" s="6"/>
      <c r="D285" s="185"/>
      <c r="E285" s="35"/>
      <c r="F285" s="209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</row>
    <row r="286" spans="1:33" ht="12.75">
      <c r="A286" s="14"/>
      <c r="B286" s="206"/>
      <c r="C286" s="6"/>
      <c r="D286" s="185"/>
      <c r="E286" s="35"/>
      <c r="F286" s="209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</row>
    <row r="287" spans="1:33" ht="12.75">
      <c r="A287" s="14"/>
      <c r="B287" s="206"/>
      <c r="C287" s="6"/>
      <c r="D287" s="185"/>
      <c r="E287" s="35"/>
      <c r="F287" s="209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</row>
    <row r="288" spans="1:33" ht="12.75">
      <c r="A288" s="14"/>
      <c r="B288" s="206"/>
      <c r="C288" s="6"/>
      <c r="D288" s="185"/>
      <c r="E288" s="35"/>
      <c r="F288" s="209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</row>
    <row r="289" spans="1:33" ht="12.75">
      <c r="A289" s="14"/>
      <c r="B289" s="206"/>
      <c r="C289" s="6"/>
      <c r="D289" s="185"/>
      <c r="E289" s="35"/>
      <c r="F289" s="209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</row>
    <row r="290" spans="1:33" ht="12.75">
      <c r="A290" s="14"/>
      <c r="B290" s="206"/>
      <c r="C290" s="6"/>
      <c r="D290" s="185"/>
      <c r="E290" s="35"/>
      <c r="F290" s="209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</row>
    <row r="291" spans="1:33" ht="12.75">
      <c r="A291" s="14"/>
      <c r="B291" s="206"/>
      <c r="C291" s="6"/>
      <c r="D291" s="185"/>
      <c r="E291" s="35"/>
      <c r="F291" s="209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</row>
    <row r="292" spans="1:33" ht="12.75">
      <c r="A292" s="14"/>
      <c r="B292" s="206"/>
      <c r="C292" s="6"/>
      <c r="D292" s="185"/>
      <c r="E292" s="35"/>
      <c r="F292" s="209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</row>
    <row r="293" spans="1:33" ht="12.75">
      <c r="A293" s="14"/>
      <c r="B293" s="206"/>
      <c r="C293" s="6"/>
      <c r="D293" s="185"/>
      <c r="E293" s="35"/>
      <c r="F293" s="209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</row>
    <row r="294" spans="1:33" ht="12.75">
      <c r="A294" s="14"/>
      <c r="B294" s="206"/>
      <c r="C294" s="6"/>
      <c r="D294" s="185"/>
      <c r="E294" s="35"/>
      <c r="F294" s="209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</row>
    <row r="295" spans="1:33" ht="12.75">
      <c r="A295" s="14"/>
      <c r="B295" s="206"/>
      <c r="C295" s="6"/>
      <c r="D295" s="185"/>
      <c r="E295" s="35"/>
      <c r="F295" s="209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</row>
    <row r="296" spans="1:33" ht="12.75">
      <c r="A296" s="14"/>
      <c r="B296" s="206"/>
      <c r="C296" s="6"/>
      <c r="D296" s="185"/>
      <c r="E296" s="35"/>
      <c r="F296" s="209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</row>
    <row r="297" spans="1:33" ht="12.75">
      <c r="A297" s="14"/>
      <c r="B297" s="206"/>
      <c r="C297" s="6"/>
      <c r="D297" s="185"/>
      <c r="E297" s="35"/>
      <c r="F297" s="209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</row>
    <row r="298" spans="1:33" ht="12.75">
      <c r="A298" s="14"/>
      <c r="B298" s="206"/>
      <c r="C298" s="6"/>
      <c r="D298" s="185"/>
      <c r="E298" s="35"/>
      <c r="F298" s="209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</row>
    <row r="299" spans="1:33" ht="12.75">
      <c r="A299" s="14"/>
      <c r="B299" s="206"/>
      <c r="C299" s="6"/>
      <c r="D299" s="185"/>
      <c r="E299" s="35"/>
      <c r="F299" s="209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</row>
    <row r="300" spans="1:33" ht="12.75">
      <c r="A300" s="14"/>
      <c r="B300" s="206"/>
      <c r="C300" s="6"/>
      <c r="D300" s="185"/>
      <c r="E300" s="35"/>
      <c r="F300" s="209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</row>
    <row r="301" spans="1:33" ht="12.75">
      <c r="A301" s="14"/>
      <c r="B301" s="206"/>
      <c r="C301" s="6"/>
      <c r="D301" s="185"/>
      <c r="E301" s="35"/>
      <c r="F301" s="209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</row>
    <row r="302" spans="1:33" ht="12.75">
      <c r="A302" s="14"/>
      <c r="B302" s="206"/>
      <c r="C302" s="6"/>
      <c r="D302" s="185"/>
      <c r="E302" s="35"/>
      <c r="F302" s="209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</row>
    <row r="303" spans="1:33" ht="12.75">
      <c r="A303" s="14"/>
      <c r="B303" s="206"/>
      <c r="C303" s="6"/>
      <c r="D303" s="185"/>
      <c r="E303" s="35"/>
      <c r="F303" s="209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</row>
    <row r="304" spans="1:33" ht="12.75">
      <c r="A304" s="14"/>
      <c r="B304" s="206"/>
      <c r="C304" s="6"/>
      <c r="D304" s="185"/>
      <c r="E304" s="35"/>
      <c r="F304" s="209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</row>
    <row r="305" spans="1:33" ht="12.75">
      <c r="A305" s="14"/>
      <c r="B305" s="206"/>
      <c r="C305" s="6"/>
      <c r="D305" s="185"/>
      <c r="E305" s="35"/>
      <c r="F305" s="209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</row>
    <row r="306" spans="1:33" ht="12.75">
      <c r="A306" s="14"/>
      <c r="B306" s="206"/>
      <c r="C306" s="6"/>
      <c r="D306" s="185"/>
      <c r="E306" s="35"/>
      <c r="F306" s="209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</row>
    <row r="307" spans="1:33" ht="12.75">
      <c r="A307" s="14"/>
      <c r="B307" s="206"/>
      <c r="C307" s="6"/>
      <c r="D307" s="185"/>
      <c r="E307" s="35"/>
      <c r="F307" s="209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</row>
    <row r="308" spans="1:33" ht="12.75">
      <c r="A308" s="14"/>
      <c r="B308" s="206"/>
      <c r="C308" s="6"/>
      <c r="D308" s="185"/>
      <c r="E308" s="35"/>
      <c r="F308" s="209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</row>
    <row r="309" spans="1:33" ht="12.75">
      <c r="A309" s="14"/>
      <c r="B309" s="206"/>
      <c r="C309" s="6"/>
      <c r="D309" s="185"/>
      <c r="E309" s="35"/>
      <c r="F309" s="209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</row>
    <row r="310" spans="1:33" ht="12.75">
      <c r="A310" s="14"/>
      <c r="B310" s="206"/>
      <c r="C310" s="6"/>
      <c r="D310" s="185"/>
      <c r="E310" s="35"/>
      <c r="F310" s="209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</row>
    <row r="311" spans="1:33" ht="12.75">
      <c r="A311" s="14"/>
      <c r="B311" s="206"/>
      <c r="C311" s="6"/>
      <c r="D311" s="185"/>
      <c r="E311" s="35"/>
      <c r="F311" s="209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</row>
    <row r="312" spans="1:33" ht="12.75">
      <c r="A312" s="14"/>
      <c r="B312" s="206"/>
      <c r="C312" s="6"/>
      <c r="D312" s="185"/>
      <c r="E312" s="35"/>
      <c r="F312" s="209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</row>
    <row r="313" spans="1:33" ht="12.75">
      <c r="A313" s="14"/>
      <c r="B313" s="206"/>
      <c r="C313" s="6"/>
      <c r="D313" s="185"/>
      <c r="E313" s="35"/>
      <c r="F313" s="209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</row>
    <row r="314" spans="1:33" ht="12.75">
      <c r="A314" s="14"/>
      <c r="B314" s="206"/>
      <c r="C314" s="6"/>
      <c r="D314" s="185"/>
      <c r="E314" s="35"/>
      <c r="F314" s="209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</row>
    <row r="315" spans="1:33" ht="12.75">
      <c r="A315" s="14"/>
      <c r="B315" s="206"/>
      <c r="C315" s="6"/>
      <c r="D315" s="185"/>
      <c r="E315" s="35"/>
      <c r="F315" s="209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</row>
    <row r="316" spans="1:33" ht="12.75">
      <c r="A316" s="14"/>
      <c r="B316" s="206"/>
      <c r="C316" s="6"/>
      <c r="D316" s="185"/>
      <c r="E316" s="35"/>
      <c r="F316" s="209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</row>
    <row r="317" spans="1:33" ht="12.75">
      <c r="A317" s="14"/>
      <c r="B317" s="206"/>
      <c r="C317" s="6"/>
      <c r="D317" s="185"/>
      <c r="E317" s="35"/>
      <c r="F317" s="209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</row>
    <row r="318" spans="1:33" ht="12.75">
      <c r="A318" s="14"/>
      <c r="B318" s="206"/>
      <c r="C318" s="6"/>
      <c r="D318" s="185"/>
      <c r="E318" s="35"/>
      <c r="F318" s="209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</row>
    <row r="319" spans="1:33" ht="12.75">
      <c r="A319" s="14"/>
      <c r="B319" s="206"/>
      <c r="C319" s="6"/>
      <c r="D319" s="185"/>
      <c r="E319" s="35"/>
      <c r="F319" s="209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</row>
    <row r="320" spans="1:33" ht="12.75">
      <c r="A320" s="14"/>
      <c r="B320" s="206"/>
      <c r="C320" s="6"/>
      <c r="D320" s="185"/>
      <c r="E320" s="35"/>
      <c r="F320" s="209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</row>
    <row r="321" spans="1:33" ht="12.75">
      <c r="A321" s="14"/>
      <c r="B321" s="206"/>
      <c r="C321" s="6"/>
      <c r="D321" s="185"/>
      <c r="E321" s="35"/>
      <c r="F321" s="209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</row>
    <row r="322" spans="1:33" ht="12.75">
      <c r="A322" s="14"/>
      <c r="B322" s="206"/>
      <c r="C322" s="6"/>
      <c r="D322" s="185"/>
      <c r="E322" s="35"/>
      <c r="F322" s="209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</row>
    <row r="323" spans="1:33" ht="12.75">
      <c r="A323" s="14"/>
      <c r="B323" s="206"/>
      <c r="C323" s="6"/>
      <c r="D323" s="185"/>
      <c r="E323" s="35"/>
      <c r="F323" s="209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</row>
    <row r="324" spans="1:33" ht="12.75">
      <c r="A324" s="14"/>
      <c r="B324" s="206"/>
      <c r="C324" s="6"/>
      <c r="D324" s="185"/>
      <c r="E324" s="35"/>
      <c r="F324" s="209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</row>
    <row r="325" spans="1:33" ht="12.75">
      <c r="A325" s="14"/>
      <c r="B325" s="206"/>
      <c r="C325" s="6"/>
      <c r="D325" s="185"/>
      <c r="E325" s="35"/>
      <c r="F325" s="209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</row>
    <row r="326" spans="1:33" ht="12.75">
      <c r="A326" s="14"/>
      <c r="B326" s="206"/>
      <c r="C326" s="6"/>
      <c r="D326" s="185"/>
      <c r="E326" s="35"/>
      <c r="F326" s="209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</row>
    <row r="327" spans="1:33" ht="12.75">
      <c r="A327" s="14"/>
      <c r="B327" s="206"/>
      <c r="C327" s="6"/>
      <c r="D327" s="185"/>
      <c r="E327" s="35"/>
      <c r="F327" s="209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</row>
    <row r="328" spans="1:33" ht="12.75">
      <c r="A328" s="14"/>
      <c r="B328" s="206"/>
      <c r="C328" s="6"/>
      <c r="D328" s="185"/>
      <c r="E328" s="35"/>
      <c r="F328" s="209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</row>
    <row r="329" spans="1:33" ht="12.75">
      <c r="A329" s="14"/>
      <c r="B329" s="206"/>
      <c r="C329" s="6"/>
      <c r="D329" s="185"/>
      <c r="E329" s="35"/>
      <c r="F329" s="209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</row>
    <row r="330" spans="1:33" ht="12.75">
      <c r="A330" s="14"/>
      <c r="B330" s="206"/>
      <c r="C330" s="6"/>
      <c r="D330" s="185"/>
      <c r="E330" s="35"/>
      <c r="F330" s="209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</row>
    <row r="331" spans="1:33" ht="12.75">
      <c r="A331" s="14"/>
      <c r="B331" s="206"/>
      <c r="C331" s="6"/>
      <c r="D331" s="185"/>
      <c r="E331" s="35"/>
      <c r="F331" s="209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</row>
    <row r="332" spans="1:33" ht="12.75">
      <c r="A332" s="14"/>
      <c r="B332" s="206"/>
      <c r="C332" s="6"/>
      <c r="D332" s="185"/>
      <c r="E332" s="35"/>
      <c r="F332" s="209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</row>
    <row r="333" spans="1:33" ht="12.75">
      <c r="A333" s="14"/>
      <c r="B333" s="206"/>
      <c r="C333" s="6"/>
      <c r="D333" s="185"/>
      <c r="E333" s="35"/>
      <c r="F333" s="209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</row>
    <row r="334" spans="1:33" ht="12.75">
      <c r="A334" s="14"/>
      <c r="B334" s="206"/>
      <c r="C334" s="6"/>
      <c r="D334" s="185"/>
      <c r="E334" s="35"/>
      <c r="F334" s="209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</row>
    <row r="335" spans="1:33" ht="12.75">
      <c r="A335" s="14"/>
      <c r="B335" s="206"/>
      <c r="C335" s="6"/>
      <c r="D335" s="185"/>
      <c r="E335" s="35"/>
      <c r="F335" s="209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</row>
    <row r="336" spans="1:33" ht="12.75">
      <c r="A336" s="14"/>
      <c r="B336" s="206"/>
      <c r="C336" s="6"/>
      <c r="D336" s="185"/>
      <c r="E336" s="35"/>
      <c r="F336" s="209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</row>
    <row r="337" spans="1:33" ht="12.75">
      <c r="A337" s="14"/>
      <c r="B337" s="206"/>
      <c r="C337" s="6"/>
      <c r="D337" s="185"/>
      <c r="E337" s="35"/>
      <c r="F337" s="209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</row>
    <row r="338" spans="1:33" ht="12.75">
      <c r="A338" s="14"/>
      <c r="B338" s="206"/>
      <c r="C338" s="6"/>
      <c r="D338" s="185"/>
      <c r="E338" s="35"/>
      <c r="F338" s="209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</row>
    <row r="339" spans="1:33" ht="12.75">
      <c r="A339" s="14"/>
      <c r="B339" s="206"/>
      <c r="C339" s="6"/>
      <c r="D339" s="185"/>
      <c r="E339" s="35"/>
      <c r="F339" s="209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</row>
    <row r="340" spans="1:33" ht="12.75">
      <c r="A340" s="14"/>
      <c r="B340" s="206"/>
      <c r="C340" s="6"/>
      <c r="D340" s="185"/>
      <c r="E340" s="35"/>
      <c r="F340" s="209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</row>
    <row r="341" spans="1:33" ht="12.75">
      <c r="A341" s="14"/>
      <c r="B341" s="206"/>
      <c r="C341" s="6"/>
      <c r="D341" s="185"/>
      <c r="E341" s="35"/>
      <c r="F341" s="209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</row>
    <row r="342" spans="1:33" ht="12.75">
      <c r="A342" s="14"/>
      <c r="B342" s="206"/>
      <c r="C342" s="6"/>
      <c r="D342" s="185"/>
      <c r="E342" s="35"/>
      <c r="F342" s="209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</row>
    <row r="343" spans="1:33" ht="12.75">
      <c r="A343" s="14"/>
      <c r="B343" s="206"/>
      <c r="C343" s="6"/>
      <c r="D343" s="185"/>
      <c r="E343" s="35"/>
      <c r="F343" s="209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</row>
    <row r="344" spans="1:33" ht="12.75">
      <c r="A344" s="14"/>
      <c r="B344" s="206"/>
      <c r="C344" s="6"/>
      <c r="D344" s="185"/>
      <c r="E344" s="35"/>
      <c r="F344" s="209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</row>
    <row r="345" spans="1:33" ht="12.75">
      <c r="A345" s="14"/>
      <c r="B345" s="206"/>
      <c r="C345" s="6"/>
      <c r="D345" s="185"/>
      <c r="E345" s="35"/>
      <c r="F345" s="209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</row>
    <row r="346" spans="1:33" ht="12.75">
      <c r="A346" s="14"/>
      <c r="B346" s="206"/>
      <c r="C346" s="6"/>
      <c r="D346" s="185"/>
      <c r="E346" s="35"/>
      <c r="F346" s="209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</row>
    <row r="347" spans="1:33" ht="12.75">
      <c r="A347" s="14"/>
      <c r="B347" s="206"/>
      <c r="C347" s="6"/>
      <c r="D347" s="185"/>
      <c r="E347" s="35"/>
      <c r="F347" s="209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</row>
    <row r="348" spans="1:33" ht="12.75">
      <c r="A348" s="14"/>
      <c r="B348" s="206"/>
      <c r="C348" s="6"/>
      <c r="D348" s="185"/>
      <c r="E348" s="35"/>
      <c r="F348" s="209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</row>
    <row r="349" spans="1:33" ht="12.75">
      <c r="A349" s="14"/>
      <c r="B349" s="206"/>
      <c r="C349" s="6"/>
      <c r="D349" s="185"/>
      <c r="E349" s="35"/>
      <c r="F349" s="209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</row>
    <row r="350" spans="1:33" ht="12.75">
      <c r="A350" s="14"/>
      <c r="B350" s="206"/>
      <c r="C350" s="6"/>
      <c r="D350" s="185"/>
      <c r="E350" s="35"/>
      <c r="F350" s="209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</row>
    <row r="351" spans="1:33" ht="12.75">
      <c r="A351" s="14"/>
      <c r="B351" s="206"/>
      <c r="C351" s="6"/>
      <c r="D351" s="185"/>
      <c r="E351" s="35"/>
      <c r="F351" s="209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</row>
    <row r="352" spans="1:33" ht="12.75">
      <c r="A352" s="14"/>
      <c r="B352" s="206"/>
      <c r="C352" s="6"/>
      <c r="D352" s="185"/>
      <c r="E352" s="35"/>
      <c r="F352" s="209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</row>
    <row r="353" spans="1:33" ht="12.75">
      <c r="A353" s="14"/>
      <c r="B353" s="206"/>
      <c r="C353" s="6"/>
      <c r="D353" s="185"/>
      <c r="E353" s="35"/>
      <c r="F353" s="209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</row>
    <row r="354" spans="1:33" ht="12.75">
      <c r="A354" s="14"/>
      <c r="B354" s="206"/>
      <c r="C354" s="6"/>
      <c r="D354" s="185"/>
      <c r="E354" s="35"/>
      <c r="F354" s="209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</row>
    <row r="355" spans="1:33" ht="12.75">
      <c r="A355" s="14"/>
      <c r="B355" s="206"/>
      <c r="C355" s="6"/>
      <c r="D355" s="185"/>
      <c r="E355" s="35"/>
      <c r="F355" s="209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</row>
    <row r="356" spans="1:33" ht="12.75">
      <c r="A356" s="14"/>
      <c r="B356" s="206"/>
      <c r="C356" s="6"/>
      <c r="D356" s="185"/>
      <c r="E356" s="35"/>
      <c r="F356" s="209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</row>
    <row r="357" spans="1:33" ht="12.75">
      <c r="A357" s="14"/>
      <c r="B357" s="206"/>
      <c r="C357" s="6"/>
      <c r="D357" s="185"/>
      <c r="E357" s="35"/>
      <c r="F357" s="209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</row>
    <row r="358" spans="1:33" ht="12.75">
      <c r="A358" s="14"/>
      <c r="B358" s="206"/>
      <c r="C358" s="6"/>
      <c r="D358" s="185"/>
      <c r="E358" s="35"/>
      <c r="F358" s="209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</row>
    <row r="359" spans="1:33" ht="12.75">
      <c r="A359" s="14"/>
      <c r="B359" s="206"/>
      <c r="C359" s="6"/>
      <c r="D359" s="185"/>
      <c r="E359" s="35"/>
      <c r="F359" s="209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</row>
    <row r="360" spans="1:33" ht="12.75">
      <c r="A360" s="14"/>
      <c r="B360" s="206"/>
      <c r="C360" s="6"/>
      <c r="D360" s="185"/>
      <c r="E360" s="35"/>
      <c r="F360" s="209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</row>
    <row r="361" spans="1:33" ht="12.75">
      <c r="A361" s="14"/>
      <c r="B361" s="206"/>
      <c r="C361" s="6"/>
      <c r="D361" s="185"/>
      <c r="E361" s="35"/>
      <c r="F361" s="209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</row>
    <row r="362" spans="1:33" ht="12.75">
      <c r="A362" s="14"/>
      <c r="B362" s="206"/>
      <c r="C362" s="6"/>
      <c r="D362" s="185"/>
      <c r="E362" s="35"/>
      <c r="F362" s="209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</row>
    <row r="363" spans="1:33" ht="12.75">
      <c r="A363" s="14"/>
      <c r="B363" s="206"/>
      <c r="C363" s="6"/>
      <c r="D363" s="185"/>
      <c r="E363" s="35"/>
      <c r="F363" s="209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</row>
    <row r="364" spans="1:33" ht="12.75">
      <c r="A364" s="14"/>
      <c r="B364" s="206"/>
      <c r="C364" s="6"/>
      <c r="D364" s="185"/>
      <c r="E364" s="35"/>
      <c r="F364" s="209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</row>
    <row r="365" spans="1:33" ht="12.75">
      <c r="A365" s="14"/>
      <c r="B365" s="206"/>
      <c r="C365" s="6"/>
      <c r="D365" s="185"/>
      <c r="E365" s="35"/>
      <c r="F365" s="209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</row>
    <row r="366" spans="1:33" ht="12.75">
      <c r="A366" s="14"/>
      <c r="B366" s="206"/>
      <c r="C366" s="6"/>
      <c r="D366" s="185"/>
      <c r="E366" s="35"/>
      <c r="F366" s="209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</row>
    <row r="367" spans="1:33" ht="12.75">
      <c r="A367" s="14"/>
      <c r="B367" s="206"/>
      <c r="C367" s="6"/>
      <c r="D367" s="185"/>
      <c r="E367" s="35"/>
      <c r="F367" s="209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</row>
    <row r="368" spans="1:33" ht="12.75">
      <c r="A368" s="14"/>
      <c r="B368" s="206"/>
      <c r="C368" s="6"/>
      <c r="D368" s="185"/>
      <c r="E368" s="35"/>
      <c r="F368" s="209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</row>
    <row r="369" spans="1:33" ht="12.75">
      <c r="A369" s="14"/>
      <c r="B369" s="206"/>
      <c r="C369" s="6"/>
      <c r="D369" s="185"/>
      <c r="E369" s="35"/>
      <c r="F369" s="209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</row>
    <row r="370" spans="1:33" ht="12.75">
      <c r="A370" s="14"/>
      <c r="B370" s="206"/>
      <c r="C370" s="6"/>
      <c r="D370" s="185"/>
      <c r="E370" s="35"/>
      <c r="F370" s="209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</row>
    <row r="371" spans="1:33" ht="12.75">
      <c r="A371" s="14"/>
      <c r="B371" s="206"/>
      <c r="C371" s="6"/>
      <c r="D371" s="185"/>
      <c r="E371" s="35"/>
      <c r="F371" s="209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</row>
    <row r="372" spans="1:33" ht="12.75">
      <c r="A372" s="14"/>
      <c r="B372" s="206"/>
      <c r="C372" s="6"/>
      <c r="D372" s="185"/>
      <c r="E372" s="35"/>
      <c r="F372" s="209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</row>
    <row r="373" spans="1:33" ht="12.75">
      <c r="A373" s="14"/>
      <c r="B373" s="206"/>
      <c r="C373" s="6"/>
      <c r="D373" s="185"/>
      <c r="E373" s="35"/>
      <c r="F373" s="209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</row>
    <row r="374" spans="1:33" ht="12.75">
      <c r="A374" s="14"/>
      <c r="B374" s="206"/>
      <c r="C374" s="6"/>
      <c r="D374" s="185"/>
      <c r="E374" s="35"/>
      <c r="F374" s="209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</row>
    <row r="375" spans="1:33" ht="12.75">
      <c r="A375" s="14"/>
      <c r="B375" s="206"/>
      <c r="C375" s="6"/>
      <c r="D375" s="185"/>
      <c r="E375" s="35"/>
      <c r="F375" s="209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</row>
    <row r="376" spans="1:33" ht="12.75">
      <c r="A376" s="14"/>
      <c r="B376" s="206"/>
      <c r="C376" s="6"/>
      <c r="D376" s="185"/>
      <c r="E376" s="35"/>
      <c r="F376" s="209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</row>
    <row r="377" spans="1:33" ht="12.75">
      <c r="A377" s="14"/>
      <c r="B377" s="206"/>
      <c r="C377" s="6"/>
      <c r="D377" s="185"/>
      <c r="E377" s="35"/>
      <c r="F377" s="209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</row>
    <row r="378" spans="1:33" ht="12.75">
      <c r="A378" s="14"/>
      <c r="B378" s="206"/>
      <c r="C378" s="6"/>
      <c r="D378" s="185"/>
      <c r="E378" s="35"/>
      <c r="F378" s="209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</row>
    <row r="379" spans="1:33" ht="12.75">
      <c r="A379" s="14"/>
      <c r="B379" s="206"/>
      <c r="C379" s="6"/>
      <c r="D379" s="185"/>
      <c r="E379" s="35"/>
      <c r="F379" s="209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</row>
    <row r="380" spans="1:33" ht="12.75">
      <c r="A380" s="14"/>
      <c r="B380" s="206"/>
      <c r="C380" s="6"/>
      <c r="D380" s="185"/>
      <c r="E380" s="35"/>
      <c r="F380" s="209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</row>
    <row r="381" spans="1:33" ht="12.75">
      <c r="A381" s="14"/>
      <c r="B381" s="206"/>
      <c r="C381" s="6"/>
      <c r="D381" s="185"/>
      <c r="E381" s="35"/>
      <c r="F381" s="209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</row>
    <row r="382" spans="1:33" ht="12.75">
      <c r="A382" s="14"/>
      <c r="B382" s="206"/>
      <c r="C382" s="6"/>
      <c r="D382" s="185"/>
      <c r="E382" s="35"/>
      <c r="F382" s="209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</row>
    <row r="383" spans="1:33" ht="12.75">
      <c r="A383" s="14"/>
      <c r="B383" s="206"/>
      <c r="C383" s="6"/>
      <c r="D383" s="185"/>
      <c r="E383" s="35"/>
      <c r="F383" s="209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</row>
    <row r="384" spans="1:33" ht="12.75">
      <c r="A384" s="14"/>
      <c r="B384" s="206"/>
      <c r="C384" s="6"/>
      <c r="D384" s="185"/>
      <c r="E384" s="35"/>
      <c r="F384" s="209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</row>
    <row r="385" spans="1:33" ht="12.75">
      <c r="A385" s="14"/>
      <c r="B385" s="206"/>
      <c r="C385" s="6"/>
      <c r="D385" s="185"/>
      <c r="E385" s="35"/>
      <c r="F385" s="209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</row>
    <row r="386" spans="1:33" ht="12.75">
      <c r="A386" s="14"/>
      <c r="B386" s="206"/>
      <c r="C386" s="6"/>
      <c r="D386" s="185"/>
      <c r="E386" s="35"/>
      <c r="F386" s="209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</row>
    <row r="387" spans="1:33" ht="12.75">
      <c r="A387" s="14"/>
      <c r="B387" s="206"/>
      <c r="C387" s="6"/>
      <c r="D387" s="185"/>
      <c r="E387" s="35"/>
      <c r="F387" s="209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</row>
    <row r="388" spans="1:33" ht="12.75">
      <c r="A388" s="14"/>
      <c r="B388" s="206"/>
      <c r="C388" s="6"/>
      <c r="D388" s="185"/>
      <c r="E388" s="35"/>
      <c r="F388" s="209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</row>
    <row r="389" spans="1:33" ht="12.75">
      <c r="A389" s="14"/>
      <c r="B389" s="206"/>
      <c r="C389" s="6"/>
      <c r="D389" s="185"/>
      <c r="E389" s="35"/>
      <c r="F389" s="209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</row>
    <row r="390" spans="1:33" ht="12.75">
      <c r="A390" s="14"/>
      <c r="B390" s="206"/>
      <c r="C390" s="6"/>
      <c r="D390" s="185"/>
      <c r="E390" s="35"/>
      <c r="F390" s="209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</row>
    <row r="391" spans="1:33" ht="12.75">
      <c r="A391" s="14"/>
      <c r="B391" s="206"/>
      <c r="C391" s="6"/>
      <c r="D391" s="185"/>
      <c r="E391" s="35"/>
      <c r="F391" s="209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</row>
    <row r="392" spans="1:33" ht="12.75">
      <c r="A392" s="14"/>
      <c r="B392" s="206"/>
      <c r="C392" s="6"/>
      <c r="D392" s="185"/>
      <c r="E392" s="35"/>
      <c r="F392" s="209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</row>
    <row r="393" spans="1:33" ht="12.75">
      <c r="A393" s="14"/>
      <c r="B393" s="206"/>
      <c r="C393" s="6"/>
      <c r="D393" s="185"/>
      <c r="E393" s="35"/>
      <c r="F393" s="209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</row>
    <row r="394" spans="1:33" ht="12.75">
      <c r="A394" s="14"/>
      <c r="B394" s="206"/>
      <c r="C394" s="6"/>
      <c r="D394" s="185"/>
      <c r="E394" s="35"/>
      <c r="F394" s="209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</row>
    <row r="395" spans="1:33" ht="12.75">
      <c r="A395" s="14"/>
      <c r="B395" s="206"/>
      <c r="C395" s="6"/>
      <c r="D395" s="185"/>
      <c r="E395" s="35"/>
      <c r="F395" s="209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</row>
    <row r="396" spans="1:33" ht="12.75">
      <c r="A396" s="14"/>
      <c r="B396" s="206"/>
      <c r="C396" s="6"/>
      <c r="D396" s="185"/>
      <c r="E396" s="35"/>
      <c r="F396" s="209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</row>
    <row r="397" spans="1:33" ht="12.75">
      <c r="A397" s="14"/>
      <c r="B397" s="206"/>
      <c r="C397" s="6"/>
      <c r="D397" s="185"/>
      <c r="E397" s="35"/>
      <c r="F397" s="209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</row>
    <row r="398" spans="1:33" ht="12.75">
      <c r="A398" s="14"/>
      <c r="B398" s="206"/>
      <c r="C398" s="6"/>
      <c r="D398" s="185"/>
      <c r="E398" s="35"/>
      <c r="F398" s="209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</row>
    <row r="399" spans="1:33" ht="12.75">
      <c r="A399" s="14"/>
      <c r="B399" s="206"/>
      <c r="C399" s="6"/>
      <c r="D399" s="185"/>
      <c r="E399" s="35"/>
      <c r="F399" s="209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</row>
    <row r="400" spans="1:33" ht="12.75">
      <c r="A400" s="14"/>
      <c r="B400" s="206"/>
      <c r="C400" s="6"/>
      <c r="D400" s="185"/>
      <c r="E400" s="35"/>
      <c r="F400" s="209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</row>
    <row r="401" spans="1:33" ht="12.75">
      <c r="A401" s="14"/>
      <c r="B401" s="206"/>
      <c r="C401" s="6"/>
      <c r="D401" s="185"/>
      <c r="E401" s="35"/>
      <c r="F401" s="209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</row>
    <row r="402" spans="1:33" ht="12.75">
      <c r="A402" s="14"/>
      <c r="B402" s="206"/>
      <c r="C402" s="6"/>
      <c r="D402" s="185"/>
      <c r="E402" s="35"/>
      <c r="F402" s="209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</row>
    <row r="403" spans="1:33" ht="12.75">
      <c r="A403" s="14"/>
      <c r="B403" s="206"/>
      <c r="C403" s="6"/>
      <c r="D403" s="185"/>
      <c r="E403" s="35"/>
      <c r="F403" s="209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</row>
    <row r="404" spans="1:33" ht="12.75">
      <c r="A404" s="14"/>
      <c r="B404" s="206"/>
      <c r="C404" s="6"/>
      <c r="D404" s="185"/>
      <c r="E404" s="35"/>
      <c r="F404" s="209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</row>
    <row r="405" spans="1:33" ht="12.75">
      <c r="A405" s="14"/>
      <c r="B405" s="206"/>
      <c r="C405" s="6"/>
      <c r="D405" s="185"/>
      <c r="E405" s="35"/>
      <c r="F405" s="209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</row>
    <row r="406" spans="1:33" ht="12.75">
      <c r="A406" s="14"/>
      <c r="B406" s="206"/>
      <c r="C406" s="6"/>
      <c r="D406" s="185"/>
      <c r="E406" s="35"/>
      <c r="F406" s="209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</row>
    <row r="407" spans="1:33" ht="12.75">
      <c r="A407" s="14"/>
      <c r="B407" s="206"/>
      <c r="C407" s="6"/>
      <c r="D407" s="185"/>
      <c r="E407" s="35"/>
      <c r="F407" s="209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</row>
    <row r="408" spans="1:33" ht="12.75">
      <c r="A408" s="14"/>
      <c r="B408" s="206"/>
      <c r="C408" s="6"/>
      <c r="D408" s="185"/>
      <c r="E408" s="35"/>
      <c r="F408" s="209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</row>
    <row r="409" spans="1:33" ht="12.75">
      <c r="A409" s="14"/>
      <c r="B409" s="206"/>
      <c r="C409" s="6"/>
      <c r="D409" s="185"/>
      <c r="E409" s="35"/>
      <c r="F409" s="209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</row>
    <row r="410" spans="1:33" ht="12.75">
      <c r="A410" s="14"/>
      <c r="B410" s="206"/>
      <c r="C410" s="6"/>
      <c r="D410" s="185"/>
      <c r="E410" s="35"/>
      <c r="F410" s="209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</row>
    <row r="411" spans="1:33" ht="12.75">
      <c r="A411" s="14"/>
      <c r="B411" s="206"/>
      <c r="C411" s="6"/>
      <c r="D411" s="185"/>
      <c r="E411" s="35"/>
      <c r="F411" s="209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</row>
    <row r="412" spans="1:33" ht="12.75">
      <c r="A412" s="14"/>
      <c r="B412" s="206"/>
      <c r="C412" s="6"/>
      <c r="D412" s="185"/>
      <c r="E412" s="35"/>
      <c r="F412" s="209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</row>
    <row r="413" spans="1:33" ht="12.75">
      <c r="A413" s="14"/>
      <c r="B413" s="206"/>
      <c r="C413" s="6"/>
      <c r="D413" s="185"/>
      <c r="E413" s="35"/>
      <c r="F413" s="209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</row>
    <row r="414" spans="1:33" ht="12.75">
      <c r="A414" s="14"/>
      <c r="B414" s="206"/>
      <c r="C414" s="6"/>
      <c r="D414" s="185"/>
      <c r="E414" s="35"/>
      <c r="F414" s="209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</row>
    <row r="415" spans="1:33" ht="12.75">
      <c r="A415" s="14"/>
      <c r="B415" s="206"/>
      <c r="C415" s="6"/>
      <c r="D415" s="185"/>
      <c r="E415" s="35"/>
      <c r="F415" s="209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</row>
    <row r="416" spans="1:33" ht="12.75">
      <c r="A416" s="14"/>
      <c r="B416" s="206"/>
      <c r="C416" s="6"/>
      <c r="D416" s="185"/>
      <c r="E416" s="35"/>
      <c r="F416" s="209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</row>
    <row r="417" spans="1:33" ht="12.75">
      <c r="A417" s="14"/>
      <c r="B417" s="206"/>
      <c r="C417" s="6"/>
      <c r="D417" s="185"/>
      <c r="E417" s="35"/>
      <c r="F417" s="209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</row>
    <row r="418" spans="1:33" ht="12.75">
      <c r="A418" s="14"/>
      <c r="B418" s="206"/>
      <c r="C418" s="6"/>
      <c r="D418" s="185"/>
      <c r="E418" s="35"/>
      <c r="F418" s="209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</row>
    <row r="419" spans="1:33" ht="12.75">
      <c r="A419" s="14"/>
      <c r="B419" s="206"/>
      <c r="C419" s="6"/>
      <c r="D419" s="185"/>
      <c r="E419" s="35"/>
      <c r="F419" s="209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</row>
    <row r="420" spans="1:33" ht="12.75">
      <c r="A420" s="14"/>
      <c r="B420" s="206"/>
      <c r="C420" s="6"/>
      <c r="D420" s="185"/>
      <c r="E420" s="35"/>
      <c r="F420" s="209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</row>
    <row r="421" spans="1:33" ht="12.75">
      <c r="A421" s="14"/>
      <c r="B421" s="206"/>
      <c r="C421" s="6"/>
      <c r="D421" s="185"/>
      <c r="E421" s="35"/>
      <c r="F421" s="209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</row>
    <row r="422" spans="1:33" ht="12.75">
      <c r="A422" s="14"/>
      <c r="B422" s="206"/>
      <c r="C422" s="6"/>
      <c r="D422" s="185"/>
      <c r="E422" s="35"/>
      <c r="F422" s="209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</row>
    <row r="423" spans="1:33" ht="12.75">
      <c r="A423" s="14"/>
      <c r="B423" s="206"/>
      <c r="C423" s="6"/>
      <c r="D423" s="185"/>
      <c r="E423" s="35"/>
      <c r="F423" s="209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</row>
    <row r="424" spans="1:33" ht="12.75">
      <c r="A424" s="14"/>
      <c r="B424" s="206"/>
      <c r="C424" s="6"/>
      <c r="D424" s="185"/>
      <c r="E424" s="35"/>
      <c r="F424" s="209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</row>
    <row r="425" spans="1:33" ht="12.75">
      <c r="A425" s="14"/>
      <c r="B425" s="206"/>
      <c r="C425" s="6"/>
      <c r="D425" s="185"/>
      <c r="E425" s="35"/>
      <c r="F425" s="209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</row>
    <row r="426" spans="1:33" ht="12.75">
      <c r="A426" s="14"/>
      <c r="B426" s="206"/>
      <c r="C426" s="6"/>
      <c r="D426" s="185"/>
      <c r="E426" s="35"/>
      <c r="F426" s="209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</row>
    <row r="427" spans="1:33" ht="12.75">
      <c r="A427" s="14"/>
      <c r="B427" s="206"/>
      <c r="C427" s="6"/>
      <c r="D427" s="185"/>
      <c r="E427" s="35"/>
      <c r="F427" s="209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</row>
    <row r="428" spans="1:33" ht="12.75">
      <c r="A428" s="14"/>
      <c r="B428" s="206"/>
      <c r="C428" s="6"/>
      <c r="D428" s="185"/>
      <c r="E428" s="35"/>
      <c r="F428" s="209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</row>
    <row r="429" spans="1:33" ht="12.75">
      <c r="A429" s="14"/>
      <c r="B429" s="206"/>
      <c r="C429" s="6"/>
      <c r="D429" s="185"/>
      <c r="E429" s="35"/>
      <c r="F429" s="209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</row>
    <row r="430" spans="1:33" ht="12.75">
      <c r="A430" s="14"/>
      <c r="B430" s="206"/>
      <c r="C430" s="6"/>
      <c r="D430" s="185"/>
      <c r="E430" s="35"/>
      <c r="F430" s="209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</row>
    <row r="431" spans="1:33" ht="12.75">
      <c r="A431" s="14"/>
      <c r="B431" s="206"/>
      <c r="C431" s="6"/>
      <c r="D431" s="185"/>
      <c r="E431" s="35"/>
      <c r="F431" s="209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</row>
    <row r="432" spans="1:33" ht="12.75">
      <c r="A432" s="14"/>
      <c r="B432" s="206"/>
      <c r="C432" s="6"/>
      <c r="D432" s="185"/>
      <c r="E432" s="35"/>
      <c r="F432" s="209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</row>
    <row r="433" spans="1:33" ht="12.75">
      <c r="A433" s="14"/>
      <c r="B433" s="206"/>
      <c r="C433" s="6"/>
      <c r="D433" s="185"/>
      <c r="E433" s="35"/>
      <c r="F433" s="209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</row>
    <row r="434" spans="1:33" ht="12.75">
      <c r="A434" s="14"/>
      <c r="B434" s="206"/>
      <c r="C434" s="6"/>
      <c r="D434" s="185"/>
      <c r="E434" s="35"/>
      <c r="F434" s="209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</row>
    <row r="435" spans="1:33" ht="12.75">
      <c r="A435" s="14"/>
      <c r="B435" s="206"/>
      <c r="C435" s="6"/>
      <c r="D435" s="185"/>
      <c r="E435" s="35"/>
      <c r="F435" s="209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</row>
    <row r="436" spans="1:33" ht="12.75">
      <c r="A436" s="14"/>
      <c r="B436" s="206"/>
      <c r="C436" s="6"/>
      <c r="D436" s="185"/>
      <c r="E436" s="35"/>
      <c r="F436" s="209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</row>
    <row r="437" spans="1:33" ht="12.75">
      <c r="A437" s="14"/>
      <c r="B437" s="206"/>
      <c r="C437" s="6"/>
      <c r="D437" s="185"/>
      <c r="E437" s="35"/>
      <c r="F437" s="209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</row>
    <row r="438" spans="1:33" ht="12.75">
      <c r="A438" s="14"/>
      <c r="B438" s="206"/>
      <c r="C438" s="6"/>
      <c r="D438" s="185"/>
      <c r="E438" s="35"/>
      <c r="F438" s="209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</row>
    <row r="439" spans="1:33" ht="12.75">
      <c r="A439" s="14"/>
      <c r="B439" s="206"/>
      <c r="C439" s="6"/>
      <c r="D439" s="185"/>
      <c r="E439" s="35"/>
      <c r="F439" s="209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</row>
    <row r="440" spans="1:33" ht="12.75">
      <c r="A440" s="14"/>
      <c r="B440" s="206"/>
      <c r="C440" s="6"/>
      <c r="D440" s="185"/>
      <c r="E440" s="35"/>
      <c r="F440" s="209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</row>
    <row r="441" spans="1:33" ht="12.75">
      <c r="A441" s="14"/>
      <c r="B441" s="206"/>
      <c r="C441" s="6"/>
      <c r="D441" s="185"/>
      <c r="E441" s="35"/>
      <c r="F441" s="209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</row>
    <row r="442" spans="1:33" ht="12.75">
      <c r="A442" s="14"/>
      <c r="B442" s="206"/>
      <c r="C442" s="6"/>
      <c r="D442" s="185"/>
      <c r="E442" s="35"/>
      <c r="F442" s="209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</row>
    <row r="443" spans="1:33" ht="12.75">
      <c r="A443" s="14"/>
      <c r="B443" s="206"/>
      <c r="C443" s="6"/>
      <c r="D443" s="185"/>
      <c r="E443" s="35"/>
      <c r="F443" s="209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</row>
    <row r="444" spans="1:33" ht="12.75">
      <c r="A444" s="14"/>
      <c r="B444" s="206"/>
      <c r="C444" s="6"/>
      <c r="D444" s="185"/>
      <c r="E444" s="35"/>
      <c r="F444" s="209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</row>
    <row r="445" spans="1:33" ht="12.75">
      <c r="A445" s="14"/>
      <c r="B445" s="206"/>
      <c r="C445" s="6"/>
      <c r="D445" s="185"/>
      <c r="E445" s="35"/>
      <c r="F445" s="209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</row>
    <row r="446" spans="1:33" ht="12.75">
      <c r="A446" s="14"/>
      <c r="B446" s="206"/>
      <c r="C446" s="6"/>
      <c r="D446" s="185"/>
      <c r="E446" s="35"/>
      <c r="F446" s="209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</row>
    <row r="447" spans="1:33" ht="12.75">
      <c r="A447" s="14"/>
      <c r="B447" s="206"/>
      <c r="C447" s="6"/>
      <c r="D447" s="185"/>
      <c r="E447" s="35"/>
      <c r="F447" s="209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</row>
    <row r="448" spans="1:33" ht="12.75">
      <c r="A448" s="14"/>
      <c r="B448" s="206"/>
      <c r="C448" s="6"/>
      <c r="D448" s="185"/>
      <c r="E448" s="35"/>
      <c r="F448" s="209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</row>
    <row r="449" spans="1:33" ht="12.75">
      <c r="A449" s="14"/>
      <c r="B449" s="206"/>
      <c r="C449" s="6"/>
      <c r="D449" s="185"/>
      <c r="E449" s="35"/>
      <c r="F449" s="209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</row>
    <row r="450" spans="1:33" ht="12.75">
      <c r="A450" s="14"/>
      <c r="B450" s="206"/>
      <c r="C450" s="6"/>
      <c r="D450" s="185"/>
      <c r="E450" s="35"/>
      <c r="F450" s="209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</row>
    <row r="451" spans="1:33" ht="12.75">
      <c r="A451" s="14"/>
      <c r="B451" s="206"/>
      <c r="C451" s="6"/>
      <c r="D451" s="185"/>
      <c r="E451" s="35"/>
      <c r="F451" s="209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</row>
    <row r="452" spans="1:33" ht="12.75">
      <c r="A452" s="14"/>
      <c r="B452" s="206"/>
      <c r="C452" s="6"/>
      <c r="D452" s="185"/>
      <c r="E452" s="35"/>
      <c r="F452" s="209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</row>
    <row r="453" spans="1:33" ht="12.75">
      <c r="A453" s="14"/>
      <c r="B453" s="206"/>
      <c r="C453" s="6"/>
      <c r="D453" s="185"/>
      <c r="E453" s="35"/>
      <c r="F453" s="209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</row>
    <row r="454" spans="1:33" ht="12.75">
      <c r="A454" s="14"/>
      <c r="B454" s="206"/>
      <c r="C454" s="6"/>
      <c r="D454" s="185"/>
      <c r="E454" s="35"/>
      <c r="F454" s="209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</row>
    <row r="455" spans="1:33" ht="12.75">
      <c r="A455" s="14"/>
      <c r="B455" s="206"/>
      <c r="C455" s="6"/>
      <c r="D455" s="185"/>
      <c r="E455" s="35"/>
      <c r="F455" s="209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</row>
    <row r="456" spans="1:33" ht="12.75">
      <c r="A456" s="14"/>
      <c r="B456" s="206"/>
      <c r="C456" s="6"/>
      <c r="D456" s="185"/>
      <c r="E456" s="35"/>
      <c r="F456" s="209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</row>
    <row r="457" spans="1:33" ht="12.75">
      <c r="A457" s="14"/>
      <c r="B457" s="206"/>
      <c r="C457" s="6"/>
      <c r="D457" s="185"/>
      <c r="E457" s="35"/>
      <c r="F457" s="209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</row>
    <row r="458" spans="1:33" ht="12.75">
      <c r="A458" s="14"/>
      <c r="B458" s="206"/>
      <c r="C458" s="6"/>
      <c r="D458" s="185"/>
      <c r="E458" s="35"/>
      <c r="F458" s="209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</row>
    <row r="459" spans="1:33" ht="12.75">
      <c r="A459" s="14"/>
      <c r="B459" s="206"/>
      <c r="C459" s="6"/>
      <c r="D459" s="185"/>
      <c r="E459" s="35"/>
      <c r="F459" s="209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</row>
    <row r="460" spans="1:33" ht="12.75">
      <c r="A460" s="14"/>
      <c r="B460" s="206"/>
      <c r="C460" s="6"/>
      <c r="D460" s="185"/>
      <c r="E460" s="35"/>
      <c r="F460" s="209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</row>
    <row r="461" spans="1:33" ht="12.75">
      <c r="A461" s="14"/>
      <c r="B461" s="206"/>
      <c r="C461" s="6"/>
      <c r="D461" s="185"/>
      <c r="E461" s="35"/>
      <c r="F461" s="209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</row>
    <row r="462" spans="1:33" ht="12.75">
      <c r="A462" s="14"/>
      <c r="B462" s="206"/>
      <c r="C462" s="6"/>
      <c r="D462" s="185"/>
      <c r="E462" s="35"/>
      <c r="F462" s="209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</row>
    <row r="463" spans="1:33" ht="12.75">
      <c r="A463" s="14"/>
      <c r="B463" s="206"/>
      <c r="C463" s="6"/>
      <c r="D463" s="185"/>
      <c r="E463" s="35"/>
      <c r="F463" s="209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</row>
    <row r="464" spans="1:33" ht="12.75">
      <c r="A464" s="14"/>
      <c r="B464" s="206"/>
      <c r="C464" s="6"/>
      <c r="D464" s="185"/>
      <c r="E464" s="35"/>
      <c r="F464" s="209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</row>
    <row r="465" spans="1:33" ht="12.75">
      <c r="A465" s="14"/>
      <c r="B465" s="206"/>
      <c r="C465" s="6"/>
      <c r="D465" s="185"/>
      <c r="E465" s="35"/>
      <c r="F465" s="209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</row>
    <row r="466" spans="1:33" ht="12.75">
      <c r="A466" s="14"/>
      <c r="B466" s="206"/>
      <c r="C466" s="6"/>
      <c r="D466" s="185"/>
      <c r="E466" s="35"/>
      <c r="F466" s="209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</row>
    <row r="467" spans="1:33" ht="12.75">
      <c r="A467" s="14"/>
      <c r="B467" s="206"/>
      <c r="C467" s="6"/>
      <c r="D467" s="185"/>
      <c r="E467" s="35"/>
      <c r="F467" s="209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</row>
    <row r="468" spans="1:33" ht="12.75">
      <c r="A468" s="14"/>
      <c r="B468" s="206"/>
      <c r="C468" s="6"/>
      <c r="D468" s="185"/>
      <c r="E468" s="35"/>
      <c r="F468" s="209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</row>
    <row r="469" spans="1:33" ht="12.75">
      <c r="A469" s="14"/>
      <c r="B469" s="206"/>
      <c r="C469" s="6"/>
      <c r="D469" s="185"/>
      <c r="E469" s="35"/>
      <c r="F469" s="209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</row>
    <row r="470" spans="1:33" ht="12.75">
      <c r="A470" s="14"/>
      <c r="B470" s="206"/>
      <c r="C470" s="6"/>
      <c r="D470" s="185"/>
      <c r="E470" s="35"/>
      <c r="F470" s="209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</row>
    <row r="471" spans="1:33" ht="12.75">
      <c r="A471" s="14"/>
      <c r="B471" s="206"/>
      <c r="C471" s="6"/>
      <c r="D471" s="185"/>
      <c r="E471" s="35"/>
      <c r="F471" s="209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</row>
    <row r="472" spans="1:33" ht="12.75">
      <c r="A472" s="14"/>
      <c r="B472" s="206"/>
      <c r="C472" s="6"/>
      <c r="D472" s="185"/>
      <c r="E472" s="35"/>
      <c r="F472" s="209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</row>
    <row r="473" spans="1:33" ht="12.75">
      <c r="A473" s="14"/>
      <c r="B473" s="206"/>
      <c r="C473" s="6"/>
      <c r="D473" s="185"/>
      <c r="E473" s="35"/>
      <c r="F473" s="209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</row>
    <row r="474" spans="1:33" ht="12.75">
      <c r="A474" s="14"/>
      <c r="B474" s="206"/>
      <c r="C474" s="6"/>
      <c r="D474" s="185"/>
      <c r="E474" s="35"/>
      <c r="F474" s="209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</row>
    <row r="475" spans="1:33" ht="12.75">
      <c r="A475" s="14"/>
      <c r="B475" s="206"/>
      <c r="C475" s="6"/>
      <c r="D475" s="185"/>
      <c r="E475" s="35"/>
      <c r="F475" s="209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</row>
    <row r="476" spans="1:33" ht="12.75">
      <c r="A476" s="14"/>
      <c r="B476" s="206"/>
      <c r="C476" s="6"/>
      <c r="D476" s="185"/>
      <c r="E476" s="35"/>
      <c r="F476" s="209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</row>
    <row r="477" spans="1:33" ht="12.75">
      <c r="A477" s="14"/>
      <c r="B477" s="206"/>
      <c r="C477" s="6"/>
      <c r="D477" s="185"/>
      <c r="E477" s="35"/>
      <c r="F477" s="209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</row>
    <row r="478" spans="1:33" ht="12.75">
      <c r="A478" s="14"/>
      <c r="B478" s="206"/>
      <c r="C478" s="6"/>
      <c r="D478" s="185"/>
      <c r="E478" s="35"/>
      <c r="F478" s="209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</row>
    <row r="479" spans="1:33" ht="12.75">
      <c r="A479" s="14"/>
      <c r="B479" s="206"/>
      <c r="C479" s="6"/>
      <c r="D479" s="185"/>
      <c r="E479" s="35"/>
      <c r="F479" s="209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</row>
    <row r="480" spans="1:33" ht="12.75">
      <c r="A480" s="14"/>
      <c r="B480" s="206"/>
      <c r="C480" s="6"/>
      <c r="D480" s="185"/>
      <c r="E480" s="35"/>
      <c r="F480" s="209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</row>
    <row r="481" spans="1:33" ht="12.75">
      <c r="A481" s="14"/>
      <c r="B481" s="206"/>
      <c r="C481" s="6"/>
      <c r="D481" s="185"/>
      <c r="E481" s="35"/>
      <c r="F481" s="209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</row>
    <row r="482" spans="1:33" ht="12.75">
      <c r="A482" s="14"/>
      <c r="B482" s="206"/>
      <c r="C482" s="6"/>
      <c r="D482" s="185"/>
      <c r="E482" s="35"/>
      <c r="F482" s="209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</row>
    <row r="483" spans="1:33" ht="12.75">
      <c r="A483" s="14"/>
      <c r="B483" s="206"/>
      <c r="C483" s="6"/>
      <c r="D483" s="185"/>
      <c r="E483" s="35"/>
      <c r="F483" s="209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</row>
    <row r="484" spans="1:33" ht="12.75">
      <c r="A484" s="14"/>
      <c r="B484" s="206"/>
      <c r="C484" s="6"/>
      <c r="D484" s="185"/>
      <c r="E484" s="35"/>
      <c r="F484" s="209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</row>
    <row r="485" spans="1:33" ht="12.75">
      <c r="A485" s="14"/>
      <c r="B485" s="206"/>
      <c r="C485" s="6"/>
      <c r="D485" s="185"/>
      <c r="E485" s="35"/>
      <c r="F485" s="209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</row>
    <row r="486" spans="1:33" ht="12.75">
      <c r="A486" s="14"/>
      <c r="B486" s="206"/>
      <c r="C486" s="6"/>
      <c r="D486" s="185"/>
      <c r="E486" s="35"/>
      <c r="F486" s="209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</row>
    <row r="487" spans="1:33" ht="12.75">
      <c r="A487" s="14"/>
      <c r="B487" s="206"/>
      <c r="C487" s="6"/>
      <c r="D487" s="185"/>
      <c r="E487" s="35"/>
      <c r="F487" s="209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</row>
    <row r="488" spans="1:33" ht="12.75">
      <c r="A488" s="14"/>
      <c r="B488" s="206"/>
      <c r="C488" s="6"/>
      <c r="D488" s="185"/>
      <c r="E488" s="35"/>
      <c r="F488" s="209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</row>
    <row r="489" spans="1:33" ht="12.75">
      <c r="A489" s="14"/>
      <c r="B489" s="206"/>
      <c r="C489" s="6"/>
      <c r="D489" s="185"/>
      <c r="E489" s="35"/>
      <c r="F489" s="209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</row>
    <row r="490" spans="1:33" ht="12.75">
      <c r="A490" s="14"/>
      <c r="B490" s="206"/>
      <c r="C490" s="6"/>
      <c r="D490" s="185"/>
      <c r="E490" s="35"/>
      <c r="F490" s="209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</row>
    <row r="491" spans="1:33" ht="12.75">
      <c r="A491" s="14"/>
      <c r="B491" s="206"/>
      <c r="C491" s="6"/>
      <c r="D491" s="185"/>
      <c r="E491" s="35"/>
      <c r="F491" s="209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</row>
    <row r="492" spans="1:33" ht="12.75">
      <c r="A492" s="14"/>
      <c r="B492" s="206"/>
      <c r="C492" s="6"/>
      <c r="D492" s="185"/>
      <c r="E492" s="35"/>
      <c r="F492" s="209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</row>
    <row r="493" spans="1:33" ht="12.75">
      <c r="A493" s="14"/>
      <c r="B493" s="206"/>
      <c r="C493" s="6"/>
      <c r="D493" s="185"/>
      <c r="E493" s="35"/>
      <c r="F493" s="209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</row>
    <row r="494" spans="1:33" ht="12.75">
      <c r="A494" s="14"/>
      <c r="B494" s="206"/>
      <c r="C494" s="6"/>
      <c r="D494" s="185"/>
      <c r="E494" s="35"/>
      <c r="F494" s="209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</row>
    <row r="495" spans="1:33" ht="12.75">
      <c r="A495" s="14"/>
      <c r="B495" s="206"/>
      <c r="C495" s="6"/>
      <c r="D495" s="185"/>
      <c r="E495" s="35"/>
      <c r="F495" s="209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</row>
    <row r="496" spans="1:33" ht="12.75">
      <c r="A496" s="14"/>
      <c r="B496" s="206"/>
      <c r="C496" s="6"/>
      <c r="D496" s="185"/>
      <c r="E496" s="35"/>
      <c r="F496" s="209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</row>
    <row r="497" spans="1:33" ht="12.75">
      <c r="A497" s="14"/>
      <c r="B497" s="206"/>
      <c r="C497" s="6"/>
      <c r="D497" s="185"/>
      <c r="E497" s="35"/>
      <c r="F497" s="209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</row>
    <row r="498" spans="1:33" ht="12.75">
      <c r="A498" s="14"/>
      <c r="B498" s="206"/>
      <c r="C498" s="6"/>
      <c r="D498" s="185"/>
      <c r="E498" s="35"/>
      <c r="F498" s="209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</row>
    <row r="499" spans="1:33" ht="12.75">
      <c r="A499" s="14"/>
      <c r="B499" s="206"/>
      <c r="C499" s="6"/>
      <c r="D499" s="185"/>
      <c r="E499" s="35"/>
      <c r="F499" s="209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</row>
    <row r="500" spans="1:33" ht="12.75">
      <c r="A500" s="14"/>
      <c r="B500" s="206"/>
      <c r="C500" s="6"/>
      <c r="D500" s="185"/>
      <c r="E500" s="35"/>
      <c r="F500" s="209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</row>
    <row r="501" spans="1:33" ht="12.75">
      <c r="A501" s="14"/>
      <c r="B501" s="206"/>
      <c r="C501" s="6"/>
      <c r="D501" s="185"/>
      <c r="E501" s="35"/>
      <c r="F501" s="209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</row>
    <row r="502" spans="1:33" ht="12.75">
      <c r="A502" s="14"/>
      <c r="B502" s="206"/>
      <c r="C502" s="6"/>
      <c r="D502" s="185"/>
      <c r="E502" s="35"/>
      <c r="F502" s="209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</row>
    <row r="503" spans="1:33" ht="12.75">
      <c r="A503" s="14"/>
      <c r="B503" s="206"/>
      <c r="C503" s="6"/>
      <c r="D503" s="185"/>
      <c r="E503" s="35"/>
      <c r="F503" s="209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</row>
    <row r="504" spans="1:33" ht="12.75">
      <c r="A504" s="14"/>
      <c r="B504" s="206"/>
      <c r="C504" s="6"/>
      <c r="D504" s="185"/>
      <c r="E504" s="35"/>
      <c r="F504" s="209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</row>
    <row r="505" spans="1:33" ht="12.75">
      <c r="A505" s="14"/>
      <c r="B505" s="206"/>
      <c r="C505" s="6"/>
      <c r="D505" s="185"/>
      <c r="E505" s="35"/>
      <c r="F505" s="209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</row>
    <row r="506" spans="1:33" ht="12.75">
      <c r="A506" s="14"/>
      <c r="B506" s="206"/>
      <c r="C506" s="6"/>
      <c r="D506" s="185"/>
      <c r="E506" s="35"/>
      <c r="F506" s="209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</row>
    <row r="507" spans="1:33" ht="12.75">
      <c r="A507" s="14"/>
      <c r="B507" s="206"/>
      <c r="C507" s="6"/>
      <c r="D507" s="185"/>
      <c r="E507" s="35"/>
      <c r="F507" s="209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</row>
    <row r="508" spans="1:33" ht="12.75">
      <c r="A508" s="14"/>
      <c r="B508" s="206"/>
      <c r="C508" s="6"/>
      <c r="D508" s="185"/>
      <c r="E508" s="35"/>
      <c r="F508" s="209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</row>
    <row r="509" spans="1:33" ht="12.75">
      <c r="A509" s="14"/>
      <c r="B509" s="206"/>
      <c r="C509" s="6"/>
      <c r="D509" s="185"/>
      <c r="E509" s="35"/>
      <c r="F509" s="209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</row>
    <row r="510" spans="1:33" ht="12.75">
      <c r="A510" s="14"/>
      <c r="B510" s="206"/>
      <c r="C510" s="6"/>
      <c r="D510" s="185"/>
      <c r="E510" s="35"/>
      <c r="F510" s="209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</row>
    <row r="511" spans="1:33" ht="12.75">
      <c r="A511" s="14"/>
      <c r="B511" s="206"/>
      <c r="C511" s="6"/>
      <c r="D511" s="185"/>
      <c r="E511" s="35"/>
      <c r="F511" s="209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</row>
    <row r="512" spans="1:33" ht="12.75">
      <c r="A512" s="14"/>
      <c r="B512" s="206"/>
      <c r="C512" s="6"/>
      <c r="D512" s="185"/>
      <c r="E512" s="35"/>
      <c r="F512" s="209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</row>
    <row r="513" spans="1:33" ht="12.75">
      <c r="A513" s="14"/>
      <c r="B513" s="206"/>
      <c r="C513" s="6"/>
      <c r="D513" s="185"/>
      <c r="E513" s="35"/>
      <c r="F513" s="209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</row>
    <row r="514" spans="1:33" ht="12.75">
      <c r="A514" s="14"/>
      <c r="B514" s="206"/>
      <c r="C514" s="6"/>
      <c r="D514" s="185"/>
      <c r="E514" s="35"/>
      <c r="F514" s="209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</row>
    <row r="515" spans="1:33" ht="12.75">
      <c r="A515" s="14"/>
      <c r="B515" s="206"/>
      <c r="C515" s="6"/>
      <c r="D515" s="185"/>
      <c r="E515" s="35"/>
      <c r="F515" s="209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</row>
    <row r="516" spans="1:33" ht="12.75">
      <c r="A516" s="14"/>
      <c r="B516" s="206"/>
      <c r="C516" s="6"/>
      <c r="D516" s="185"/>
      <c r="E516" s="35"/>
      <c r="F516" s="209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</row>
    <row r="517" spans="1:33" ht="12.75">
      <c r="A517" s="14"/>
      <c r="B517" s="206"/>
      <c r="C517" s="6"/>
      <c r="D517" s="185"/>
      <c r="E517" s="35"/>
      <c r="F517" s="209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</row>
    <row r="518" spans="1:33" ht="12.75">
      <c r="A518" s="14"/>
      <c r="B518" s="206"/>
      <c r="C518" s="6"/>
      <c r="D518" s="185"/>
      <c r="E518" s="35"/>
      <c r="F518" s="209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</row>
    <row r="519" spans="1:33" ht="12.75">
      <c r="A519" s="14"/>
      <c r="B519" s="206"/>
      <c r="C519" s="6"/>
      <c r="D519" s="185"/>
      <c r="E519" s="35"/>
      <c r="F519" s="209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</row>
    <row r="520" spans="1:33" ht="12.75">
      <c r="A520" s="14"/>
      <c r="B520" s="206"/>
      <c r="C520" s="6"/>
      <c r="D520" s="185"/>
      <c r="E520" s="35"/>
      <c r="F520" s="209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</row>
    <row r="521" spans="1:33" ht="12.75">
      <c r="A521" s="14"/>
      <c r="B521" s="206"/>
      <c r="C521" s="6"/>
      <c r="D521" s="185"/>
      <c r="E521" s="35"/>
      <c r="F521" s="209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</row>
    <row r="522" spans="1:33" ht="12.75">
      <c r="A522" s="14"/>
      <c r="B522" s="206"/>
      <c r="C522" s="6"/>
      <c r="D522" s="185"/>
      <c r="E522" s="35"/>
      <c r="F522" s="209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</row>
    <row r="523" spans="1:33" ht="12.75">
      <c r="A523" s="14"/>
      <c r="B523" s="206"/>
      <c r="C523" s="6"/>
      <c r="D523" s="185"/>
      <c r="E523" s="35"/>
      <c r="F523" s="209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</row>
    <row r="524" spans="1:33" ht="12.75">
      <c r="A524" s="14"/>
      <c r="B524" s="206"/>
      <c r="C524" s="6"/>
      <c r="D524" s="185"/>
      <c r="E524" s="35"/>
      <c r="F524" s="209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</row>
    <row r="525" spans="1:33" ht="12.75">
      <c r="A525" s="14"/>
      <c r="B525" s="206"/>
      <c r="C525" s="6"/>
      <c r="D525" s="185"/>
      <c r="E525" s="35"/>
      <c r="F525" s="209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</row>
    <row r="526" spans="1:33" ht="12.75">
      <c r="A526" s="14"/>
      <c r="B526" s="206"/>
      <c r="C526" s="6"/>
      <c r="D526" s="185"/>
      <c r="E526" s="35"/>
      <c r="F526" s="209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</row>
    <row r="527" spans="1:33" ht="12.75">
      <c r="A527" s="14"/>
      <c r="B527" s="206"/>
      <c r="C527" s="6"/>
      <c r="D527" s="185"/>
      <c r="E527" s="35"/>
      <c r="F527" s="209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</row>
    <row r="528" spans="1:33" ht="12.75">
      <c r="A528" s="14"/>
      <c r="B528" s="206"/>
      <c r="C528" s="6"/>
      <c r="D528" s="185"/>
      <c r="E528" s="35"/>
      <c r="F528" s="209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</row>
    <row r="529" spans="1:33" ht="12.75">
      <c r="A529" s="14"/>
      <c r="B529" s="206"/>
      <c r="C529" s="6"/>
      <c r="D529" s="185"/>
      <c r="E529" s="35"/>
      <c r="F529" s="209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</row>
    <row r="530" spans="1:33" ht="12.75">
      <c r="A530" s="14"/>
      <c r="B530" s="206"/>
      <c r="C530" s="6"/>
      <c r="D530" s="185"/>
      <c r="E530" s="35"/>
      <c r="F530" s="209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</row>
    <row r="531" spans="1:33" ht="12.75">
      <c r="A531" s="14"/>
      <c r="B531" s="206"/>
      <c r="C531" s="6"/>
      <c r="D531" s="185"/>
      <c r="E531" s="35"/>
      <c r="F531" s="209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</row>
    <row r="532" spans="1:33" ht="12.75">
      <c r="A532" s="14"/>
      <c r="B532" s="206"/>
      <c r="C532" s="6"/>
      <c r="D532" s="185"/>
      <c r="E532" s="35"/>
      <c r="F532" s="209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</row>
    <row r="533" spans="1:33" ht="12.75">
      <c r="A533" s="14"/>
      <c r="B533" s="206"/>
      <c r="C533" s="6"/>
      <c r="D533" s="185"/>
      <c r="E533" s="35"/>
      <c r="F533" s="209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</row>
    <row r="534" spans="1:33" ht="12.75">
      <c r="A534" s="14"/>
      <c r="B534" s="206"/>
      <c r="C534" s="6"/>
      <c r="D534" s="185"/>
      <c r="E534" s="35"/>
      <c r="F534" s="209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</row>
    <row r="535" spans="1:33" ht="12.75">
      <c r="A535" s="14"/>
      <c r="B535" s="206"/>
      <c r="C535" s="6"/>
      <c r="D535" s="185"/>
      <c r="E535" s="35"/>
      <c r="F535" s="209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</row>
    <row r="536" spans="1:33" ht="12.75">
      <c r="A536" s="14"/>
      <c r="B536" s="206"/>
      <c r="C536" s="6"/>
      <c r="D536" s="185"/>
      <c r="E536" s="35"/>
      <c r="F536" s="209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</row>
    <row r="537" spans="1:33" ht="12.75">
      <c r="A537" s="14"/>
      <c r="B537" s="206"/>
      <c r="C537" s="6"/>
      <c r="D537" s="185"/>
      <c r="E537" s="35"/>
      <c r="F537" s="209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</row>
    <row r="538" spans="1:33" ht="12.75">
      <c r="A538" s="14"/>
      <c r="B538" s="206"/>
      <c r="C538" s="6"/>
      <c r="D538" s="185"/>
      <c r="E538" s="35"/>
      <c r="F538" s="209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</row>
    <row r="539" spans="1:33" ht="12.75">
      <c r="A539" s="14"/>
      <c r="B539" s="206"/>
      <c r="C539" s="6"/>
      <c r="D539" s="185"/>
      <c r="E539" s="35"/>
      <c r="F539" s="209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</row>
    <row r="540" spans="1:33" ht="12.75">
      <c r="A540" s="14"/>
      <c r="B540" s="206"/>
      <c r="C540" s="6"/>
      <c r="D540" s="185"/>
      <c r="E540" s="35"/>
      <c r="F540" s="209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</row>
    <row r="541" spans="1:33" ht="12.75">
      <c r="A541" s="14"/>
      <c r="B541" s="206"/>
      <c r="C541" s="6"/>
      <c r="D541" s="185"/>
      <c r="E541" s="35"/>
      <c r="F541" s="209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</row>
    <row r="542" spans="1:33" ht="12.75">
      <c r="A542" s="14"/>
      <c r="B542" s="206"/>
      <c r="C542" s="6"/>
      <c r="D542" s="185"/>
      <c r="E542" s="35"/>
      <c r="F542" s="209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</row>
    <row r="543" spans="1:33" ht="12.75">
      <c r="A543" s="14"/>
      <c r="B543" s="206"/>
      <c r="C543" s="6"/>
      <c r="D543" s="185"/>
      <c r="E543" s="35"/>
      <c r="F543" s="209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</row>
    <row r="544" spans="1:33" ht="12.75">
      <c r="A544" s="14"/>
      <c r="B544" s="206"/>
      <c r="C544" s="6"/>
      <c r="D544" s="185"/>
      <c r="E544" s="35"/>
      <c r="F544" s="209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</row>
    <row r="545" spans="1:33" ht="12.75">
      <c r="A545" s="14"/>
      <c r="B545" s="206"/>
      <c r="C545" s="6"/>
      <c r="D545" s="185"/>
      <c r="E545" s="35"/>
      <c r="F545" s="209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</row>
    <row r="546" spans="1:33" ht="12.75">
      <c r="A546" s="14"/>
      <c r="B546" s="206"/>
      <c r="C546" s="6"/>
      <c r="D546" s="185"/>
      <c r="E546" s="35"/>
      <c r="F546" s="209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</row>
    <row r="547" spans="1:33" ht="12.75">
      <c r="A547" s="14"/>
      <c r="B547" s="206"/>
      <c r="C547" s="6"/>
      <c r="D547" s="185"/>
      <c r="E547" s="35"/>
      <c r="F547" s="209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</row>
    <row r="548" spans="1:33" ht="12.75">
      <c r="A548" s="14"/>
      <c r="B548" s="206"/>
      <c r="C548" s="6"/>
      <c r="D548" s="185"/>
      <c r="E548" s="35"/>
      <c r="F548" s="209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</row>
    <row r="549" spans="1:33" ht="12.75">
      <c r="A549" s="14"/>
      <c r="B549" s="206"/>
      <c r="C549" s="6"/>
      <c r="D549" s="185"/>
      <c r="E549" s="35"/>
      <c r="F549" s="209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</row>
    <row r="550" spans="1:33" ht="12.75">
      <c r="A550" s="14"/>
      <c r="B550" s="206"/>
      <c r="C550" s="6"/>
      <c r="D550" s="185"/>
      <c r="E550" s="35"/>
      <c r="F550" s="209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</row>
    <row r="551" spans="1:33" ht="12.75">
      <c r="A551" s="14"/>
      <c r="B551" s="206"/>
      <c r="C551" s="6"/>
      <c r="D551" s="185"/>
      <c r="E551" s="35"/>
      <c r="F551" s="209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</row>
    <row r="552" spans="1:33" ht="12.75">
      <c r="A552" s="14"/>
      <c r="B552" s="206"/>
      <c r="C552" s="6"/>
      <c r="D552" s="185"/>
      <c r="E552" s="35"/>
      <c r="F552" s="209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</row>
    <row r="553" spans="1:33" ht="12.75">
      <c r="A553" s="14"/>
      <c r="B553" s="206"/>
      <c r="C553" s="6"/>
      <c r="D553" s="185"/>
      <c r="E553" s="35"/>
      <c r="F553" s="209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</row>
    <row r="554" spans="1:33" ht="12.75">
      <c r="A554" s="14"/>
      <c r="B554" s="206"/>
      <c r="C554" s="6"/>
      <c r="D554" s="185"/>
      <c r="E554" s="35"/>
      <c r="F554" s="209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</row>
    <row r="555" spans="1:33" ht="12.75">
      <c r="A555" s="14"/>
      <c r="B555" s="206"/>
      <c r="C555" s="6"/>
      <c r="D555" s="185"/>
      <c r="E555" s="35"/>
      <c r="F555" s="209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</row>
    <row r="556" spans="1:33" ht="12.75">
      <c r="A556" s="14"/>
      <c r="B556" s="206"/>
      <c r="C556" s="6"/>
      <c r="D556" s="185"/>
      <c r="E556" s="35"/>
      <c r="F556" s="209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</row>
    <row r="557" spans="1:33" ht="12.75">
      <c r="A557" s="14"/>
      <c r="B557" s="206"/>
      <c r="C557" s="6"/>
      <c r="D557" s="185"/>
      <c r="E557" s="35"/>
      <c r="F557" s="209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</row>
    <row r="558" spans="1:33" ht="12.75">
      <c r="A558" s="14"/>
      <c r="B558" s="206"/>
      <c r="C558" s="6"/>
      <c r="D558" s="185"/>
      <c r="E558" s="35"/>
      <c r="F558" s="209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</row>
    <row r="559" spans="1:33" ht="12.75">
      <c r="A559" s="14"/>
      <c r="B559" s="206"/>
      <c r="C559" s="6"/>
      <c r="D559" s="185"/>
      <c r="E559" s="35"/>
      <c r="F559" s="209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</row>
    <row r="560" spans="1:33" ht="12.75">
      <c r="A560" s="14"/>
      <c r="B560" s="206"/>
      <c r="C560" s="6"/>
      <c r="D560" s="185"/>
      <c r="E560" s="35"/>
      <c r="F560" s="209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</row>
    <row r="561" spans="1:33" ht="12.75">
      <c r="A561" s="14"/>
      <c r="B561" s="206"/>
      <c r="C561" s="6"/>
      <c r="D561" s="185"/>
      <c r="E561" s="35"/>
      <c r="F561" s="209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</row>
    <row r="562" spans="1:33" ht="12.75">
      <c r="A562" s="14"/>
      <c r="B562" s="206"/>
      <c r="C562" s="6"/>
      <c r="D562" s="185"/>
      <c r="E562" s="35"/>
      <c r="F562" s="209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</row>
    <row r="563" spans="1:33" ht="12.75">
      <c r="A563" s="14"/>
      <c r="B563" s="206"/>
      <c r="C563" s="6"/>
      <c r="D563" s="185"/>
      <c r="E563" s="35"/>
      <c r="F563" s="209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</row>
    <row r="564" spans="1:33" ht="12.75">
      <c r="A564" s="14"/>
      <c r="B564" s="206"/>
      <c r="C564" s="6"/>
      <c r="D564" s="185"/>
      <c r="E564" s="35"/>
      <c r="F564" s="209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</row>
    <row r="565" spans="1:33" ht="12.75">
      <c r="A565" s="14"/>
      <c r="B565" s="206"/>
      <c r="C565" s="6"/>
      <c r="D565" s="185"/>
      <c r="E565" s="35"/>
      <c r="F565" s="209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</row>
    <row r="566" spans="1:33" ht="12.75">
      <c r="A566" s="14"/>
      <c r="B566" s="206"/>
      <c r="C566" s="6"/>
      <c r="D566" s="185"/>
      <c r="E566" s="35"/>
      <c r="F566" s="209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</row>
    <row r="567" spans="1:33" ht="12.75">
      <c r="A567" s="14"/>
      <c r="B567" s="206"/>
      <c r="C567" s="6"/>
      <c r="D567" s="185"/>
      <c r="E567" s="35"/>
      <c r="F567" s="209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</row>
    <row r="568" spans="1:33" ht="12.75">
      <c r="A568" s="14"/>
      <c r="B568" s="206"/>
      <c r="C568" s="6"/>
      <c r="D568" s="185"/>
      <c r="E568" s="35"/>
      <c r="F568" s="209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</row>
    <row r="569" spans="1:33" ht="12.75">
      <c r="A569" s="14"/>
      <c r="B569" s="206"/>
      <c r="C569" s="6"/>
      <c r="D569" s="185"/>
      <c r="E569" s="35"/>
      <c r="F569" s="209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</row>
    <row r="570" spans="1:33" ht="12.75">
      <c r="A570" s="14"/>
      <c r="B570" s="206"/>
      <c r="C570" s="6"/>
      <c r="D570" s="185"/>
      <c r="E570" s="35"/>
      <c r="F570" s="209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</row>
    <row r="571" spans="1:33" ht="12.75">
      <c r="A571" s="14"/>
      <c r="B571" s="206"/>
      <c r="C571" s="6"/>
      <c r="D571" s="185"/>
      <c r="E571" s="35"/>
      <c r="F571" s="209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</row>
    <row r="572" spans="1:33" ht="12.75">
      <c r="A572" s="14"/>
      <c r="B572" s="206"/>
      <c r="C572" s="6"/>
      <c r="D572" s="185"/>
      <c r="E572" s="35"/>
      <c r="F572" s="209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</row>
    <row r="573" spans="1:33" ht="12.75">
      <c r="A573" s="14"/>
      <c r="B573" s="206"/>
      <c r="C573" s="6"/>
      <c r="D573" s="185"/>
      <c r="E573" s="35"/>
      <c r="F573" s="209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</row>
    <row r="574" spans="1:33" ht="12.75">
      <c r="A574" s="14"/>
      <c r="B574" s="206"/>
      <c r="C574" s="6"/>
      <c r="D574" s="185"/>
      <c r="E574" s="35"/>
      <c r="F574" s="209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</row>
    <row r="575" spans="1:33" ht="12.75">
      <c r="A575" s="14"/>
      <c r="B575" s="206"/>
      <c r="C575" s="6"/>
      <c r="D575" s="185"/>
      <c r="E575" s="35"/>
      <c r="F575" s="209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</row>
    <row r="576" spans="1:33" ht="12.75">
      <c r="A576" s="14"/>
      <c r="B576" s="206"/>
      <c r="C576" s="6"/>
      <c r="D576" s="185"/>
      <c r="E576" s="35"/>
      <c r="F576" s="209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</row>
    <row r="577" spans="1:33" ht="12.75">
      <c r="A577" s="14"/>
      <c r="B577" s="206"/>
      <c r="C577" s="6"/>
      <c r="D577" s="185"/>
      <c r="E577" s="35"/>
      <c r="F577" s="209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</row>
    <row r="578" spans="1:33" ht="12.75">
      <c r="A578" s="14"/>
      <c r="B578" s="206"/>
      <c r="C578" s="6"/>
      <c r="D578" s="185"/>
      <c r="E578" s="35"/>
      <c r="F578" s="209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</row>
    <row r="579" spans="1:33" ht="12.75">
      <c r="A579" s="14"/>
      <c r="B579" s="206"/>
      <c r="C579" s="6"/>
      <c r="D579" s="185"/>
      <c r="E579" s="35"/>
      <c r="F579" s="209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</row>
    <row r="580" spans="1:33" ht="12.75">
      <c r="A580" s="14"/>
      <c r="B580" s="206"/>
      <c r="C580" s="6"/>
      <c r="D580" s="185"/>
      <c r="E580" s="35"/>
      <c r="F580" s="209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</row>
    <row r="581" spans="1:33" ht="12.75">
      <c r="A581" s="14"/>
      <c r="B581" s="206"/>
      <c r="C581" s="6"/>
      <c r="D581" s="185"/>
      <c r="E581" s="35"/>
      <c r="F581" s="209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</row>
    <row r="582" spans="1:33" ht="12.75">
      <c r="A582" s="14"/>
      <c r="B582" s="206"/>
      <c r="C582" s="6"/>
      <c r="D582" s="185"/>
      <c r="E582" s="35"/>
      <c r="F582" s="209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</row>
    <row r="583" spans="1:33" ht="12.75">
      <c r="A583" s="14"/>
      <c r="B583" s="206"/>
      <c r="C583" s="6"/>
      <c r="D583" s="185"/>
      <c r="E583" s="35"/>
      <c r="F583" s="209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</row>
    <row r="584" spans="1:33" ht="12.75">
      <c r="A584" s="14"/>
      <c r="B584" s="206"/>
      <c r="C584" s="6"/>
      <c r="D584" s="185"/>
      <c r="E584" s="35"/>
      <c r="F584" s="209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</row>
    <row r="585" spans="1:33" ht="12.75">
      <c r="A585" s="14"/>
      <c r="B585" s="206"/>
      <c r="C585" s="6"/>
      <c r="D585" s="185"/>
      <c r="E585" s="35"/>
      <c r="F585" s="209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</row>
    <row r="586" spans="1:33" ht="12.75">
      <c r="A586" s="14"/>
      <c r="B586" s="206"/>
      <c r="C586" s="6"/>
      <c r="D586" s="185"/>
      <c r="E586" s="35"/>
      <c r="F586" s="209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</row>
    <row r="587" spans="1:33" ht="12.75">
      <c r="A587" s="14"/>
      <c r="B587" s="206"/>
      <c r="C587" s="6"/>
      <c r="D587" s="185"/>
      <c r="E587" s="35"/>
      <c r="F587" s="209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</row>
    <row r="588" spans="1:33" ht="12.75">
      <c r="A588" s="14"/>
      <c r="B588" s="206"/>
      <c r="C588" s="6"/>
      <c r="D588" s="185"/>
      <c r="E588" s="35"/>
      <c r="F588" s="209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</row>
    <row r="589" spans="1:33" ht="12.75">
      <c r="A589" s="14"/>
      <c r="B589" s="206"/>
      <c r="C589" s="6"/>
      <c r="D589" s="185"/>
      <c r="E589" s="35"/>
      <c r="F589" s="209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</row>
    <row r="590" spans="1:33" ht="12.75">
      <c r="A590" s="14"/>
      <c r="B590" s="206"/>
      <c r="C590" s="6"/>
      <c r="D590" s="185"/>
      <c r="E590" s="35"/>
      <c r="F590" s="209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</row>
    <row r="591" spans="1:33" ht="12.75">
      <c r="A591" s="14"/>
      <c r="B591" s="206"/>
      <c r="C591" s="6"/>
      <c r="D591" s="185"/>
      <c r="E591" s="35"/>
      <c r="F591" s="209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</row>
    <row r="592" spans="1:33" ht="12.75">
      <c r="A592" s="14"/>
      <c r="B592" s="206"/>
      <c r="C592" s="6"/>
      <c r="D592" s="185"/>
      <c r="E592" s="35"/>
      <c r="F592" s="209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</row>
    <row r="593" spans="1:33" ht="12.75">
      <c r="A593" s="14"/>
      <c r="B593" s="206"/>
      <c r="C593" s="6"/>
      <c r="D593" s="185"/>
      <c r="E593" s="35"/>
      <c r="F593" s="209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</row>
    <row r="594" spans="1:33" ht="12.75">
      <c r="A594" s="14"/>
      <c r="B594" s="206"/>
      <c r="C594" s="6"/>
      <c r="D594" s="185"/>
      <c r="E594" s="35"/>
      <c r="F594" s="209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</row>
    <row r="595" spans="1:33" ht="12.75">
      <c r="A595" s="14"/>
      <c r="B595" s="206"/>
      <c r="C595" s="6"/>
      <c r="D595" s="185"/>
      <c r="E595" s="35"/>
      <c r="F595" s="209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</row>
    <row r="596" spans="1:33" ht="12.75">
      <c r="A596" s="14"/>
      <c r="B596" s="206"/>
      <c r="C596" s="6"/>
      <c r="D596" s="185"/>
      <c r="E596" s="35"/>
      <c r="F596" s="209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</row>
    <row r="597" spans="1:33" ht="12.75">
      <c r="A597" s="14"/>
      <c r="B597" s="206"/>
      <c r="C597" s="6"/>
      <c r="D597" s="185"/>
      <c r="E597" s="35"/>
      <c r="F597" s="209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</row>
    <row r="598" spans="1:33" ht="12.75">
      <c r="A598" s="14"/>
      <c r="B598" s="206"/>
      <c r="C598" s="6"/>
      <c r="D598" s="185"/>
      <c r="E598" s="35"/>
      <c r="F598" s="209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</row>
    <row r="599" spans="1:33" ht="12.75">
      <c r="A599" s="14"/>
      <c r="B599" s="206"/>
      <c r="C599" s="6"/>
      <c r="D599" s="185"/>
      <c r="E599" s="35"/>
      <c r="F599" s="209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</row>
    <row r="600" spans="1:33" ht="12.75">
      <c r="A600" s="14"/>
      <c r="B600" s="206"/>
      <c r="C600" s="6"/>
      <c r="D600" s="185"/>
      <c r="E600" s="35"/>
      <c r="F600" s="209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</row>
    <row r="601" spans="1:33" ht="12.75">
      <c r="A601" s="14"/>
      <c r="B601" s="206"/>
      <c r="C601" s="6"/>
      <c r="D601" s="185"/>
      <c r="E601" s="35"/>
      <c r="F601" s="209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</row>
    <row r="602" spans="1:33" ht="12.75">
      <c r="A602" s="14"/>
      <c r="B602" s="206"/>
      <c r="C602" s="6"/>
      <c r="D602" s="185"/>
      <c r="E602" s="35"/>
      <c r="F602" s="209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</row>
    <row r="603" spans="1:33" ht="12.75">
      <c r="A603" s="14"/>
      <c r="B603" s="206"/>
      <c r="C603" s="6"/>
      <c r="D603" s="185"/>
      <c r="E603" s="35"/>
      <c r="F603" s="209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</row>
    <row r="604" spans="1:33" ht="12.75">
      <c r="A604" s="14"/>
      <c r="B604" s="206"/>
      <c r="C604" s="6"/>
      <c r="D604" s="185"/>
      <c r="E604" s="35"/>
      <c r="F604" s="209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</row>
    <row r="605" spans="1:33" ht="12.75">
      <c r="A605" s="14"/>
      <c r="B605" s="206"/>
      <c r="C605" s="6"/>
      <c r="D605" s="185"/>
      <c r="E605" s="35"/>
      <c r="F605" s="209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</row>
    <row r="606" spans="1:33" ht="12.75">
      <c r="A606" s="14"/>
      <c r="B606" s="206"/>
      <c r="C606" s="6"/>
      <c r="D606" s="185"/>
      <c r="E606" s="35"/>
      <c r="F606" s="209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</row>
    <row r="607" spans="1:33" ht="12.75">
      <c r="A607" s="14"/>
      <c r="B607" s="206"/>
      <c r="C607" s="6"/>
      <c r="D607" s="185"/>
      <c r="E607" s="35"/>
      <c r="F607" s="209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</row>
    <row r="608" spans="1:33" ht="12.75">
      <c r="A608" s="14"/>
      <c r="B608" s="206"/>
      <c r="C608" s="6"/>
      <c r="D608" s="185"/>
      <c r="E608" s="35"/>
      <c r="F608" s="209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</row>
    <row r="609" spans="1:33" ht="12.75">
      <c r="A609" s="14"/>
      <c r="B609" s="206"/>
      <c r="C609" s="6"/>
      <c r="D609" s="185"/>
      <c r="E609" s="35"/>
      <c r="F609" s="209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</row>
    <row r="610" spans="1:33" ht="12.75">
      <c r="A610" s="14"/>
      <c r="B610" s="206"/>
      <c r="C610" s="6"/>
      <c r="D610" s="185"/>
      <c r="E610" s="35"/>
      <c r="F610" s="209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</row>
    <row r="611" spans="1:33" ht="12.75">
      <c r="A611" s="14"/>
      <c r="B611" s="206"/>
      <c r="C611" s="6"/>
      <c r="D611" s="185"/>
      <c r="E611" s="35"/>
      <c r="F611" s="209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</row>
    <row r="612" spans="1:33" ht="12.75">
      <c r="A612" s="14"/>
      <c r="B612" s="206"/>
      <c r="C612" s="6"/>
      <c r="D612" s="185"/>
      <c r="E612" s="35"/>
      <c r="F612" s="209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</row>
    <row r="613" spans="1:33" ht="12.75">
      <c r="A613" s="14"/>
      <c r="B613" s="206"/>
      <c r="C613" s="6"/>
      <c r="D613" s="185"/>
      <c r="E613" s="35"/>
      <c r="F613" s="209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</row>
    <row r="614" spans="1:33" ht="12.75">
      <c r="A614" s="14"/>
      <c r="B614" s="206"/>
      <c r="C614" s="6"/>
      <c r="D614" s="185"/>
      <c r="E614" s="35"/>
      <c r="F614" s="209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</row>
    <row r="615" spans="1:33" ht="12.75">
      <c r="A615" s="14"/>
      <c r="B615" s="206"/>
      <c r="C615" s="6"/>
      <c r="D615" s="185"/>
      <c r="E615" s="35"/>
      <c r="F615" s="209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</row>
    <row r="616" spans="1:33" ht="12.75">
      <c r="A616" s="14"/>
      <c r="B616" s="206"/>
      <c r="C616" s="6"/>
      <c r="D616" s="185"/>
      <c r="E616" s="35"/>
      <c r="F616" s="209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</row>
    <row r="617" spans="1:33" ht="12.75">
      <c r="A617" s="14"/>
      <c r="B617" s="206"/>
      <c r="C617" s="6"/>
      <c r="D617" s="185"/>
      <c r="E617" s="35"/>
      <c r="F617" s="209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</row>
    <row r="618" spans="1:33" ht="12.75">
      <c r="A618" s="14"/>
      <c r="B618" s="206"/>
      <c r="C618" s="6"/>
      <c r="D618" s="185"/>
      <c r="E618" s="35"/>
      <c r="F618" s="209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</row>
    <row r="619" spans="1:33" ht="12.75">
      <c r="A619" s="14"/>
      <c r="B619" s="206"/>
      <c r="C619" s="6"/>
      <c r="D619" s="185"/>
      <c r="E619" s="35"/>
      <c r="F619" s="209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</row>
    <row r="620" spans="1:33" ht="12.75">
      <c r="A620" s="14"/>
      <c r="B620" s="206"/>
      <c r="C620" s="6"/>
      <c r="D620" s="185"/>
      <c r="E620" s="35"/>
      <c r="F620" s="209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</row>
    <row r="621" spans="1:33" ht="12.75">
      <c r="A621" s="14"/>
      <c r="B621" s="206"/>
      <c r="C621" s="6"/>
      <c r="D621" s="185"/>
      <c r="E621" s="35"/>
      <c r="F621" s="209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</row>
    <row r="622" spans="1:33" ht="12.75">
      <c r="A622" s="14"/>
      <c r="B622" s="206"/>
      <c r="C622" s="6"/>
      <c r="D622" s="185"/>
      <c r="E622" s="35"/>
      <c r="F622" s="209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</row>
    <row r="623" spans="1:33" ht="12.75">
      <c r="A623" s="14"/>
      <c r="B623" s="206"/>
      <c r="C623" s="6"/>
      <c r="D623" s="185"/>
      <c r="E623" s="35"/>
      <c r="F623" s="209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</row>
    <row r="624" spans="1:33" ht="12.75">
      <c r="A624" s="14"/>
      <c r="B624" s="206"/>
      <c r="C624" s="6"/>
      <c r="D624" s="185"/>
      <c r="E624" s="35"/>
      <c r="F624" s="209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</row>
    <row r="625" spans="1:33" ht="12.75">
      <c r="A625" s="14"/>
      <c r="B625" s="206"/>
      <c r="C625" s="6"/>
      <c r="D625" s="185"/>
      <c r="E625" s="35"/>
      <c r="F625" s="209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</row>
    <row r="626" spans="1:33" ht="12.75">
      <c r="A626" s="14"/>
      <c r="B626" s="206"/>
      <c r="C626" s="6"/>
      <c r="D626" s="185"/>
      <c r="E626" s="35"/>
      <c r="F626" s="209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</row>
    <row r="627" spans="1:33" ht="12.75">
      <c r="A627" s="14"/>
      <c r="B627" s="206"/>
      <c r="C627" s="6"/>
      <c r="D627" s="185"/>
      <c r="E627" s="35"/>
      <c r="F627" s="209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</row>
    <row r="628" spans="1:33" ht="12.75">
      <c r="A628" s="14"/>
      <c r="B628" s="206"/>
      <c r="C628" s="6"/>
      <c r="D628" s="185"/>
      <c r="E628" s="35"/>
      <c r="F628" s="209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</row>
    <row r="629" spans="1:33" ht="12.75">
      <c r="A629" s="14"/>
      <c r="B629" s="206"/>
      <c r="C629" s="6"/>
      <c r="D629" s="185"/>
      <c r="E629" s="35"/>
      <c r="F629" s="209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</row>
    <row r="630" spans="1:33" ht="12.75">
      <c r="A630" s="14"/>
      <c r="B630" s="206"/>
      <c r="C630" s="6"/>
      <c r="D630" s="185"/>
      <c r="E630" s="35"/>
      <c r="F630" s="209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</row>
    <row r="631" spans="1:33" ht="12.75">
      <c r="A631" s="14"/>
      <c r="B631" s="206"/>
      <c r="C631" s="6"/>
      <c r="D631" s="185"/>
      <c r="E631" s="35"/>
      <c r="F631" s="209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</row>
    <row r="632" spans="1:33" ht="12.75">
      <c r="A632" s="14"/>
      <c r="B632" s="206"/>
      <c r="C632" s="6"/>
      <c r="D632" s="185"/>
      <c r="E632" s="35"/>
      <c r="F632" s="209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</row>
    <row r="633" spans="1:33" ht="12.75">
      <c r="A633" s="14"/>
      <c r="B633" s="206"/>
      <c r="C633" s="6"/>
      <c r="D633" s="185"/>
      <c r="E633" s="35"/>
      <c r="F633" s="209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</row>
    <row r="634" spans="1:33" ht="12.75">
      <c r="A634" s="14"/>
      <c r="B634" s="206"/>
      <c r="C634" s="6"/>
      <c r="D634" s="185"/>
      <c r="E634" s="35"/>
      <c r="F634" s="209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</row>
    <row r="635" spans="1:33" ht="12.75">
      <c r="A635" s="14"/>
      <c r="B635" s="206"/>
      <c r="C635" s="6"/>
      <c r="D635" s="185"/>
      <c r="E635" s="35"/>
      <c r="F635" s="209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</row>
    <row r="636" spans="1:33" ht="12.75">
      <c r="A636" s="14"/>
      <c r="B636" s="206"/>
      <c r="C636" s="6"/>
      <c r="D636" s="185"/>
      <c r="E636" s="35"/>
      <c r="F636" s="209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</row>
    <row r="637" spans="1:33" ht="12.75">
      <c r="A637" s="14"/>
      <c r="B637" s="206"/>
      <c r="C637" s="6"/>
      <c r="D637" s="185"/>
      <c r="E637" s="35"/>
      <c r="F637" s="209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</row>
    <row r="638" spans="1:33" ht="12.75">
      <c r="A638" s="14"/>
      <c r="B638" s="206"/>
      <c r="C638" s="6"/>
      <c r="D638" s="185"/>
      <c r="E638" s="35"/>
      <c r="F638" s="209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</row>
    <row r="639" spans="1:33" ht="12.75">
      <c r="A639" s="14"/>
      <c r="B639" s="206"/>
      <c r="C639" s="6"/>
      <c r="D639" s="185"/>
      <c r="E639" s="35"/>
      <c r="F639" s="209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</row>
    <row r="640" spans="1:33" ht="12.75">
      <c r="A640" s="14"/>
      <c r="B640" s="206"/>
      <c r="C640" s="6"/>
      <c r="D640" s="185"/>
      <c r="E640" s="35"/>
      <c r="F640" s="209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</row>
    <row r="641" spans="1:33" ht="12.75">
      <c r="A641" s="14"/>
      <c r="B641" s="206"/>
      <c r="C641" s="6"/>
      <c r="D641" s="185"/>
      <c r="E641" s="35"/>
      <c r="F641" s="209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</row>
    <row r="642" spans="1:33" ht="12.75">
      <c r="A642" s="14"/>
      <c r="B642" s="206"/>
      <c r="C642" s="6"/>
      <c r="D642" s="185"/>
      <c r="E642" s="35"/>
      <c r="F642" s="209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</row>
    <row r="643" spans="1:33" ht="12.75">
      <c r="A643" s="14"/>
      <c r="B643" s="206"/>
      <c r="C643" s="6"/>
      <c r="D643" s="185"/>
      <c r="E643" s="35"/>
      <c r="F643" s="209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</row>
    <row r="644" spans="1:33" ht="12.75">
      <c r="A644" s="14"/>
      <c r="B644" s="206"/>
      <c r="C644" s="6"/>
      <c r="D644" s="185"/>
      <c r="E644" s="35"/>
      <c r="F644" s="209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</row>
    <row r="645" spans="1:33" ht="12.75">
      <c r="A645" s="14"/>
      <c r="B645" s="206"/>
      <c r="C645" s="6"/>
      <c r="D645" s="185"/>
      <c r="E645" s="35"/>
      <c r="F645" s="209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</row>
    <row r="646" spans="1:33" ht="12.75">
      <c r="A646" s="14"/>
      <c r="B646" s="206"/>
      <c r="C646" s="6"/>
      <c r="D646" s="185"/>
      <c r="E646" s="35"/>
      <c r="F646" s="209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</row>
    <row r="647" spans="1:33" ht="12.75">
      <c r="A647" s="14"/>
      <c r="B647" s="206"/>
      <c r="C647" s="6"/>
      <c r="D647" s="185"/>
      <c r="E647" s="35"/>
      <c r="F647" s="209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</row>
    <row r="648" spans="1:33" ht="12.75">
      <c r="A648" s="14"/>
      <c r="B648" s="206"/>
      <c r="C648" s="6"/>
      <c r="D648" s="185"/>
      <c r="E648" s="35"/>
      <c r="F648" s="209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</row>
    <row r="649" spans="1:33" ht="12.75">
      <c r="A649" s="14"/>
      <c r="B649" s="206"/>
      <c r="C649" s="6"/>
      <c r="D649" s="185"/>
      <c r="E649" s="35"/>
      <c r="F649" s="209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</row>
    <row r="650" spans="1:33" ht="12.75">
      <c r="A650" s="14"/>
      <c r="B650" s="206"/>
      <c r="C650" s="6"/>
      <c r="D650" s="185"/>
      <c r="E650" s="35"/>
      <c r="F650" s="209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</row>
    <row r="651" spans="1:33" ht="12.75">
      <c r="A651" s="14"/>
      <c r="B651" s="206"/>
      <c r="C651" s="6"/>
      <c r="D651" s="185"/>
      <c r="E651" s="35"/>
      <c r="F651" s="209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</row>
    <row r="652" spans="1:33" ht="12.75">
      <c r="A652" s="14"/>
      <c r="B652" s="206"/>
      <c r="C652" s="6"/>
      <c r="D652" s="185"/>
      <c r="E652" s="35"/>
      <c r="F652" s="209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</row>
    <row r="653" spans="1:33" ht="12.75">
      <c r="A653" s="14"/>
      <c r="B653" s="206"/>
      <c r="C653" s="6"/>
      <c r="D653" s="185"/>
      <c r="E653" s="35"/>
      <c r="F653" s="209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</row>
    <row r="654" spans="1:33" ht="12.75">
      <c r="A654" s="14"/>
      <c r="B654" s="206"/>
      <c r="C654" s="6"/>
      <c r="D654" s="185"/>
      <c r="E654" s="35"/>
      <c r="F654" s="209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</row>
    <row r="655" spans="1:33" ht="12.75">
      <c r="A655" s="14"/>
      <c r="B655" s="206"/>
      <c r="C655" s="6"/>
      <c r="D655" s="185"/>
      <c r="E655" s="35"/>
      <c r="F655" s="209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</row>
    <row r="656" spans="1:33" ht="12.75">
      <c r="A656" s="14"/>
      <c r="B656" s="206"/>
      <c r="C656" s="6"/>
      <c r="D656" s="185"/>
      <c r="E656" s="35"/>
      <c r="F656" s="209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</row>
    <row r="657" spans="1:33" ht="12.75">
      <c r="A657" s="14"/>
      <c r="B657" s="206"/>
      <c r="C657" s="6"/>
      <c r="D657" s="185"/>
      <c r="E657" s="35"/>
      <c r="F657" s="209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</row>
    <row r="658" spans="1:33" ht="12.75">
      <c r="A658" s="14"/>
      <c r="B658" s="206"/>
      <c r="C658" s="6"/>
      <c r="D658" s="185"/>
      <c r="E658" s="35"/>
      <c r="F658" s="209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</row>
    <row r="659" spans="1:33" ht="12.75">
      <c r="A659" s="14"/>
      <c r="B659" s="206"/>
      <c r="C659" s="6"/>
      <c r="D659" s="185"/>
      <c r="E659" s="35"/>
      <c r="F659" s="209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</row>
    <row r="660" spans="1:33" ht="12.75">
      <c r="A660" s="14"/>
      <c r="B660" s="206"/>
      <c r="C660" s="6"/>
      <c r="D660" s="185"/>
      <c r="E660" s="35"/>
      <c r="F660" s="209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</row>
    <row r="661" spans="1:33" ht="12.75">
      <c r="A661" s="14"/>
      <c r="B661" s="206"/>
      <c r="C661" s="6"/>
      <c r="D661" s="185"/>
      <c r="E661" s="35"/>
      <c r="F661" s="209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</row>
    <row r="662" spans="1:33" ht="12.75">
      <c r="A662" s="14"/>
      <c r="B662" s="206"/>
      <c r="C662" s="6"/>
      <c r="D662" s="185"/>
      <c r="E662" s="35"/>
      <c r="F662" s="209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</row>
    <row r="663" spans="1:33" ht="12.75">
      <c r="A663" s="14"/>
      <c r="B663" s="206"/>
      <c r="C663" s="6"/>
      <c r="D663" s="185"/>
      <c r="E663" s="35"/>
      <c r="F663" s="209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</row>
    <row r="664" spans="1:33" ht="12.75">
      <c r="A664" s="14"/>
      <c r="B664" s="206"/>
      <c r="C664" s="6"/>
      <c r="D664" s="185"/>
      <c r="E664" s="35"/>
      <c r="F664" s="209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</row>
    <row r="665" spans="1:33" ht="12.75">
      <c r="A665" s="14"/>
      <c r="B665" s="206"/>
      <c r="C665" s="6"/>
      <c r="D665" s="185"/>
      <c r="E665" s="35"/>
      <c r="F665" s="209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</row>
    <row r="666" spans="1:33" ht="12.75">
      <c r="A666" s="14"/>
      <c r="B666" s="206"/>
      <c r="C666" s="6"/>
      <c r="D666" s="185"/>
      <c r="E666" s="35"/>
      <c r="F666" s="209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</row>
    <row r="667" spans="1:33" ht="12.75">
      <c r="A667" s="14"/>
      <c r="B667" s="206"/>
      <c r="C667" s="6"/>
      <c r="D667" s="185"/>
      <c r="E667" s="35"/>
      <c r="F667" s="209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</row>
    <row r="668" spans="1:33" ht="12.75">
      <c r="A668" s="14"/>
      <c r="B668" s="206"/>
      <c r="C668" s="6"/>
      <c r="D668" s="185"/>
      <c r="E668" s="35"/>
      <c r="F668" s="209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</row>
    <row r="669" spans="1:33" ht="12.75">
      <c r="A669" s="14"/>
      <c r="B669" s="206"/>
      <c r="C669" s="6"/>
      <c r="D669" s="185"/>
      <c r="E669" s="35"/>
      <c r="F669" s="209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</row>
    <row r="670" spans="1:33" ht="12.75">
      <c r="A670" s="14"/>
      <c r="B670" s="206"/>
      <c r="C670" s="6"/>
      <c r="D670" s="185"/>
      <c r="E670" s="35"/>
      <c r="F670" s="209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</row>
    <row r="671" spans="1:33" ht="12.75">
      <c r="A671" s="14"/>
      <c r="B671" s="206"/>
      <c r="C671" s="6"/>
      <c r="D671" s="185"/>
      <c r="E671" s="35"/>
      <c r="F671" s="209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</row>
    <row r="672" spans="1:33" ht="12.75">
      <c r="A672" s="14"/>
      <c r="B672" s="206"/>
      <c r="C672" s="6"/>
      <c r="D672" s="185"/>
      <c r="E672" s="35"/>
      <c r="F672" s="209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</row>
    <row r="673" spans="1:33" ht="12.75">
      <c r="A673" s="14"/>
      <c r="B673" s="206"/>
      <c r="C673" s="6"/>
      <c r="D673" s="185"/>
      <c r="E673" s="35"/>
      <c r="F673" s="209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</row>
    <row r="674" spans="1:33" ht="12.75">
      <c r="A674" s="14"/>
      <c r="B674" s="206"/>
      <c r="C674" s="6"/>
      <c r="D674" s="185"/>
      <c r="E674" s="35"/>
      <c r="F674" s="209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</row>
    <row r="675" spans="1:33" ht="12.75">
      <c r="A675" s="14"/>
      <c r="B675" s="206"/>
      <c r="C675" s="6"/>
      <c r="D675" s="185"/>
      <c r="E675" s="35"/>
      <c r="F675" s="209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</row>
    <row r="676" spans="1:33" ht="12.75">
      <c r="A676" s="14"/>
      <c r="B676" s="206"/>
      <c r="C676" s="6"/>
      <c r="D676" s="185"/>
      <c r="E676" s="35"/>
      <c r="F676" s="209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</row>
    <row r="677" spans="1:33" ht="12.75">
      <c r="A677" s="14"/>
      <c r="B677" s="206"/>
      <c r="C677" s="6"/>
      <c r="D677" s="185"/>
      <c r="E677" s="35"/>
      <c r="F677" s="209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</row>
    <row r="678" spans="1:33" ht="12.75">
      <c r="A678" s="14"/>
      <c r="B678" s="206"/>
      <c r="C678" s="6"/>
      <c r="D678" s="185"/>
      <c r="E678" s="35"/>
      <c r="F678" s="209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</row>
    <row r="679" spans="1:33" ht="12.75">
      <c r="A679" s="14"/>
      <c r="B679" s="206"/>
      <c r="C679" s="6"/>
      <c r="D679" s="185"/>
      <c r="E679" s="35"/>
      <c r="F679" s="209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</row>
    <row r="680" spans="1:33" ht="12.75">
      <c r="A680" s="14"/>
      <c r="B680" s="206"/>
      <c r="C680" s="6"/>
      <c r="D680" s="185"/>
      <c r="E680" s="35"/>
      <c r="F680" s="209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</row>
    <row r="681" spans="1:33" ht="12.75">
      <c r="A681" s="14"/>
      <c r="B681" s="206"/>
      <c r="C681" s="6"/>
      <c r="D681" s="185"/>
      <c r="E681" s="35"/>
      <c r="F681" s="209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</row>
    <row r="682" spans="1:33" ht="12.75">
      <c r="A682" s="14"/>
      <c r="B682" s="206"/>
      <c r="C682" s="6"/>
      <c r="D682" s="185"/>
      <c r="E682" s="35"/>
      <c r="F682" s="209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</row>
    <row r="683" spans="1:33" ht="12.75">
      <c r="A683" s="14"/>
      <c r="B683" s="206"/>
      <c r="C683" s="6"/>
      <c r="D683" s="185"/>
      <c r="E683" s="35"/>
      <c r="F683" s="209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</row>
    <row r="684" spans="1:33" ht="12.75">
      <c r="A684" s="14"/>
      <c r="B684" s="206"/>
      <c r="C684" s="6"/>
      <c r="D684" s="185"/>
      <c r="E684" s="35"/>
      <c r="F684" s="209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</row>
    <row r="685" spans="1:33" ht="12.75">
      <c r="A685" s="14"/>
      <c r="B685" s="206"/>
      <c r="C685" s="6"/>
      <c r="D685" s="185"/>
      <c r="E685" s="35"/>
      <c r="F685" s="209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</row>
    <row r="686" spans="1:33" ht="12.75">
      <c r="A686" s="14"/>
      <c r="B686" s="206"/>
      <c r="C686" s="6"/>
      <c r="D686" s="185"/>
      <c r="E686" s="35"/>
      <c r="F686" s="209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</row>
    <row r="687" spans="1:33" ht="12.75">
      <c r="A687" s="14"/>
      <c r="B687" s="206"/>
      <c r="C687" s="6"/>
      <c r="D687" s="185"/>
      <c r="E687" s="35"/>
      <c r="F687" s="209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</row>
    <row r="688" spans="1:33" ht="12.75">
      <c r="A688" s="14"/>
      <c r="B688" s="206"/>
      <c r="C688" s="6"/>
      <c r="D688" s="185"/>
      <c r="E688" s="35"/>
      <c r="F688" s="209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</row>
    <row r="689" spans="1:33" ht="12.75">
      <c r="A689" s="14"/>
      <c r="B689" s="206"/>
      <c r="C689" s="6"/>
      <c r="D689" s="185"/>
      <c r="E689" s="35"/>
      <c r="F689" s="209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</row>
    <row r="690" spans="1:33" ht="12.75">
      <c r="A690" s="14"/>
      <c r="B690" s="206"/>
      <c r="C690" s="6"/>
      <c r="D690" s="185"/>
      <c r="E690" s="35"/>
      <c r="F690" s="209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</row>
    <row r="691" spans="1:33" ht="12.75">
      <c r="A691" s="14"/>
      <c r="B691" s="206"/>
      <c r="C691" s="6"/>
      <c r="D691" s="185"/>
      <c r="E691" s="35"/>
      <c r="F691" s="209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</row>
    <row r="692" spans="1:33" ht="12.75">
      <c r="A692" s="14"/>
      <c r="B692" s="206"/>
      <c r="C692" s="6"/>
      <c r="D692" s="185"/>
      <c r="E692" s="35"/>
      <c r="F692" s="209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</row>
    <row r="693" spans="1:33" ht="12.75">
      <c r="A693" s="14"/>
      <c r="B693" s="206"/>
      <c r="C693" s="6"/>
      <c r="D693" s="185"/>
      <c r="E693" s="35"/>
      <c r="F693" s="209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</row>
    <row r="694" spans="1:33" ht="12.75">
      <c r="A694" s="14"/>
      <c r="B694" s="206"/>
      <c r="C694" s="6"/>
      <c r="D694" s="185"/>
      <c r="E694" s="35"/>
      <c r="F694" s="209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</row>
    <row r="695" spans="1:33" ht="12.75">
      <c r="A695" s="14"/>
      <c r="B695" s="206"/>
      <c r="C695" s="6"/>
      <c r="D695" s="185"/>
      <c r="E695" s="35"/>
      <c r="F695" s="209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</row>
    <row r="696" spans="1:33" ht="12.75">
      <c r="A696" s="14"/>
      <c r="B696" s="206"/>
      <c r="C696" s="6"/>
      <c r="D696" s="185"/>
      <c r="E696" s="35"/>
      <c r="F696" s="209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</row>
    <row r="697" spans="1:33" ht="12.75">
      <c r="A697" s="14"/>
      <c r="B697" s="206"/>
      <c r="C697" s="6"/>
      <c r="D697" s="185"/>
      <c r="E697" s="35"/>
      <c r="F697" s="209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</row>
    <row r="698" spans="1:33" ht="12.75">
      <c r="A698" s="14"/>
      <c r="B698" s="206"/>
      <c r="C698" s="6"/>
      <c r="D698" s="185"/>
      <c r="E698" s="35"/>
      <c r="F698" s="209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</row>
    <row r="699" spans="1:33" ht="12.75">
      <c r="A699" s="14"/>
      <c r="B699" s="206"/>
      <c r="C699" s="6"/>
      <c r="D699" s="185"/>
      <c r="E699" s="35"/>
      <c r="F699" s="209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</row>
    <row r="700" spans="1:33" ht="12.75">
      <c r="A700" s="14"/>
      <c r="B700" s="206"/>
      <c r="C700" s="6"/>
      <c r="D700" s="185"/>
      <c r="E700" s="35"/>
      <c r="F700" s="209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</row>
    <row r="701" spans="1:33" ht="12.75">
      <c r="A701" s="14"/>
      <c r="B701" s="206"/>
      <c r="C701" s="6"/>
      <c r="D701" s="185"/>
      <c r="E701" s="35"/>
      <c r="F701" s="209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</row>
    <row r="702" spans="1:33" ht="12.75">
      <c r="A702" s="14"/>
      <c r="B702" s="206"/>
      <c r="C702" s="6"/>
      <c r="D702" s="185"/>
      <c r="E702" s="35"/>
      <c r="F702" s="209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</row>
    <row r="703" spans="1:33" ht="12.75">
      <c r="A703" s="14"/>
      <c r="B703" s="206"/>
      <c r="C703" s="6"/>
      <c r="D703" s="185"/>
      <c r="E703" s="35"/>
      <c r="F703" s="209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</row>
    <row r="704" spans="1:33" ht="12.75">
      <c r="A704" s="14"/>
      <c r="B704" s="206"/>
      <c r="C704" s="6"/>
      <c r="D704" s="185"/>
      <c r="E704" s="35"/>
      <c r="F704" s="209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</row>
    <row r="705" spans="1:33" ht="12.75">
      <c r="A705" s="14"/>
      <c r="B705" s="206"/>
      <c r="C705" s="6"/>
      <c r="D705" s="185"/>
      <c r="E705" s="35"/>
      <c r="F705" s="209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</row>
    <row r="706" spans="1:33" ht="12.75">
      <c r="A706" s="14"/>
      <c r="B706" s="206"/>
      <c r="C706" s="6"/>
      <c r="D706" s="185"/>
      <c r="E706" s="35"/>
      <c r="F706" s="209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</row>
    <row r="707" spans="1:33" ht="12.75">
      <c r="A707" s="14"/>
      <c r="B707" s="206"/>
      <c r="C707" s="6"/>
      <c r="D707" s="185"/>
      <c r="E707" s="35"/>
      <c r="F707" s="209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</row>
    <row r="708" spans="1:33" ht="12.75">
      <c r="A708" s="14"/>
      <c r="B708" s="206"/>
      <c r="C708" s="6"/>
      <c r="D708" s="185"/>
      <c r="E708" s="35"/>
      <c r="F708" s="209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</row>
    <row r="709" spans="1:33" ht="12.75">
      <c r="A709" s="14"/>
      <c r="B709" s="206"/>
      <c r="C709" s="6"/>
      <c r="D709" s="185"/>
      <c r="E709" s="35"/>
      <c r="F709" s="209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</row>
    <row r="710" spans="1:33" ht="12.75">
      <c r="A710" s="14"/>
      <c r="B710" s="206"/>
      <c r="C710" s="6"/>
      <c r="D710" s="185"/>
      <c r="E710" s="35"/>
      <c r="F710" s="209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</row>
    <row r="711" spans="1:33" ht="12.75">
      <c r="A711" s="14"/>
      <c r="B711" s="206"/>
      <c r="C711" s="6"/>
      <c r="D711" s="185"/>
      <c r="E711" s="35"/>
      <c r="F711" s="209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</row>
    <row r="712" spans="1:33" ht="12.75">
      <c r="A712" s="14"/>
      <c r="B712" s="206"/>
      <c r="C712" s="6"/>
      <c r="D712" s="185"/>
      <c r="E712" s="35"/>
      <c r="F712" s="209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</row>
    <row r="713" spans="1:33" ht="12.75">
      <c r="A713" s="14"/>
      <c r="B713" s="206"/>
      <c r="C713" s="6"/>
      <c r="D713" s="185"/>
      <c r="E713" s="35"/>
      <c r="F713" s="209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</row>
    <row r="714" spans="1:33" ht="12.75">
      <c r="A714" s="14"/>
      <c r="B714" s="206"/>
      <c r="C714" s="6"/>
      <c r="D714" s="185"/>
      <c r="E714" s="35"/>
      <c r="F714" s="209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</row>
    <row r="715" spans="1:33" ht="12.75">
      <c r="A715" s="14"/>
      <c r="B715" s="206"/>
      <c r="C715" s="6"/>
      <c r="D715" s="185"/>
      <c r="E715" s="35"/>
      <c r="F715" s="209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</row>
    <row r="716" spans="1:33" ht="12.75">
      <c r="A716" s="14"/>
      <c r="B716" s="206"/>
      <c r="C716" s="6"/>
      <c r="D716" s="185"/>
      <c r="E716" s="35"/>
      <c r="F716" s="209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</row>
    <row r="717" spans="1:33" ht="12.75">
      <c r="A717" s="14"/>
      <c r="B717" s="206"/>
      <c r="C717" s="6"/>
      <c r="D717" s="185"/>
      <c r="E717" s="35"/>
      <c r="F717" s="209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</row>
    <row r="718" spans="1:33" ht="12.75">
      <c r="A718" s="14"/>
      <c r="B718" s="206"/>
      <c r="C718" s="6"/>
      <c r="D718" s="185"/>
      <c r="E718" s="35"/>
      <c r="F718" s="209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</row>
    <row r="719" spans="1:33" ht="12.75">
      <c r="A719" s="14"/>
      <c r="B719" s="206"/>
      <c r="C719" s="6"/>
      <c r="D719" s="185"/>
      <c r="E719" s="35"/>
      <c r="F719" s="209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</row>
    <row r="720" spans="1:33" ht="12.75">
      <c r="A720" s="14"/>
      <c r="B720" s="206"/>
      <c r="C720" s="6"/>
      <c r="D720" s="185"/>
      <c r="E720" s="35"/>
      <c r="F720" s="209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</row>
    <row r="721" spans="1:33" ht="12.75">
      <c r="A721" s="14"/>
      <c r="B721" s="206"/>
      <c r="C721" s="6"/>
      <c r="D721" s="185"/>
      <c r="E721" s="35"/>
      <c r="F721" s="209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</row>
    <row r="722" spans="1:33" ht="12.75">
      <c r="A722" s="14"/>
      <c r="B722" s="206"/>
      <c r="C722" s="6"/>
      <c r="D722" s="185"/>
      <c r="E722" s="35"/>
      <c r="F722" s="209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</row>
    <row r="723" spans="1:33" ht="12.75">
      <c r="A723" s="14"/>
      <c r="B723" s="206"/>
      <c r="C723" s="6"/>
      <c r="D723" s="185"/>
      <c r="E723" s="35"/>
      <c r="F723" s="209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</row>
    <row r="724" spans="1:33" ht="12.75">
      <c r="A724" s="14"/>
      <c r="B724" s="206"/>
      <c r="C724" s="6"/>
      <c r="D724" s="185"/>
      <c r="E724" s="35"/>
      <c r="F724" s="209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</row>
    <row r="725" spans="1:33" ht="12.75">
      <c r="A725" s="14"/>
      <c r="B725" s="206"/>
      <c r="C725" s="6"/>
      <c r="D725" s="185"/>
      <c r="E725" s="35"/>
      <c r="F725" s="209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</row>
    <row r="726" spans="1:33" ht="12.75">
      <c r="A726" s="14"/>
      <c r="B726" s="206"/>
      <c r="C726" s="6"/>
      <c r="D726" s="185"/>
      <c r="E726" s="35"/>
      <c r="F726" s="209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</row>
    <row r="727" spans="1:33" ht="12.75">
      <c r="A727" s="14"/>
      <c r="B727" s="206"/>
      <c r="C727" s="6"/>
      <c r="D727" s="185"/>
      <c r="E727" s="35"/>
      <c r="F727" s="209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</row>
    <row r="728" spans="1:33" ht="12.75">
      <c r="A728" s="14"/>
      <c r="B728" s="206"/>
      <c r="C728" s="6"/>
      <c r="D728" s="185"/>
      <c r="E728" s="35"/>
      <c r="F728" s="209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</row>
    <row r="729" spans="1:33" ht="12.75">
      <c r="A729" s="14"/>
      <c r="B729" s="206"/>
      <c r="C729" s="6"/>
      <c r="D729" s="185"/>
      <c r="E729" s="35"/>
      <c r="F729" s="209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</row>
    <row r="730" spans="1:33" ht="12.75">
      <c r="A730" s="14"/>
      <c r="B730" s="206"/>
      <c r="C730" s="6"/>
      <c r="D730" s="185"/>
      <c r="E730" s="35"/>
      <c r="F730" s="209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</row>
    <row r="731" spans="1:33" ht="12.75">
      <c r="A731" s="14"/>
      <c r="B731" s="206"/>
      <c r="C731" s="6"/>
      <c r="D731" s="185"/>
      <c r="E731" s="35"/>
      <c r="F731" s="209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</row>
    <row r="732" spans="1:33" ht="12.75">
      <c r="A732" s="14"/>
      <c r="B732" s="206"/>
      <c r="C732" s="6"/>
      <c r="D732" s="185"/>
      <c r="E732" s="35"/>
      <c r="F732" s="209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</row>
    <row r="733" spans="1:33" ht="12.75">
      <c r="A733" s="14"/>
      <c r="B733" s="206"/>
      <c r="C733" s="6"/>
      <c r="D733" s="185"/>
      <c r="E733" s="35"/>
      <c r="F733" s="209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</row>
    <row r="734" spans="1:33" ht="12.75">
      <c r="A734" s="14"/>
      <c r="B734" s="206"/>
      <c r="C734" s="6"/>
      <c r="D734" s="185"/>
      <c r="E734" s="35"/>
      <c r="F734" s="209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</row>
    <row r="735" spans="1:33" ht="12.75">
      <c r="A735" s="14"/>
      <c r="B735" s="206"/>
      <c r="C735" s="6"/>
      <c r="D735" s="185"/>
      <c r="E735" s="35"/>
      <c r="F735" s="209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</row>
    <row r="736" spans="1:33" ht="12.75">
      <c r="A736" s="14"/>
      <c r="B736" s="206"/>
      <c r="C736" s="6"/>
      <c r="D736" s="185"/>
      <c r="E736" s="35"/>
      <c r="F736" s="209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</row>
    <row r="737" spans="1:33" ht="12.75">
      <c r="A737" s="14"/>
      <c r="B737" s="206"/>
      <c r="C737" s="6"/>
      <c r="D737" s="185"/>
      <c r="E737" s="35"/>
      <c r="F737" s="209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</row>
    <row r="738" spans="1:33" ht="12.75">
      <c r="A738" s="14"/>
      <c r="B738" s="206"/>
      <c r="C738" s="6"/>
      <c r="D738" s="185"/>
      <c r="E738" s="35"/>
      <c r="F738" s="209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</row>
    <row r="739" spans="1:33" ht="12.75">
      <c r="A739" s="14"/>
      <c r="B739" s="206"/>
      <c r="C739" s="6"/>
      <c r="D739" s="185"/>
      <c r="E739" s="35"/>
      <c r="F739" s="209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</row>
    <row r="740" spans="1:33" ht="12.75">
      <c r="A740" s="14"/>
      <c r="B740" s="206"/>
      <c r="C740" s="6"/>
      <c r="D740" s="185"/>
      <c r="E740" s="35"/>
      <c r="F740" s="209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</row>
    <row r="741" spans="1:33" ht="12.75">
      <c r="A741" s="14"/>
      <c r="B741" s="206"/>
      <c r="C741" s="6"/>
      <c r="D741" s="185"/>
      <c r="E741" s="35"/>
      <c r="F741" s="209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</row>
    <row r="742" spans="1:33" ht="12.75">
      <c r="A742" s="14"/>
      <c r="B742" s="206"/>
      <c r="C742" s="6"/>
      <c r="D742" s="185"/>
      <c r="E742" s="35"/>
      <c r="F742" s="209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</row>
    <row r="743" spans="1:33" ht="12.75">
      <c r="A743" s="14"/>
      <c r="B743" s="206"/>
      <c r="C743" s="6"/>
      <c r="D743" s="185"/>
      <c r="E743" s="35"/>
      <c r="F743" s="209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</row>
    <row r="744" spans="1:33" ht="12.75">
      <c r="A744" s="14"/>
      <c r="B744" s="206"/>
      <c r="C744" s="6"/>
      <c r="D744" s="185"/>
      <c r="E744" s="35"/>
      <c r="F744" s="209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</row>
    <row r="745" spans="1:33" ht="12.75">
      <c r="A745" s="14"/>
      <c r="B745" s="206"/>
      <c r="C745" s="6"/>
      <c r="D745" s="185"/>
      <c r="E745" s="35"/>
      <c r="F745" s="209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</row>
    <row r="746" spans="1:33" ht="12.75">
      <c r="A746" s="14"/>
      <c r="B746" s="206"/>
      <c r="C746" s="6"/>
      <c r="D746" s="185"/>
      <c r="E746" s="35"/>
      <c r="F746" s="209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</row>
    <row r="747" spans="1:33" ht="12.75">
      <c r="A747" s="14"/>
      <c r="B747" s="206"/>
      <c r="C747" s="6"/>
      <c r="D747" s="185"/>
      <c r="E747" s="35"/>
      <c r="F747" s="209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</row>
    <row r="748" spans="1:33" ht="12.75">
      <c r="A748" s="14"/>
      <c r="B748" s="206"/>
      <c r="C748" s="6"/>
      <c r="D748" s="185"/>
      <c r="E748" s="35"/>
      <c r="F748" s="209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</row>
    <row r="749" spans="1:33" ht="12.75">
      <c r="A749" s="14"/>
      <c r="B749" s="206"/>
      <c r="C749" s="6"/>
      <c r="D749" s="185"/>
      <c r="E749" s="35"/>
      <c r="F749" s="209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</row>
    <row r="750" spans="1:33" ht="12.75">
      <c r="A750" s="14"/>
      <c r="B750" s="206"/>
      <c r="C750" s="6"/>
      <c r="D750" s="185"/>
      <c r="E750" s="35"/>
      <c r="F750" s="209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</row>
    <row r="751" spans="1:33" ht="12.75">
      <c r="A751" s="14"/>
      <c r="B751" s="206"/>
      <c r="C751" s="6"/>
      <c r="D751" s="185"/>
      <c r="E751" s="35"/>
      <c r="F751" s="209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</row>
    <row r="752" spans="1:33" ht="12.75">
      <c r="A752" s="14"/>
      <c r="B752" s="206"/>
      <c r="C752" s="6"/>
      <c r="D752" s="185"/>
      <c r="E752" s="35"/>
      <c r="F752" s="209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</row>
    <row r="753" spans="1:33" ht="12.75">
      <c r="A753" s="14"/>
      <c r="B753" s="206"/>
      <c r="C753" s="6"/>
      <c r="D753" s="185"/>
      <c r="E753" s="35"/>
      <c r="F753" s="209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</row>
    <row r="754" spans="1:33" ht="12.75">
      <c r="A754" s="14"/>
      <c r="B754" s="206"/>
      <c r="C754" s="6"/>
      <c r="D754" s="185"/>
      <c r="E754" s="35"/>
      <c r="F754" s="209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</row>
    <row r="755" spans="1:33" ht="12.75">
      <c r="A755" s="14"/>
      <c r="B755" s="206"/>
      <c r="C755" s="6"/>
      <c r="D755" s="185"/>
      <c r="E755" s="35"/>
      <c r="F755" s="209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</row>
    <row r="756" spans="1:33" ht="12.75">
      <c r="A756" s="14"/>
      <c r="B756" s="206"/>
      <c r="C756" s="6"/>
      <c r="D756" s="185"/>
      <c r="E756" s="35"/>
      <c r="F756" s="209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</row>
    <row r="757" spans="1:33" ht="12.75">
      <c r="A757" s="14"/>
      <c r="B757" s="206"/>
      <c r="C757" s="6"/>
      <c r="D757" s="185"/>
      <c r="E757" s="35"/>
      <c r="F757" s="209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</row>
    <row r="758" spans="1:33" ht="12.75">
      <c r="A758" s="14"/>
      <c r="B758" s="206"/>
      <c r="C758" s="6"/>
      <c r="D758" s="185"/>
      <c r="E758" s="35"/>
      <c r="F758" s="209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</row>
    <row r="759" spans="1:33" ht="12.75">
      <c r="A759" s="14"/>
      <c r="B759" s="206"/>
      <c r="C759" s="6"/>
      <c r="D759" s="185"/>
      <c r="E759" s="35"/>
      <c r="F759" s="209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</row>
    <row r="760" spans="1:33" ht="12.75">
      <c r="A760" s="14"/>
      <c r="B760" s="206"/>
      <c r="C760" s="6"/>
      <c r="D760" s="185"/>
      <c r="E760" s="35"/>
      <c r="F760" s="209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</row>
    <row r="761" spans="1:33" ht="12.75">
      <c r="A761" s="14"/>
      <c r="B761" s="206"/>
      <c r="C761" s="6"/>
      <c r="D761" s="185"/>
      <c r="E761" s="35"/>
      <c r="F761" s="209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</row>
    <row r="762" spans="1:33" ht="12.75">
      <c r="A762" s="14"/>
      <c r="B762" s="206"/>
      <c r="C762" s="6"/>
      <c r="D762" s="185"/>
      <c r="E762" s="35"/>
      <c r="F762" s="209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</row>
    <row r="763" spans="1:33" ht="12.75">
      <c r="A763" s="14"/>
      <c r="B763" s="206"/>
      <c r="C763" s="6"/>
      <c r="D763" s="185"/>
      <c r="E763" s="35"/>
      <c r="F763" s="209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</row>
    <row r="764" spans="1:33" ht="12.75">
      <c r="A764" s="14"/>
      <c r="B764" s="206"/>
      <c r="C764" s="6"/>
      <c r="D764" s="185"/>
      <c r="E764" s="35"/>
      <c r="F764" s="209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</row>
    <row r="765" spans="1:33" ht="12.75">
      <c r="A765" s="14"/>
      <c r="B765" s="206"/>
      <c r="C765" s="6"/>
      <c r="D765" s="185"/>
      <c r="E765" s="35"/>
      <c r="F765" s="209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</row>
    <row r="766" spans="1:33" ht="12.75">
      <c r="A766" s="14"/>
      <c r="B766" s="206"/>
      <c r="C766" s="6"/>
      <c r="D766" s="185"/>
      <c r="E766" s="35"/>
      <c r="F766" s="209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</row>
    <row r="767" spans="1:33" ht="12.75">
      <c r="A767" s="14"/>
      <c r="B767" s="206"/>
      <c r="C767" s="6"/>
      <c r="D767" s="185"/>
      <c r="E767" s="35"/>
      <c r="F767" s="209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</row>
    <row r="768" spans="1:33" ht="12.75">
      <c r="A768" s="14"/>
      <c r="B768" s="206"/>
      <c r="C768" s="6"/>
      <c r="D768" s="185"/>
      <c r="E768" s="35"/>
      <c r="F768" s="209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</row>
    <row r="769" spans="1:33" ht="12.75">
      <c r="A769" s="14"/>
      <c r="B769" s="206"/>
      <c r="C769" s="6"/>
      <c r="D769" s="185"/>
      <c r="E769" s="35"/>
      <c r="F769" s="209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</row>
    <row r="770" spans="1:33" ht="12.75">
      <c r="A770" s="14"/>
      <c r="B770" s="206"/>
      <c r="C770" s="6"/>
      <c r="D770" s="185"/>
      <c r="E770" s="35"/>
      <c r="F770" s="209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</row>
    <row r="771" spans="1:33" ht="12.75">
      <c r="A771" s="14"/>
      <c r="B771" s="206"/>
      <c r="C771" s="6"/>
      <c r="D771" s="185"/>
      <c r="E771" s="35"/>
      <c r="F771" s="209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</row>
    <row r="772" spans="1:33" ht="12.75">
      <c r="A772" s="14"/>
      <c r="B772" s="206"/>
      <c r="C772" s="6"/>
      <c r="D772" s="185"/>
      <c r="E772" s="35"/>
      <c r="F772" s="209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</row>
    <row r="773" spans="1:33" ht="12.75">
      <c r="A773" s="14"/>
      <c r="B773" s="206"/>
      <c r="C773" s="6"/>
      <c r="D773" s="185"/>
      <c r="E773" s="35"/>
      <c r="F773" s="209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</row>
    <row r="774" spans="1:33" ht="12.75">
      <c r="A774" s="14"/>
      <c r="B774" s="206"/>
      <c r="C774" s="6"/>
      <c r="D774" s="185"/>
      <c r="E774" s="35"/>
      <c r="F774" s="209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</row>
    <row r="775" spans="1:33" ht="12.75">
      <c r="A775" s="14"/>
      <c r="B775" s="206"/>
      <c r="C775" s="6"/>
      <c r="D775" s="185"/>
      <c r="E775" s="35"/>
      <c r="F775" s="209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</row>
    <row r="776" spans="1:33" ht="12.75">
      <c r="A776" s="14"/>
      <c r="B776" s="206"/>
      <c r="C776" s="6"/>
      <c r="D776" s="185"/>
      <c r="E776" s="35"/>
      <c r="F776" s="209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</row>
    <row r="777" spans="1:33" ht="12.75">
      <c r="A777" s="14"/>
      <c r="B777" s="206"/>
      <c r="C777" s="6"/>
      <c r="D777" s="185"/>
      <c r="E777" s="35"/>
      <c r="F777" s="209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</row>
    <row r="778" spans="1:33" ht="12.75">
      <c r="A778" s="14"/>
      <c r="B778" s="206"/>
      <c r="C778" s="6"/>
      <c r="D778" s="185"/>
      <c r="E778" s="35"/>
      <c r="F778" s="209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</row>
    <row r="779" spans="1:33" ht="12.75">
      <c r="A779" s="14"/>
      <c r="B779" s="206"/>
      <c r="C779" s="6"/>
      <c r="D779" s="185"/>
      <c r="E779" s="35"/>
      <c r="F779" s="209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</row>
    <row r="780" spans="1:33" ht="12.75">
      <c r="A780" s="14"/>
      <c r="B780" s="206"/>
      <c r="C780" s="6"/>
      <c r="D780" s="185"/>
      <c r="E780" s="35"/>
      <c r="F780" s="209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</row>
    <row r="781" spans="1:33" ht="12.75">
      <c r="A781" s="14"/>
      <c r="B781" s="206"/>
      <c r="C781" s="6"/>
      <c r="D781" s="185"/>
      <c r="E781" s="35"/>
      <c r="F781" s="209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</row>
    <row r="782" spans="1:33" ht="12.75">
      <c r="A782" s="14"/>
      <c r="B782" s="206"/>
      <c r="C782" s="6"/>
      <c r="D782" s="185"/>
      <c r="E782" s="35"/>
      <c r="F782" s="209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</row>
    <row r="783" spans="1:33" ht="12.75">
      <c r="A783" s="14"/>
      <c r="B783" s="206"/>
      <c r="C783" s="6"/>
      <c r="D783" s="185"/>
      <c r="E783" s="35"/>
      <c r="F783" s="209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</row>
    <row r="784" spans="1:33" ht="12.75">
      <c r="A784" s="14"/>
      <c r="B784" s="206"/>
      <c r="C784" s="6"/>
      <c r="D784" s="185"/>
      <c r="E784" s="35"/>
      <c r="F784" s="209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</row>
    <row r="785" spans="1:33" ht="12.75">
      <c r="A785" s="14"/>
      <c r="B785" s="206"/>
      <c r="C785" s="6"/>
      <c r="D785" s="185"/>
      <c r="E785" s="35"/>
      <c r="F785" s="209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</row>
    <row r="786" spans="1:33" ht="12.75">
      <c r="A786" s="14"/>
      <c r="B786" s="206"/>
      <c r="C786" s="6"/>
      <c r="D786" s="185"/>
      <c r="E786" s="35"/>
      <c r="F786" s="209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</row>
    <row r="787" spans="1:33" ht="12.75">
      <c r="A787" s="14"/>
      <c r="B787" s="206"/>
      <c r="C787" s="6"/>
      <c r="D787" s="185"/>
      <c r="E787" s="35"/>
      <c r="F787" s="209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</row>
    <row r="788" spans="1:33" ht="12.75">
      <c r="A788" s="14"/>
      <c r="B788" s="206"/>
      <c r="C788" s="6"/>
      <c r="D788" s="185"/>
      <c r="E788" s="35"/>
      <c r="F788" s="209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</row>
    <row r="789" spans="1:33" ht="12.75">
      <c r="A789" s="14"/>
      <c r="B789" s="206"/>
      <c r="C789" s="6"/>
      <c r="D789" s="185"/>
      <c r="E789" s="35"/>
      <c r="F789" s="209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</row>
    <row r="790" spans="1:33" ht="12.75">
      <c r="A790" s="14"/>
      <c r="B790" s="206"/>
      <c r="C790" s="6"/>
      <c r="D790" s="185"/>
      <c r="E790" s="35"/>
      <c r="F790" s="209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</row>
    <row r="791" spans="1:33" ht="12.75">
      <c r="A791" s="14"/>
      <c r="B791" s="206"/>
      <c r="C791" s="6"/>
      <c r="D791" s="185"/>
      <c r="E791" s="35"/>
      <c r="F791" s="209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</row>
    <row r="792" spans="1:33" ht="12.75">
      <c r="A792" s="14"/>
      <c r="B792" s="206"/>
      <c r="C792" s="6"/>
      <c r="D792" s="185"/>
      <c r="E792" s="35"/>
      <c r="F792" s="209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</row>
    <row r="793" spans="1:33" ht="12.75">
      <c r="A793" s="14"/>
      <c r="B793" s="206"/>
      <c r="C793" s="6"/>
      <c r="D793" s="185"/>
      <c r="E793" s="35"/>
      <c r="F793" s="209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</row>
    <row r="794" spans="1:33" ht="12.75">
      <c r="A794" s="14"/>
      <c r="B794" s="206"/>
      <c r="C794" s="6"/>
      <c r="D794" s="185"/>
      <c r="E794" s="35"/>
      <c r="F794" s="209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</row>
    <row r="795" spans="1:33" ht="12.75">
      <c r="A795" s="14"/>
      <c r="B795" s="206"/>
      <c r="C795" s="6"/>
      <c r="D795" s="185"/>
      <c r="E795" s="35"/>
      <c r="F795" s="209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</row>
    <row r="796" spans="1:33" ht="12.75">
      <c r="A796" s="14"/>
      <c r="B796" s="206"/>
      <c r="C796" s="6"/>
      <c r="D796" s="185"/>
      <c r="E796" s="35"/>
      <c r="F796" s="209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</row>
    <row r="797" spans="1:33" ht="12.75">
      <c r="A797" s="14"/>
      <c r="B797" s="206"/>
      <c r="C797" s="6"/>
      <c r="D797" s="185"/>
      <c r="E797" s="35"/>
      <c r="F797" s="209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</row>
    <row r="798" spans="1:33" ht="12.75">
      <c r="A798" s="14"/>
      <c r="B798" s="206"/>
      <c r="C798" s="6"/>
      <c r="D798" s="185"/>
      <c r="E798" s="35"/>
      <c r="F798" s="209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</row>
    <row r="799" spans="1:33" ht="12.75">
      <c r="A799" s="14"/>
      <c r="B799" s="206"/>
      <c r="C799" s="6"/>
      <c r="D799" s="185"/>
      <c r="E799" s="35"/>
      <c r="F799" s="209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</row>
    <row r="800" spans="1:33" ht="12.75">
      <c r="A800" s="14"/>
      <c r="B800" s="206"/>
      <c r="C800" s="6"/>
      <c r="D800" s="185"/>
      <c r="E800" s="35"/>
      <c r="F800" s="209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</row>
    <row r="801" spans="1:33" ht="12.75">
      <c r="A801" s="14"/>
      <c r="B801" s="206"/>
      <c r="C801" s="6"/>
      <c r="D801" s="185"/>
      <c r="E801" s="35"/>
      <c r="F801" s="209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</row>
    <row r="802" spans="1:33" ht="12.75">
      <c r="A802" s="14"/>
      <c r="B802" s="206"/>
      <c r="C802" s="6"/>
      <c r="D802" s="185"/>
      <c r="E802" s="35"/>
      <c r="F802" s="209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</row>
    <row r="803" spans="1:33" ht="12.75">
      <c r="A803" s="14"/>
      <c r="B803" s="206"/>
      <c r="C803" s="6"/>
      <c r="D803" s="185"/>
      <c r="E803" s="35"/>
      <c r="F803" s="209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</row>
    <row r="804" spans="1:33" ht="12.75">
      <c r="A804" s="14"/>
      <c r="B804" s="206"/>
      <c r="C804" s="6"/>
      <c r="D804" s="185"/>
      <c r="E804" s="35"/>
      <c r="F804" s="209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</row>
    <row r="805" spans="1:33" ht="12.75">
      <c r="A805" s="14"/>
      <c r="B805" s="206"/>
      <c r="C805" s="6"/>
      <c r="D805" s="185"/>
      <c r="E805" s="35"/>
      <c r="F805" s="209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</row>
    <row r="806" spans="1:33" ht="12.75">
      <c r="A806" s="14"/>
      <c r="B806" s="206"/>
      <c r="C806" s="6"/>
      <c r="D806" s="185"/>
      <c r="E806" s="35"/>
      <c r="F806" s="209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</row>
    <row r="807" spans="1:33" ht="12.75">
      <c r="A807" s="14"/>
      <c r="B807" s="206"/>
      <c r="C807" s="6"/>
      <c r="D807" s="185"/>
      <c r="E807" s="35"/>
      <c r="F807" s="209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</row>
    <row r="808" spans="1:33" ht="12.75">
      <c r="A808" s="14"/>
      <c r="B808" s="206"/>
      <c r="C808" s="6"/>
      <c r="D808" s="185"/>
      <c r="E808" s="35"/>
      <c r="F808" s="209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</row>
    <row r="809" spans="1:33" ht="12.75">
      <c r="A809" s="14"/>
      <c r="B809" s="206"/>
      <c r="C809" s="6"/>
      <c r="D809" s="185"/>
      <c r="E809" s="35"/>
      <c r="F809" s="209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</row>
    <row r="810" spans="1:33" ht="12.75">
      <c r="A810" s="14"/>
      <c r="B810" s="206"/>
      <c r="C810" s="6"/>
      <c r="D810" s="185"/>
      <c r="E810" s="35"/>
      <c r="F810" s="209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</row>
    <row r="811" spans="1:33" ht="12.75">
      <c r="A811" s="14"/>
      <c r="B811" s="206"/>
      <c r="C811" s="6"/>
      <c r="D811" s="185"/>
      <c r="E811" s="35"/>
      <c r="F811" s="209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</row>
    <row r="812" spans="1:33" ht="12.75">
      <c r="A812" s="14"/>
      <c r="B812" s="206"/>
      <c r="C812" s="6"/>
      <c r="D812" s="185"/>
      <c r="E812" s="35"/>
      <c r="F812" s="209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</row>
    <row r="813" spans="1:33" ht="12.75">
      <c r="A813" s="14"/>
      <c r="B813" s="206"/>
      <c r="C813" s="6"/>
      <c r="D813" s="185"/>
      <c r="E813" s="35"/>
      <c r="F813" s="209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</row>
    <row r="814" spans="1:33" ht="12.75">
      <c r="A814" s="14"/>
      <c r="B814" s="206"/>
      <c r="C814" s="6"/>
      <c r="D814" s="185"/>
      <c r="E814" s="35"/>
      <c r="F814" s="209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</row>
    <row r="815" spans="1:33" ht="12.75">
      <c r="A815" s="14"/>
      <c r="B815" s="206"/>
      <c r="C815" s="6"/>
      <c r="D815" s="185"/>
      <c r="E815" s="35"/>
      <c r="F815" s="209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</row>
    <row r="816" spans="1:33" ht="12.75">
      <c r="A816" s="14"/>
      <c r="B816" s="206"/>
      <c r="C816" s="6"/>
      <c r="D816" s="185"/>
      <c r="E816" s="35"/>
      <c r="F816" s="209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</row>
    <row r="817" spans="1:33" ht="12.75">
      <c r="A817" s="14"/>
      <c r="B817" s="206"/>
      <c r="C817" s="6"/>
      <c r="D817" s="185"/>
      <c r="E817" s="35"/>
      <c r="F817" s="209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</row>
    <row r="818" spans="1:33" ht="12.75">
      <c r="A818" s="14"/>
      <c r="B818" s="206"/>
      <c r="C818" s="6"/>
      <c r="D818" s="185"/>
      <c r="E818" s="35"/>
      <c r="F818" s="209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</row>
    <row r="819" spans="1:33" ht="12.75">
      <c r="A819" s="14"/>
      <c r="B819" s="206"/>
      <c r="C819" s="6"/>
      <c r="D819" s="185"/>
      <c r="E819" s="35"/>
      <c r="F819" s="209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</row>
    <row r="820" spans="1:33" ht="12.75">
      <c r="A820" s="14"/>
      <c r="B820" s="206"/>
      <c r="C820" s="6"/>
      <c r="D820" s="185"/>
      <c r="E820" s="35"/>
      <c r="F820" s="209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</row>
    <row r="821" spans="1:33" ht="12.75">
      <c r="A821" s="14"/>
      <c r="B821" s="206"/>
      <c r="C821" s="6"/>
      <c r="D821" s="185"/>
      <c r="E821" s="35"/>
      <c r="F821" s="209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</row>
    <row r="822" spans="1:33" ht="12.75">
      <c r="A822" s="14"/>
      <c r="B822" s="206"/>
      <c r="C822" s="6"/>
      <c r="D822" s="185"/>
      <c r="E822" s="35"/>
      <c r="F822" s="209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</row>
    <row r="823" spans="1:33" ht="12.75">
      <c r="A823" s="14"/>
      <c r="B823" s="206"/>
      <c r="C823" s="6"/>
      <c r="D823" s="185"/>
      <c r="E823" s="35"/>
      <c r="F823" s="209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</row>
    <row r="824" spans="1:33" ht="12.75">
      <c r="A824" s="14"/>
      <c r="B824" s="206"/>
      <c r="C824" s="6"/>
      <c r="D824" s="185"/>
      <c r="E824" s="35"/>
      <c r="F824" s="209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</row>
    <row r="825" spans="1:33" ht="12.75">
      <c r="A825" s="14"/>
      <c r="B825" s="206"/>
      <c r="C825" s="6"/>
      <c r="D825" s="185"/>
      <c r="E825" s="35"/>
      <c r="F825" s="209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</row>
    <row r="826" spans="1:33" ht="12.75">
      <c r="A826" s="14"/>
      <c r="B826" s="206"/>
      <c r="C826" s="6"/>
      <c r="D826" s="185"/>
      <c r="E826" s="35"/>
      <c r="F826" s="209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</row>
    <row r="827" spans="1:33" ht="12.75">
      <c r="A827" s="14"/>
      <c r="B827" s="206"/>
      <c r="C827" s="6"/>
      <c r="D827" s="185"/>
      <c r="E827" s="35"/>
      <c r="F827" s="209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</row>
    <row r="828" spans="1:33" ht="12.75">
      <c r="A828" s="14"/>
      <c r="B828" s="206"/>
      <c r="C828" s="6"/>
      <c r="D828" s="185"/>
      <c r="E828" s="35"/>
      <c r="F828" s="209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</row>
    <row r="829" spans="1:33" ht="12.75">
      <c r="A829" s="14"/>
      <c r="B829" s="206"/>
      <c r="C829" s="6"/>
      <c r="D829" s="185"/>
      <c r="E829" s="35"/>
      <c r="F829" s="209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</row>
    <row r="830" spans="1:33" ht="12.75">
      <c r="A830" s="14"/>
      <c r="B830" s="206"/>
      <c r="C830" s="6"/>
      <c r="D830" s="185"/>
      <c r="E830" s="35"/>
      <c r="F830" s="209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</row>
    <row r="831" spans="1:33" ht="12.75">
      <c r="A831" s="14"/>
      <c r="B831" s="206"/>
      <c r="C831" s="6"/>
      <c r="D831" s="185"/>
      <c r="E831" s="35"/>
      <c r="F831" s="209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</row>
    <row r="832" spans="1:33" ht="12.75">
      <c r="A832" s="14"/>
      <c r="B832" s="206"/>
      <c r="C832" s="6"/>
      <c r="D832" s="185"/>
      <c r="E832" s="35"/>
      <c r="F832" s="209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</row>
    <row r="833" spans="1:33" ht="12.75">
      <c r="A833" s="14"/>
      <c r="B833" s="206"/>
      <c r="C833" s="6"/>
      <c r="D833" s="185"/>
      <c r="E833" s="35"/>
      <c r="F833" s="209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</row>
    <row r="834" spans="1:33" ht="12.75">
      <c r="A834" s="14"/>
      <c r="B834" s="206"/>
      <c r="C834" s="6"/>
      <c r="D834" s="185"/>
      <c r="E834" s="35"/>
      <c r="F834" s="209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</row>
    <row r="835" spans="1:33" ht="12.75">
      <c r="A835" s="14"/>
      <c r="B835" s="206"/>
      <c r="C835" s="6"/>
      <c r="D835" s="185"/>
      <c r="E835" s="35"/>
      <c r="F835" s="209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</row>
    <row r="836" spans="1:33" ht="12.75">
      <c r="A836" s="14"/>
      <c r="B836" s="206"/>
      <c r="C836" s="6"/>
      <c r="D836" s="185"/>
      <c r="E836" s="35"/>
      <c r="F836" s="209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</row>
    <row r="837" spans="1:33" ht="12.75">
      <c r="A837" s="14"/>
      <c r="B837" s="206"/>
      <c r="C837" s="6"/>
      <c r="D837" s="185"/>
      <c r="E837" s="35"/>
      <c r="F837" s="209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</row>
    <row r="838" spans="1:33" ht="12.75">
      <c r="A838" s="14"/>
      <c r="B838" s="206"/>
      <c r="C838" s="6"/>
      <c r="D838" s="185"/>
      <c r="E838" s="35"/>
      <c r="F838" s="209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</row>
    <row r="839" spans="1:33" ht="12.75">
      <c r="A839" s="14"/>
      <c r="B839" s="206"/>
      <c r="C839" s="6"/>
      <c r="D839" s="185"/>
      <c r="E839" s="35"/>
      <c r="F839" s="209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</row>
    <row r="840" spans="1:33" ht="12.75">
      <c r="A840" s="14"/>
      <c r="B840" s="206"/>
      <c r="C840" s="6"/>
      <c r="D840" s="185"/>
      <c r="E840" s="35"/>
      <c r="F840" s="209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</row>
    <row r="841" spans="1:33" ht="12.75">
      <c r="A841" s="14"/>
      <c r="B841" s="206"/>
      <c r="C841" s="6"/>
      <c r="D841" s="185"/>
      <c r="E841" s="35"/>
      <c r="F841" s="209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</row>
    <row r="842" spans="1:33" ht="12.75">
      <c r="A842" s="14"/>
      <c r="B842" s="206"/>
      <c r="C842" s="6"/>
      <c r="D842" s="185"/>
      <c r="E842" s="35"/>
      <c r="F842" s="209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</row>
    <row r="843" spans="1:33" ht="12.75">
      <c r="A843" s="14"/>
      <c r="B843" s="206"/>
      <c r="C843" s="6"/>
      <c r="D843" s="185"/>
      <c r="E843" s="35"/>
      <c r="F843" s="209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</row>
    <row r="844" spans="1:33" ht="12.75">
      <c r="A844" s="14"/>
      <c r="B844" s="206"/>
      <c r="C844" s="6"/>
      <c r="D844" s="185"/>
      <c r="E844" s="35"/>
      <c r="F844" s="209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</row>
    <row r="845" spans="1:33" ht="12.75">
      <c r="A845" s="14"/>
      <c r="B845" s="206"/>
      <c r="C845" s="6"/>
      <c r="D845" s="185"/>
      <c r="E845" s="35"/>
      <c r="F845" s="209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</row>
    <row r="846" spans="1:33" ht="12.75">
      <c r="A846" s="14"/>
      <c r="B846" s="206"/>
      <c r="C846" s="6"/>
      <c r="D846" s="185"/>
      <c r="E846" s="35"/>
      <c r="F846" s="209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</row>
    <row r="847" spans="1:33" ht="12.75">
      <c r="A847" s="14"/>
      <c r="B847" s="206"/>
      <c r="C847" s="6"/>
      <c r="D847" s="185"/>
      <c r="E847" s="35"/>
      <c r="F847" s="209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</row>
    <row r="848" spans="1:33" ht="12.75">
      <c r="A848" s="14"/>
      <c r="B848" s="206"/>
      <c r="C848" s="6"/>
      <c r="D848" s="185"/>
      <c r="E848" s="35"/>
      <c r="F848" s="209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</row>
    <row r="849" spans="1:33" ht="12.75">
      <c r="A849" s="14"/>
      <c r="B849" s="206"/>
      <c r="C849" s="6"/>
      <c r="D849" s="185"/>
      <c r="E849" s="35"/>
      <c r="F849" s="209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</row>
    <row r="850" spans="1:33" ht="12.75">
      <c r="A850" s="14"/>
      <c r="B850" s="206"/>
      <c r="C850" s="6"/>
      <c r="D850" s="185"/>
      <c r="E850" s="35"/>
      <c r="F850" s="209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</row>
    <row r="851" spans="1:33" ht="12.75">
      <c r="A851" s="14"/>
      <c r="B851" s="206"/>
      <c r="C851" s="6"/>
      <c r="D851" s="185"/>
      <c r="E851" s="35"/>
      <c r="F851" s="209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</row>
    <row r="852" spans="1:33" ht="12.75">
      <c r="A852" s="14"/>
      <c r="B852" s="206"/>
      <c r="C852" s="6"/>
      <c r="D852" s="185"/>
      <c r="E852" s="35"/>
      <c r="F852" s="209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</row>
    <row r="853" spans="1:33" ht="12.75">
      <c r="A853" s="14"/>
      <c r="B853" s="206"/>
      <c r="C853" s="6"/>
      <c r="D853" s="185"/>
      <c r="E853" s="35"/>
      <c r="F853" s="209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</row>
    <row r="854" spans="1:33" ht="12.75">
      <c r="A854" s="14"/>
      <c r="B854" s="206"/>
      <c r="C854" s="6"/>
      <c r="D854" s="185"/>
      <c r="E854" s="35"/>
      <c r="F854" s="209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</row>
    <row r="855" spans="1:33" ht="12.75">
      <c r="A855" s="14"/>
      <c r="B855" s="206"/>
      <c r="C855" s="6"/>
      <c r="D855" s="185"/>
      <c r="E855" s="35"/>
      <c r="F855" s="209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</row>
    <row r="856" spans="1:33" ht="12.75">
      <c r="A856" s="14"/>
      <c r="B856" s="206"/>
      <c r="C856" s="6"/>
      <c r="D856" s="185"/>
      <c r="E856" s="35"/>
      <c r="F856" s="209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</row>
    <row r="857" spans="1:33" ht="12.75">
      <c r="A857" s="14"/>
      <c r="B857" s="206"/>
      <c r="C857" s="6"/>
      <c r="D857" s="185"/>
      <c r="E857" s="35"/>
      <c r="F857" s="209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</row>
    <row r="858" spans="1:33" ht="12.75">
      <c r="A858" s="14"/>
      <c r="B858" s="206"/>
      <c r="C858" s="6"/>
      <c r="D858" s="185"/>
      <c r="E858" s="35"/>
      <c r="F858" s="209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</row>
    <row r="859" spans="1:33" ht="12.75">
      <c r="A859" s="14"/>
      <c r="B859" s="206"/>
      <c r="C859" s="6"/>
      <c r="D859" s="185"/>
      <c r="E859" s="35"/>
      <c r="F859" s="209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</row>
    <row r="860" spans="1:33" ht="12.75">
      <c r="A860" s="14"/>
      <c r="B860" s="206"/>
      <c r="C860" s="6"/>
      <c r="D860" s="185"/>
      <c r="E860" s="35"/>
      <c r="F860" s="209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</row>
    <row r="861" spans="1:33" ht="12.75">
      <c r="A861" s="14"/>
      <c r="B861" s="206"/>
      <c r="C861" s="6"/>
      <c r="D861" s="185"/>
      <c r="E861" s="35"/>
      <c r="F861" s="209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</row>
    <row r="862" spans="1:33" ht="12.75">
      <c r="A862" s="14"/>
      <c r="B862" s="206"/>
      <c r="C862" s="6"/>
      <c r="D862" s="185"/>
      <c r="E862" s="35"/>
      <c r="F862" s="209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</row>
    <row r="863" spans="1:33" ht="12.75">
      <c r="A863" s="14"/>
      <c r="B863" s="206"/>
      <c r="C863" s="6"/>
      <c r="D863" s="185"/>
      <c r="E863" s="35"/>
      <c r="F863" s="209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</row>
    <row r="864" spans="1:33" ht="12.75">
      <c r="A864" s="14"/>
      <c r="B864" s="206"/>
      <c r="C864" s="6"/>
      <c r="D864" s="185"/>
      <c r="E864" s="35"/>
      <c r="F864" s="209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</row>
    <row r="865" spans="1:33" ht="12.75">
      <c r="A865" s="14"/>
      <c r="B865" s="206"/>
      <c r="C865" s="6"/>
      <c r="D865" s="185"/>
      <c r="E865" s="35"/>
      <c r="F865" s="209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</row>
    <row r="866" spans="1:33" ht="12.75">
      <c r="A866" s="14"/>
      <c r="B866" s="206"/>
      <c r="C866" s="6"/>
      <c r="D866" s="185"/>
      <c r="E866" s="35"/>
      <c r="F866" s="209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</row>
    <row r="867" spans="1:33" ht="12.75">
      <c r="A867" s="14"/>
      <c r="B867" s="206"/>
      <c r="C867" s="6"/>
      <c r="D867" s="185"/>
      <c r="E867" s="35"/>
      <c r="F867" s="209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</row>
    <row r="868" spans="1:33" ht="12.75">
      <c r="A868" s="14"/>
      <c r="B868" s="206"/>
      <c r="C868" s="6"/>
      <c r="D868" s="185"/>
      <c r="E868" s="35"/>
      <c r="F868" s="209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</row>
    <row r="869" spans="1:33" ht="12.75">
      <c r="A869" s="14"/>
      <c r="B869" s="206"/>
      <c r="C869" s="6"/>
      <c r="D869" s="185"/>
      <c r="E869" s="35"/>
      <c r="F869" s="209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</row>
    <row r="870" spans="1:33" ht="12.75">
      <c r="A870" s="14"/>
      <c r="B870" s="206"/>
      <c r="C870" s="6"/>
      <c r="D870" s="185"/>
      <c r="E870" s="35"/>
      <c r="F870" s="209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</row>
    <row r="871" spans="1:33" ht="12.75">
      <c r="A871" s="14"/>
      <c r="B871" s="206"/>
      <c r="C871" s="6"/>
      <c r="D871" s="185"/>
      <c r="E871" s="35"/>
      <c r="F871" s="209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</row>
    <row r="872" spans="1:33" ht="12.75">
      <c r="A872" s="14"/>
      <c r="B872" s="206"/>
      <c r="C872" s="6"/>
      <c r="D872" s="185"/>
      <c r="E872" s="35"/>
      <c r="F872" s="209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</row>
    <row r="873" spans="1:33" ht="12.75">
      <c r="A873" s="14"/>
      <c r="B873" s="206"/>
      <c r="C873" s="6"/>
      <c r="D873" s="185"/>
      <c r="E873" s="35"/>
      <c r="F873" s="209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</row>
    <row r="874" spans="1:33" ht="12.75">
      <c r="A874" s="14"/>
      <c r="B874" s="206"/>
      <c r="C874" s="6"/>
      <c r="D874" s="185"/>
      <c r="E874" s="35"/>
      <c r="F874" s="209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</row>
    <row r="875" spans="1:33" ht="12.75">
      <c r="A875" s="14"/>
      <c r="B875" s="206"/>
      <c r="C875" s="6"/>
      <c r="D875" s="185"/>
      <c r="E875" s="35"/>
      <c r="F875" s="209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</row>
    <row r="876" spans="1:33" ht="12.75">
      <c r="A876" s="14"/>
      <c r="B876" s="206"/>
      <c r="C876" s="6"/>
      <c r="D876" s="185"/>
      <c r="E876" s="35"/>
      <c r="F876" s="209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</row>
    <row r="877" spans="1:33" ht="12.75">
      <c r="A877" s="14"/>
      <c r="B877" s="206"/>
      <c r="C877" s="6"/>
      <c r="D877" s="185"/>
      <c r="E877" s="35"/>
      <c r="F877" s="209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</row>
    <row r="878" spans="1:33" ht="12.75">
      <c r="A878" s="14"/>
      <c r="B878" s="206"/>
      <c r="C878" s="6"/>
      <c r="D878" s="185"/>
      <c r="E878" s="35"/>
      <c r="F878" s="209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</row>
    <row r="879" spans="1:33" ht="12.75">
      <c r="A879" s="14"/>
      <c r="B879" s="206"/>
      <c r="C879" s="6"/>
      <c r="D879" s="185"/>
      <c r="E879" s="35"/>
      <c r="F879" s="209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</row>
    <row r="880" spans="1:33" ht="12.75">
      <c r="A880" s="14"/>
      <c r="B880" s="206"/>
      <c r="C880" s="6"/>
      <c r="D880" s="185"/>
      <c r="E880" s="35"/>
      <c r="F880" s="209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</row>
    <row r="881" spans="1:33" ht="12.75">
      <c r="A881" s="14"/>
      <c r="B881" s="206"/>
      <c r="C881" s="6"/>
      <c r="D881" s="185"/>
      <c r="E881" s="35"/>
      <c r="F881" s="209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</row>
    <row r="882" spans="1:33" ht="12.75">
      <c r="A882" s="14"/>
      <c r="B882" s="206"/>
      <c r="C882" s="6"/>
      <c r="D882" s="185"/>
      <c r="E882" s="35"/>
      <c r="F882" s="209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</row>
    <row r="883" spans="1:33" ht="12.75">
      <c r="A883" s="14"/>
      <c r="B883" s="206"/>
      <c r="C883" s="6"/>
      <c r="D883" s="185"/>
      <c r="E883" s="35"/>
      <c r="F883" s="209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</row>
    <row r="884" spans="1:33" ht="12.75">
      <c r="A884" s="14"/>
      <c r="B884" s="206"/>
      <c r="C884" s="6"/>
      <c r="D884" s="185"/>
      <c r="E884" s="35"/>
      <c r="F884" s="209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</row>
    <row r="885" spans="1:33" ht="12.75">
      <c r="A885" s="14"/>
      <c r="B885" s="206"/>
      <c r="C885" s="6"/>
      <c r="D885" s="185"/>
      <c r="E885" s="35"/>
      <c r="F885" s="209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</row>
    <row r="886" spans="1:33" ht="12.75">
      <c r="A886" s="14"/>
      <c r="B886" s="206"/>
      <c r="C886" s="6"/>
      <c r="D886" s="185"/>
      <c r="E886" s="35"/>
      <c r="F886" s="209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</row>
    <row r="887" spans="1:33" ht="12.75">
      <c r="A887" s="14"/>
      <c r="B887" s="206"/>
      <c r="C887" s="6"/>
      <c r="D887" s="185"/>
      <c r="E887" s="35"/>
      <c r="F887" s="209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</row>
    <row r="888" spans="1:33" ht="12.75">
      <c r="A888" s="14"/>
      <c r="B888" s="206"/>
      <c r="C888" s="6"/>
      <c r="D888" s="185"/>
      <c r="E888" s="35"/>
      <c r="F888" s="209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</row>
    <row r="889" spans="1:33" ht="12.75">
      <c r="A889" s="14"/>
      <c r="B889" s="206"/>
      <c r="C889" s="6"/>
      <c r="D889" s="185"/>
      <c r="E889" s="35"/>
      <c r="F889" s="209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</row>
    <row r="890" spans="1:33" ht="12.75">
      <c r="A890" s="14"/>
      <c r="B890" s="206"/>
      <c r="C890" s="6"/>
      <c r="D890" s="185"/>
      <c r="E890" s="35"/>
      <c r="F890" s="209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</row>
    <row r="891" spans="1:33" ht="12.75">
      <c r="A891" s="14"/>
      <c r="B891" s="206"/>
      <c r="C891" s="6"/>
      <c r="D891" s="185"/>
      <c r="E891" s="35"/>
      <c r="F891" s="209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</row>
    <row r="892" spans="1:33" ht="12.75">
      <c r="A892" s="14"/>
      <c r="B892" s="206"/>
      <c r="C892" s="6"/>
      <c r="D892" s="185"/>
      <c r="E892" s="35"/>
      <c r="F892" s="209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</row>
    <row r="893" spans="1:33" ht="12.75">
      <c r="A893" s="14"/>
      <c r="B893" s="206"/>
      <c r="C893" s="6"/>
      <c r="D893" s="185"/>
      <c r="E893" s="35"/>
      <c r="F893" s="209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</row>
    <row r="894" spans="1:33" ht="12.75">
      <c r="A894" s="14"/>
      <c r="B894" s="206"/>
      <c r="C894" s="6"/>
      <c r="D894" s="185"/>
      <c r="E894" s="35"/>
      <c r="F894" s="209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</row>
    <row r="895" spans="1:33" ht="12.75">
      <c r="A895" s="14"/>
      <c r="B895" s="206"/>
      <c r="C895" s="6"/>
      <c r="D895" s="185"/>
      <c r="E895" s="35"/>
      <c r="F895" s="209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</row>
    <row r="896" spans="1:33" ht="12.75">
      <c r="A896" s="14"/>
      <c r="B896" s="206"/>
      <c r="C896" s="6"/>
      <c r="D896" s="185"/>
      <c r="E896" s="35"/>
      <c r="F896" s="209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</row>
    <row r="897" spans="1:33" ht="12.75">
      <c r="A897" s="14"/>
      <c r="B897" s="206"/>
      <c r="C897" s="6"/>
      <c r="D897" s="185"/>
      <c r="E897" s="35"/>
      <c r="F897" s="209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</row>
    <row r="898" spans="1:33" ht="12.75">
      <c r="A898" s="14"/>
      <c r="B898" s="206"/>
      <c r="C898" s="6"/>
      <c r="D898" s="185"/>
      <c r="E898" s="35"/>
      <c r="F898" s="209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</row>
    <row r="899" spans="1:33" ht="12.75">
      <c r="A899" s="14"/>
      <c r="B899" s="206"/>
      <c r="C899" s="6"/>
      <c r="D899" s="185"/>
      <c r="E899" s="35"/>
      <c r="F899" s="209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</row>
    <row r="900" spans="1:33" ht="12.75">
      <c r="A900" s="14"/>
      <c r="B900" s="206"/>
      <c r="C900" s="6"/>
      <c r="D900" s="185"/>
      <c r="E900" s="35"/>
      <c r="F900" s="209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</row>
    <row r="901" spans="1:33" ht="12.75">
      <c r="A901" s="14"/>
      <c r="B901" s="206"/>
      <c r="C901" s="6"/>
      <c r="D901" s="185"/>
      <c r="E901" s="35"/>
      <c r="F901" s="209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</row>
    <row r="902" spans="1:33" ht="12.75">
      <c r="A902" s="14"/>
      <c r="B902" s="206"/>
      <c r="C902" s="6"/>
      <c r="D902" s="185"/>
      <c r="E902" s="35"/>
      <c r="F902" s="209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</row>
    <row r="903" spans="1:33" ht="12.75">
      <c r="A903" s="14"/>
      <c r="B903" s="206"/>
      <c r="C903" s="6"/>
      <c r="D903" s="185"/>
      <c r="E903" s="35"/>
      <c r="F903" s="209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</row>
    <row r="904" spans="1:33" ht="12.75">
      <c r="A904" s="14"/>
      <c r="B904" s="206"/>
      <c r="C904" s="6"/>
      <c r="D904" s="185"/>
      <c r="E904" s="35"/>
      <c r="F904" s="209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</row>
    <row r="905" spans="1:33" ht="12.75">
      <c r="A905" s="14"/>
      <c r="B905" s="206"/>
      <c r="C905" s="6"/>
      <c r="D905" s="185"/>
      <c r="E905" s="35"/>
      <c r="F905" s="209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</row>
    <row r="906" spans="1:33" ht="12.75">
      <c r="A906" s="14"/>
      <c r="B906" s="206"/>
      <c r="C906" s="6"/>
      <c r="D906" s="185"/>
      <c r="E906" s="35"/>
      <c r="F906" s="209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</row>
    <row r="907" spans="1:33" ht="12.75">
      <c r="A907" s="14"/>
      <c r="B907" s="206"/>
      <c r="C907" s="6"/>
      <c r="D907" s="185"/>
      <c r="E907" s="35"/>
      <c r="F907" s="209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</row>
    <row r="908" spans="1:33" ht="12.75">
      <c r="A908" s="14"/>
      <c r="B908" s="206"/>
      <c r="C908" s="6"/>
      <c r="D908" s="185"/>
      <c r="E908" s="35"/>
      <c r="F908" s="209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</row>
    <row r="909" spans="1:33" ht="12.75">
      <c r="A909" s="14"/>
      <c r="B909" s="206"/>
      <c r="C909" s="6"/>
      <c r="D909" s="185"/>
      <c r="E909" s="35"/>
      <c r="F909" s="209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</row>
    <row r="910" spans="1:33" ht="12.75">
      <c r="A910" s="14"/>
      <c r="B910" s="206"/>
      <c r="C910" s="6"/>
      <c r="D910" s="185"/>
      <c r="E910" s="35"/>
      <c r="F910" s="209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</row>
    <row r="911" spans="1:33" ht="12.75">
      <c r="A911" s="14"/>
      <c r="B911" s="206"/>
      <c r="C911" s="6"/>
      <c r="D911" s="185"/>
      <c r="E911" s="35"/>
      <c r="F911" s="209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</row>
    <row r="912" spans="1:33" ht="12.75">
      <c r="A912" s="14"/>
      <c r="B912" s="206"/>
      <c r="C912" s="6"/>
      <c r="D912" s="185"/>
      <c r="E912" s="35"/>
      <c r="F912" s="209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</row>
    <row r="913" spans="1:33" ht="12.75">
      <c r="A913" s="14"/>
      <c r="B913" s="206"/>
      <c r="C913" s="6"/>
      <c r="D913" s="185"/>
      <c r="E913" s="35"/>
      <c r="F913" s="209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</row>
    <row r="914" spans="1:33" ht="12.75">
      <c r="A914" s="14"/>
      <c r="B914" s="206"/>
      <c r="C914" s="6"/>
      <c r="D914" s="185"/>
      <c r="E914" s="35"/>
      <c r="F914" s="209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</row>
    <row r="915" spans="1:33" ht="12.75">
      <c r="A915" s="14"/>
      <c r="B915" s="206"/>
      <c r="C915" s="6"/>
      <c r="D915" s="185"/>
      <c r="E915" s="35"/>
      <c r="F915" s="209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</row>
    <row r="916" spans="1:33" ht="12.75">
      <c r="A916" s="14"/>
      <c r="B916" s="206"/>
      <c r="C916" s="6"/>
      <c r="D916" s="185"/>
      <c r="E916" s="35"/>
      <c r="F916" s="209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</row>
    <row r="917" spans="1:33" ht="12.75">
      <c r="A917" s="14"/>
      <c r="B917" s="206"/>
      <c r="C917" s="6"/>
      <c r="D917" s="185"/>
      <c r="E917" s="35"/>
      <c r="F917" s="209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</row>
    <row r="918" spans="1:33" ht="12.75">
      <c r="A918" s="14"/>
      <c r="B918" s="206"/>
      <c r="C918" s="6"/>
      <c r="D918" s="185"/>
      <c r="E918" s="35"/>
      <c r="F918" s="209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</row>
    <row r="919" spans="1:33" ht="12.75">
      <c r="A919" s="14"/>
      <c r="B919" s="206"/>
      <c r="C919" s="6"/>
      <c r="D919" s="185"/>
      <c r="E919" s="35"/>
      <c r="F919" s="209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</row>
    <row r="920" spans="1:33" ht="12.75">
      <c r="A920" s="14"/>
      <c r="B920" s="206"/>
      <c r="C920" s="6"/>
      <c r="D920" s="185"/>
      <c r="E920" s="35"/>
      <c r="F920" s="209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</row>
    <row r="921" spans="1:33" ht="12.75">
      <c r="A921" s="14"/>
      <c r="B921" s="206"/>
      <c r="C921" s="6"/>
      <c r="D921" s="185"/>
      <c r="E921" s="35"/>
      <c r="F921" s="209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</row>
    <row r="922" spans="1:33" ht="12.75">
      <c r="A922" s="14"/>
      <c r="B922" s="206"/>
      <c r="C922" s="6"/>
      <c r="D922" s="185"/>
      <c r="E922" s="35"/>
      <c r="F922" s="209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</row>
    <row r="923" spans="1:33" ht="12.75">
      <c r="A923" s="14"/>
      <c r="B923" s="206"/>
      <c r="C923" s="6"/>
      <c r="D923" s="185"/>
      <c r="E923" s="35"/>
      <c r="F923" s="209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</row>
    <row r="924" spans="1:33" ht="12.75">
      <c r="A924" s="14"/>
      <c r="B924" s="206"/>
      <c r="C924" s="6"/>
      <c r="D924" s="185"/>
      <c r="E924" s="35"/>
      <c r="F924" s="209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</row>
    <row r="925" spans="1:33" ht="12.75">
      <c r="A925" s="14"/>
      <c r="B925" s="206"/>
      <c r="C925" s="6"/>
      <c r="D925" s="185"/>
      <c r="E925" s="35"/>
      <c r="F925" s="209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</row>
    <row r="926" spans="1:33" ht="12.75">
      <c r="A926" s="14"/>
      <c r="B926" s="206"/>
      <c r="C926" s="6"/>
      <c r="D926" s="185"/>
      <c r="E926" s="35"/>
      <c r="F926" s="209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</row>
    <row r="927" spans="1:33" ht="12.75">
      <c r="A927" s="14"/>
      <c r="B927" s="206"/>
      <c r="C927" s="6"/>
      <c r="D927" s="185"/>
      <c r="E927" s="35"/>
      <c r="F927" s="209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</row>
    <row r="928" spans="1:33" ht="12.75">
      <c r="A928" s="14"/>
      <c r="B928" s="206"/>
      <c r="C928" s="6"/>
      <c r="D928" s="185"/>
      <c r="E928" s="35"/>
      <c r="F928" s="209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</row>
    <row r="929" spans="1:33" ht="12.75">
      <c r="A929" s="14"/>
      <c r="B929" s="206"/>
      <c r="C929" s="6"/>
      <c r="D929" s="185"/>
      <c r="E929" s="35"/>
      <c r="F929" s="209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</row>
    <row r="930" spans="1:33" ht="12.75">
      <c r="A930" s="14"/>
      <c r="B930" s="206"/>
      <c r="C930" s="6"/>
      <c r="D930" s="185"/>
      <c r="E930" s="35"/>
      <c r="F930" s="209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</row>
    <row r="931" spans="1:33" ht="12.75">
      <c r="A931" s="14"/>
      <c r="B931" s="206"/>
      <c r="C931" s="6"/>
      <c r="D931" s="185"/>
      <c r="E931" s="35"/>
      <c r="F931" s="209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</row>
    <row r="932" spans="1:33" ht="12.75">
      <c r="A932" s="14"/>
      <c r="B932" s="183"/>
      <c r="C932" s="208"/>
      <c r="D932" s="185"/>
      <c r="E932" s="35"/>
      <c r="F932" s="209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</row>
    <row r="933" spans="1:33" ht="12.75">
      <c r="A933" s="14"/>
      <c r="B933" s="183"/>
      <c r="C933" s="208"/>
      <c r="D933" s="185"/>
      <c r="E933" s="35"/>
      <c r="F933" s="209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</row>
    <row r="934" spans="1:33" ht="12.75">
      <c r="A934" s="14"/>
      <c r="B934" s="183"/>
      <c r="C934" s="208"/>
      <c r="D934" s="185"/>
      <c r="E934" s="35"/>
      <c r="F934" s="209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</row>
    <row r="935" spans="1:33" ht="12.75">
      <c r="A935" s="14"/>
      <c r="B935" s="183"/>
      <c r="C935" s="208"/>
      <c r="D935" s="185"/>
      <c r="E935" s="35"/>
      <c r="F935" s="209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</row>
    <row r="936" spans="1:33" ht="12.75">
      <c r="A936" s="14"/>
      <c r="B936" s="183"/>
      <c r="C936" s="208"/>
      <c r="D936" s="185"/>
      <c r="E936" s="35"/>
      <c r="F936" s="209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</row>
    <row r="937" spans="1:33" ht="12.75">
      <c r="A937" s="14"/>
      <c r="B937" s="183"/>
      <c r="C937" s="208"/>
      <c r="D937" s="185"/>
      <c r="E937" s="35"/>
      <c r="F937" s="209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</row>
    <row r="938" spans="1:33" ht="12.75">
      <c r="A938" s="14"/>
      <c r="B938" s="183"/>
      <c r="C938" s="208"/>
      <c r="D938" s="185"/>
      <c r="E938" s="35"/>
      <c r="F938" s="209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</row>
    <row r="939" spans="1:33" ht="12.75">
      <c r="A939" s="14"/>
      <c r="B939" s="183"/>
      <c r="C939" s="208"/>
      <c r="D939" s="185"/>
      <c r="E939" s="35"/>
      <c r="F939" s="209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</row>
    <row r="940" spans="1:33" ht="12.75">
      <c r="F940" s="286"/>
    </row>
    <row r="941" spans="1:33" ht="12.75">
      <c r="F941" s="286"/>
    </row>
    <row r="942" spans="1:33" ht="12.75">
      <c r="F942" s="286"/>
    </row>
    <row r="943" spans="1:33" ht="12.75">
      <c r="F943" s="286"/>
    </row>
    <row r="944" spans="1:33" ht="12.75">
      <c r="F944" s="286"/>
    </row>
    <row r="945" spans="6:6" ht="12.75">
      <c r="F945" s="286"/>
    </row>
    <row r="946" spans="6:6" ht="12.75">
      <c r="F946" s="286"/>
    </row>
    <row r="947" spans="6:6" ht="12.75">
      <c r="F947" s="286"/>
    </row>
    <row r="948" spans="6:6" ht="12.75">
      <c r="F948" s="286"/>
    </row>
    <row r="949" spans="6:6" ht="12.75">
      <c r="F949" s="286"/>
    </row>
    <row r="950" spans="6:6" ht="12.75">
      <c r="F950" s="286"/>
    </row>
    <row r="951" spans="6:6" ht="12.75">
      <c r="F951" s="286"/>
    </row>
    <row r="952" spans="6:6" ht="12.75">
      <c r="F952" s="286"/>
    </row>
    <row r="953" spans="6:6" ht="12.75">
      <c r="F953" s="286"/>
    </row>
    <row r="954" spans="6:6" ht="12.75">
      <c r="F954" s="286"/>
    </row>
    <row r="955" spans="6:6" ht="12.75">
      <c r="F955" s="286"/>
    </row>
    <row r="956" spans="6:6" ht="12.75">
      <c r="F956" s="286"/>
    </row>
    <row r="957" spans="6:6" ht="12.75">
      <c r="F957" s="286"/>
    </row>
    <row r="958" spans="6:6" ht="12.75">
      <c r="F958" s="286"/>
    </row>
    <row r="959" spans="6:6" ht="12.75">
      <c r="F959" s="286"/>
    </row>
    <row r="960" spans="6:6" ht="12.75">
      <c r="F960" s="286"/>
    </row>
    <row r="961" spans="6:6" ht="12.75">
      <c r="F961" s="286"/>
    </row>
    <row r="962" spans="6:6" ht="12.75">
      <c r="F962" s="286"/>
    </row>
    <row r="963" spans="6:6" ht="12.75">
      <c r="F963" s="286"/>
    </row>
    <row r="964" spans="6:6" ht="12.75">
      <c r="F964" s="286"/>
    </row>
    <row r="965" spans="6:6" ht="12.75">
      <c r="F965" s="286"/>
    </row>
    <row r="966" spans="6:6" ht="12.75">
      <c r="F966" s="286"/>
    </row>
    <row r="967" spans="6:6" ht="12.75">
      <c r="F967" s="286"/>
    </row>
    <row r="968" spans="6:6" ht="12.75">
      <c r="F968" s="286"/>
    </row>
  </sheetData>
  <printOptions horizontalCentered="1" gridLines="1"/>
  <pageMargins left="0.25" right="0.25" top="0.75" bottom="0.75" header="0" footer="0"/>
  <pageSetup paperSize="9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AG971"/>
  <sheetViews>
    <sheetView workbookViewId="0"/>
  </sheetViews>
  <sheetFormatPr defaultColWidth="12.5703125" defaultRowHeight="15.75" customHeight="1"/>
  <cols>
    <col min="1" max="1" width="6.28515625" customWidth="1"/>
    <col min="2" max="2" width="37.42578125" customWidth="1"/>
    <col min="3" max="3" width="13.140625" customWidth="1"/>
    <col min="4" max="4" width="23.42578125" customWidth="1"/>
    <col min="9" max="9" width="16" customWidth="1"/>
    <col min="11" max="11" width="9.7109375" customWidth="1"/>
    <col min="12" max="12" width="33.7109375" customWidth="1"/>
  </cols>
  <sheetData>
    <row r="1" spans="1:33" ht="12.75">
      <c r="A1" s="14"/>
      <c r="B1" s="207"/>
      <c r="C1" s="14"/>
      <c r="D1" s="185"/>
      <c r="E1" s="35"/>
      <c r="F1" s="209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</row>
    <row r="2" spans="1:33" ht="15">
      <c r="A2" s="210"/>
      <c r="B2" s="211"/>
      <c r="C2" s="212"/>
      <c r="D2" s="213"/>
      <c r="E2" s="214"/>
      <c r="F2" s="215"/>
      <c r="G2" s="212"/>
      <c r="H2" s="212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</row>
    <row r="3" spans="1:33" ht="25.5">
      <c r="A3" s="18" t="s">
        <v>5</v>
      </c>
      <c r="B3" s="20" t="s">
        <v>7</v>
      </c>
      <c r="C3" s="217" t="s">
        <v>159</v>
      </c>
      <c r="D3" s="24" t="s">
        <v>10</v>
      </c>
      <c r="E3" s="26" t="s">
        <v>11</v>
      </c>
      <c r="F3" s="218" t="s">
        <v>160</v>
      </c>
      <c r="G3" s="217" t="s">
        <v>161</v>
      </c>
      <c r="H3" s="22" t="s">
        <v>13</v>
      </c>
      <c r="I3" s="134" t="s">
        <v>162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33" ht="12.75">
      <c r="A4" s="219">
        <v>1</v>
      </c>
      <c r="B4" s="4" t="s">
        <v>208</v>
      </c>
      <c r="C4" s="59">
        <v>7</v>
      </c>
      <c r="D4" s="203"/>
      <c r="E4" s="11"/>
      <c r="F4" s="220"/>
      <c r="G4" s="220"/>
      <c r="H4" s="223"/>
      <c r="I4" s="268" t="s">
        <v>118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33" ht="12.75">
      <c r="A5" s="269">
        <v>2</v>
      </c>
      <c r="B5" s="29" t="s">
        <v>23</v>
      </c>
      <c r="C5" s="6">
        <v>10</v>
      </c>
      <c r="D5" s="45" t="s">
        <v>209</v>
      </c>
      <c r="E5" s="47">
        <v>31</v>
      </c>
      <c r="F5" s="222">
        <v>30000</v>
      </c>
      <c r="G5" s="221"/>
      <c r="H5" s="221"/>
      <c r="I5" s="144" t="s">
        <v>210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3" ht="12.75">
      <c r="A6" s="219"/>
      <c r="B6" s="236" t="s">
        <v>211</v>
      </c>
      <c r="C6" s="144">
        <v>7</v>
      </c>
      <c r="D6" s="203" t="s">
        <v>212</v>
      </c>
      <c r="E6" s="110"/>
      <c r="F6" s="270">
        <v>20000</v>
      </c>
      <c r="G6" s="237"/>
      <c r="H6" s="237"/>
      <c r="I6" s="144" t="s">
        <v>210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spans="1:33" ht="12.75">
      <c r="A7" s="219">
        <v>3</v>
      </c>
      <c r="B7" s="271" t="s">
        <v>213</v>
      </c>
      <c r="C7" s="59">
        <v>7</v>
      </c>
      <c r="D7" s="45" t="s">
        <v>214</v>
      </c>
      <c r="E7" s="11"/>
      <c r="F7" s="223">
        <v>17500</v>
      </c>
      <c r="G7" s="220"/>
      <c r="H7" s="223"/>
      <c r="I7" s="144" t="s">
        <v>210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spans="1:33" ht="12.75">
      <c r="A8" s="269">
        <v>4</v>
      </c>
      <c r="B8" s="4" t="s">
        <v>26</v>
      </c>
      <c r="C8" s="6">
        <v>10</v>
      </c>
      <c r="D8" s="45" t="s">
        <v>215</v>
      </c>
      <c r="E8" s="47">
        <v>31</v>
      </c>
      <c r="F8" s="223">
        <v>14000</v>
      </c>
      <c r="G8" s="220"/>
      <c r="H8" s="220"/>
      <c r="I8" s="144" t="s">
        <v>210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 spans="1:33" ht="12.75">
      <c r="A9" s="219">
        <v>5</v>
      </c>
      <c r="B9" s="29" t="s">
        <v>29</v>
      </c>
      <c r="C9" s="6">
        <v>10</v>
      </c>
      <c r="D9" s="45" t="s">
        <v>209</v>
      </c>
      <c r="E9" s="47">
        <v>31</v>
      </c>
      <c r="F9" s="222">
        <v>32000</v>
      </c>
      <c r="G9" s="220"/>
      <c r="H9" s="220"/>
      <c r="I9" s="100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spans="1:33" ht="12.75">
      <c r="A10" s="269">
        <v>6</v>
      </c>
      <c r="B10" s="29" t="s">
        <v>36</v>
      </c>
      <c r="C10" s="6">
        <v>7</v>
      </c>
      <c r="D10" s="45" t="s">
        <v>216</v>
      </c>
      <c r="E10" s="47">
        <v>31</v>
      </c>
      <c r="F10" s="222">
        <v>31450</v>
      </c>
      <c r="G10" s="220"/>
      <c r="H10" s="220"/>
      <c r="I10" s="144" t="s">
        <v>210</v>
      </c>
      <c r="J10" s="14"/>
      <c r="K10" s="14"/>
      <c r="L10" s="33" t="s">
        <v>0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spans="1:33" ht="12.75">
      <c r="A11" s="219">
        <v>7</v>
      </c>
      <c r="B11" s="224" t="s">
        <v>217</v>
      </c>
      <c r="C11" s="153">
        <v>7</v>
      </c>
      <c r="D11" s="154" t="s">
        <v>218</v>
      </c>
      <c r="E11" s="47">
        <v>11</v>
      </c>
      <c r="F11" s="272">
        <v>37000</v>
      </c>
      <c r="G11" s="225"/>
      <c r="H11" s="225"/>
      <c r="I11" s="144" t="s">
        <v>210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spans="1:33" ht="12.75">
      <c r="A12" s="269">
        <v>8</v>
      </c>
      <c r="B12" s="231" t="s">
        <v>219</v>
      </c>
      <c r="C12" s="98">
        <v>7</v>
      </c>
      <c r="D12" s="105" t="s">
        <v>220</v>
      </c>
      <c r="E12" s="200"/>
      <c r="F12" s="273">
        <v>15000</v>
      </c>
      <c r="G12" s="227"/>
      <c r="H12" s="227"/>
      <c r="I12" s="144" t="s">
        <v>210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33" ht="12.75">
      <c r="A13" s="269">
        <v>9</v>
      </c>
      <c r="B13" s="274" t="s">
        <v>173</v>
      </c>
      <c r="C13" s="98"/>
      <c r="D13" s="226" t="s">
        <v>221</v>
      </c>
      <c r="E13" s="47"/>
      <c r="F13" s="229">
        <v>16283</v>
      </c>
      <c r="G13" s="227"/>
      <c r="H13" s="227"/>
      <c r="I13" s="230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1:33" ht="12.75">
      <c r="A14" s="219">
        <v>10</v>
      </c>
      <c r="B14" s="97" t="s">
        <v>222</v>
      </c>
      <c r="C14" s="98">
        <v>7</v>
      </c>
      <c r="D14" s="105" t="s">
        <v>223</v>
      </c>
      <c r="E14" s="200">
        <v>30</v>
      </c>
      <c r="F14" s="273">
        <v>20000</v>
      </c>
      <c r="G14" s="227"/>
      <c r="H14" s="227"/>
      <c r="I14" s="144" t="s">
        <v>210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spans="1:33" ht="12.75">
      <c r="A15" s="269">
        <v>11</v>
      </c>
      <c r="B15" s="274" t="s">
        <v>224</v>
      </c>
      <c r="C15" s="98"/>
      <c r="D15" s="105"/>
      <c r="E15" s="200"/>
      <c r="F15" s="273" t="s">
        <v>225</v>
      </c>
      <c r="G15" s="227"/>
      <c r="H15" s="227"/>
      <c r="I15" s="228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spans="1:33" ht="12.75">
      <c r="A16" s="269">
        <v>12</v>
      </c>
      <c r="B16" s="275" t="s">
        <v>226</v>
      </c>
      <c r="C16" s="144">
        <v>7</v>
      </c>
      <c r="D16" s="203" t="s">
        <v>227</v>
      </c>
      <c r="E16" s="110"/>
      <c r="F16" s="258"/>
      <c r="G16" s="233"/>
      <c r="H16" s="258"/>
      <c r="I16" s="268" t="s">
        <v>118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spans="1:33" ht="28.5" customHeight="1">
      <c r="A17" s="276">
        <v>13</v>
      </c>
      <c r="B17" s="235"/>
      <c r="C17" s="235"/>
      <c r="D17" s="235"/>
      <c r="E17" s="235"/>
      <c r="F17" s="235"/>
      <c r="G17" s="235"/>
      <c r="H17" s="235"/>
      <c r="I17" s="235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spans="1:33" ht="28.5" customHeight="1">
      <c r="A18" s="114"/>
      <c r="B18" s="236" t="s">
        <v>177</v>
      </c>
      <c r="C18" s="100">
        <f>SUM(C4:C16)</f>
        <v>86</v>
      </c>
      <c r="D18" s="109"/>
      <c r="E18" s="110"/>
      <c r="F18" s="237">
        <f t="shared" ref="F18:H18" si="0">SUM(F4:F16)</f>
        <v>233233</v>
      </c>
      <c r="G18" s="237">
        <f t="shared" si="0"/>
        <v>0</v>
      </c>
      <c r="H18" s="237">
        <f t="shared" si="0"/>
        <v>0</v>
      </c>
      <c r="I18" s="238">
        <f>SUM(F4:H16)</f>
        <v>233233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spans="1:33" ht="93.75" customHeight="1">
      <c r="A19" s="114"/>
      <c r="B19" s="29"/>
      <c r="C19" s="6"/>
      <c r="D19" s="118"/>
      <c r="E19" s="120"/>
      <c r="F19" s="239"/>
      <c r="G19" s="114"/>
      <c r="H19" s="114"/>
      <c r="I19" s="100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spans="1:33" ht="26.25" customHeight="1">
      <c r="A20" s="2"/>
      <c r="B20" s="4"/>
      <c r="C20" s="6"/>
      <c r="D20" s="8"/>
      <c r="E20" s="11"/>
      <c r="F20" s="220"/>
      <c r="G20" s="6"/>
      <c r="H20" s="6"/>
      <c r="I20" s="100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spans="1:33" ht="25.5">
      <c r="A21" s="123" t="s">
        <v>5</v>
      </c>
      <c r="B21" s="125" t="s">
        <v>74</v>
      </c>
      <c r="C21" s="217" t="s">
        <v>159</v>
      </c>
      <c r="D21" s="129" t="s">
        <v>10</v>
      </c>
      <c r="E21" s="131" t="s">
        <v>11</v>
      </c>
      <c r="F21" s="218" t="s">
        <v>160</v>
      </c>
      <c r="G21" s="217" t="s">
        <v>161</v>
      </c>
      <c r="H21" s="127" t="s">
        <v>13</v>
      </c>
      <c r="I21" s="240" t="s">
        <v>162</v>
      </c>
      <c r="J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spans="1:33" ht="12.75">
      <c r="A22" s="132">
        <v>1</v>
      </c>
      <c r="B22" s="271" t="s">
        <v>179</v>
      </c>
      <c r="C22" s="59">
        <v>7</v>
      </c>
      <c r="D22" s="45" t="s">
        <v>209</v>
      </c>
      <c r="E22" s="11"/>
      <c r="F22" s="223"/>
      <c r="G22" s="6"/>
      <c r="H22" s="6"/>
      <c r="I22" s="277" t="s">
        <v>118</v>
      </c>
      <c r="J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spans="1:33" ht="12.75">
      <c r="A23" s="132">
        <v>2</v>
      </c>
      <c r="B23" s="275" t="s">
        <v>228</v>
      </c>
      <c r="C23" s="59">
        <v>7</v>
      </c>
      <c r="D23" s="45" t="s">
        <v>218</v>
      </c>
      <c r="E23" s="11"/>
      <c r="F23" s="223">
        <v>35000</v>
      </c>
      <c r="G23" s="6"/>
      <c r="H23" s="6"/>
      <c r="I23" s="144" t="s">
        <v>210</v>
      </c>
      <c r="J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spans="1:33" ht="33" customHeight="1">
      <c r="A24" s="132">
        <v>3</v>
      </c>
      <c r="B24" s="245" t="s">
        <v>229</v>
      </c>
      <c r="C24" s="192">
        <v>7</v>
      </c>
      <c r="D24" s="102"/>
      <c r="E24" s="110"/>
      <c r="F24" s="258"/>
      <c r="G24" s="220"/>
      <c r="H24" s="273"/>
      <c r="I24" s="144"/>
      <c r="J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spans="1:33" ht="12.75">
      <c r="A25" s="132">
        <v>4</v>
      </c>
      <c r="B25" s="29" t="s">
        <v>29</v>
      </c>
      <c r="C25" s="6">
        <v>10</v>
      </c>
      <c r="D25" s="45" t="s">
        <v>209</v>
      </c>
      <c r="E25" s="47">
        <v>31</v>
      </c>
      <c r="F25" s="223">
        <v>32000</v>
      </c>
      <c r="G25" s="6"/>
      <c r="H25" s="6"/>
      <c r="I25" s="100"/>
      <c r="J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spans="1:33" ht="12.75">
      <c r="A26" s="132">
        <v>5</v>
      </c>
      <c r="B26" s="29" t="s">
        <v>26</v>
      </c>
      <c r="C26" s="59">
        <v>7</v>
      </c>
      <c r="D26" s="45" t="s">
        <v>215</v>
      </c>
      <c r="E26" s="47">
        <v>31</v>
      </c>
      <c r="F26" s="223">
        <v>14000</v>
      </c>
      <c r="G26" s="6"/>
      <c r="H26" s="6"/>
      <c r="I26" s="144" t="s">
        <v>210</v>
      </c>
      <c r="J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spans="1:33" ht="12.75">
      <c r="A27" s="132">
        <v>6</v>
      </c>
      <c r="B27" s="29" t="s">
        <v>36</v>
      </c>
      <c r="C27" s="6">
        <v>7</v>
      </c>
      <c r="D27" s="45" t="s">
        <v>216</v>
      </c>
      <c r="E27" s="47">
        <v>31</v>
      </c>
      <c r="F27" s="223">
        <v>29750</v>
      </c>
      <c r="G27" s="6"/>
      <c r="H27" s="6"/>
      <c r="I27" s="144" t="s">
        <v>210</v>
      </c>
      <c r="J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spans="1:33" ht="14.25">
      <c r="A28" s="132">
        <v>7</v>
      </c>
      <c r="B28" s="242" t="s">
        <v>181</v>
      </c>
      <c r="C28" s="243">
        <v>5</v>
      </c>
      <c r="D28" s="45" t="s">
        <v>230</v>
      </c>
      <c r="E28" s="244">
        <v>31</v>
      </c>
      <c r="F28" s="278">
        <v>55827.42</v>
      </c>
      <c r="G28" s="6"/>
      <c r="H28" s="6"/>
      <c r="I28" s="144"/>
      <c r="J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spans="1:33" ht="12.75">
      <c r="A29" s="132">
        <v>8</v>
      </c>
      <c r="B29" s="231" t="s">
        <v>219</v>
      </c>
      <c r="C29" s="98">
        <v>7</v>
      </c>
      <c r="D29" s="105" t="s">
        <v>231</v>
      </c>
      <c r="E29" s="200"/>
      <c r="F29" s="273">
        <v>15000</v>
      </c>
      <c r="G29" s="279"/>
      <c r="H29" s="279"/>
      <c r="I29" s="144" t="s">
        <v>210</v>
      </c>
      <c r="J29" s="14"/>
      <c r="K29" s="280"/>
      <c r="L29" s="280"/>
      <c r="M29" s="280"/>
      <c r="N29" s="280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1:33" ht="12.75">
      <c r="A30" s="132">
        <v>9</v>
      </c>
      <c r="B30" s="253" t="s">
        <v>213</v>
      </c>
      <c r="C30" s="59">
        <v>7</v>
      </c>
      <c r="D30" s="45" t="s">
        <v>214</v>
      </c>
      <c r="E30" s="47"/>
      <c r="F30" s="250">
        <v>17500</v>
      </c>
      <c r="G30" s="6"/>
      <c r="H30" s="6"/>
      <c r="I30" s="144" t="s">
        <v>210</v>
      </c>
      <c r="J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  <row r="31" spans="1:33" ht="12.75">
      <c r="A31" s="132">
        <v>10</v>
      </c>
      <c r="B31" s="75" t="s">
        <v>29</v>
      </c>
      <c r="C31" s="98"/>
      <c r="D31" s="105" t="s">
        <v>232</v>
      </c>
      <c r="E31" s="47"/>
      <c r="F31" s="281">
        <v>5000</v>
      </c>
      <c r="G31" s="6"/>
      <c r="H31" s="6"/>
      <c r="I31" s="252"/>
      <c r="J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spans="1:33" ht="12.75">
      <c r="A32" s="132">
        <v>11</v>
      </c>
      <c r="B32" s="274" t="s">
        <v>233</v>
      </c>
      <c r="C32" s="98"/>
      <c r="D32" s="105" t="s">
        <v>234</v>
      </c>
      <c r="E32" s="200"/>
      <c r="F32" s="225">
        <v>25000</v>
      </c>
      <c r="G32" s="6"/>
      <c r="H32" s="6"/>
      <c r="I32" s="144" t="s">
        <v>210</v>
      </c>
      <c r="J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spans="1:33" ht="12.75">
      <c r="A33" s="132">
        <v>12</v>
      </c>
      <c r="B33" s="282" t="s">
        <v>235</v>
      </c>
      <c r="C33" s="98"/>
      <c r="D33" s="105"/>
      <c r="E33" s="200"/>
      <c r="F33" s="225" t="s">
        <v>225</v>
      </c>
      <c r="G33" s="6"/>
      <c r="H33" s="6"/>
      <c r="I33" s="230"/>
      <c r="J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 spans="1:33" ht="12.75">
      <c r="A34" s="132">
        <v>13</v>
      </c>
      <c r="B34" s="253" t="s">
        <v>236</v>
      </c>
      <c r="C34" s="98">
        <v>7</v>
      </c>
      <c r="D34" s="105"/>
      <c r="E34" s="200"/>
      <c r="F34" s="229"/>
      <c r="G34" s="6"/>
      <c r="H34" s="6"/>
      <c r="I34" s="277" t="s">
        <v>118</v>
      </c>
      <c r="J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  <row r="35" spans="1:33" ht="12.75">
      <c r="A35" s="132">
        <v>14</v>
      </c>
      <c r="B35" s="236" t="s">
        <v>211</v>
      </c>
      <c r="C35" s="144">
        <v>7</v>
      </c>
      <c r="D35" s="203" t="s">
        <v>212</v>
      </c>
      <c r="E35" s="110"/>
      <c r="F35" s="270">
        <v>20000</v>
      </c>
      <c r="G35" s="220"/>
      <c r="H35" s="223"/>
      <c r="I35" s="150"/>
      <c r="J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</row>
    <row r="36" spans="1:33" ht="12.75">
      <c r="A36" s="2"/>
      <c r="B36" s="29"/>
      <c r="C36" s="6">
        <f>SUM(C23:C35)</f>
        <v>71</v>
      </c>
      <c r="D36" s="8"/>
      <c r="E36" s="11">
        <f>SUM(E23:E34)</f>
        <v>124</v>
      </c>
      <c r="F36" s="220">
        <f>SUM(F23:F35)</f>
        <v>249077.41999999998</v>
      </c>
      <c r="G36" s="220">
        <f>SUM(G23:G34)</f>
        <v>0</v>
      </c>
      <c r="H36" s="220"/>
      <c r="I36" s="238">
        <f>SUM(F22:H35)</f>
        <v>249077.41999999998</v>
      </c>
      <c r="J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</row>
    <row r="37" spans="1:33" ht="12.75">
      <c r="A37" s="116"/>
      <c r="B37" s="29"/>
      <c r="C37" s="6"/>
      <c r="D37" s="118"/>
      <c r="E37" s="120"/>
      <c r="F37" s="255"/>
      <c r="G37" s="116"/>
      <c r="H37" s="116"/>
      <c r="I37" s="100"/>
      <c r="J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</row>
    <row r="38" spans="1:33" ht="12.75">
      <c r="A38" s="2"/>
      <c r="B38" s="29"/>
      <c r="C38" s="6"/>
      <c r="D38" s="8"/>
      <c r="E38" s="11"/>
      <c r="F38" s="220"/>
      <c r="G38" s="6"/>
      <c r="H38" s="6"/>
      <c r="I38" s="100"/>
      <c r="J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</row>
    <row r="39" spans="1:33" ht="12.75">
      <c r="A39" s="123"/>
      <c r="B39" s="125" t="s">
        <v>96</v>
      </c>
      <c r="C39" s="162"/>
      <c r="D39" s="164"/>
      <c r="E39" s="166"/>
      <c r="F39" s="256"/>
      <c r="G39" s="162"/>
      <c r="H39" s="162"/>
      <c r="I39" s="100"/>
      <c r="J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</row>
    <row r="40" spans="1:33" ht="12.75">
      <c r="A40" s="2">
        <v>1</v>
      </c>
      <c r="B40" s="4" t="s">
        <v>101</v>
      </c>
      <c r="C40" s="59"/>
      <c r="D40" s="8"/>
      <c r="E40" s="11"/>
      <c r="F40" s="223">
        <v>22000</v>
      </c>
      <c r="G40" s="6"/>
      <c r="H40" s="6"/>
      <c r="I40" s="144" t="s">
        <v>210</v>
      </c>
      <c r="J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</row>
    <row r="41" spans="1:33" ht="12.75">
      <c r="A41" s="116"/>
      <c r="B41" s="172"/>
      <c r="C41" s="116"/>
      <c r="D41" s="118"/>
      <c r="E41" s="120"/>
      <c r="F41" s="255"/>
      <c r="G41" s="116"/>
      <c r="H41" s="116"/>
      <c r="I41" s="100"/>
      <c r="J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</row>
    <row r="42" spans="1:33" ht="12.75">
      <c r="A42" s="175"/>
      <c r="B42" s="177" t="s">
        <v>106</v>
      </c>
      <c r="C42" s="175"/>
      <c r="D42" s="179"/>
      <c r="E42" s="180"/>
      <c r="F42" s="257"/>
      <c r="G42" s="175"/>
      <c r="H42" s="175"/>
      <c r="I42" s="100"/>
      <c r="J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</row>
    <row r="43" spans="1:33" ht="12.75">
      <c r="A43" s="100">
        <v>1</v>
      </c>
      <c r="B43" s="181" t="s">
        <v>101</v>
      </c>
      <c r="C43" s="144"/>
      <c r="D43" s="109"/>
      <c r="E43" s="110"/>
      <c r="F43" s="258">
        <v>15000</v>
      </c>
      <c r="G43" s="100"/>
      <c r="H43" s="100"/>
      <c r="I43" s="144" t="s">
        <v>210</v>
      </c>
      <c r="J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</row>
    <row r="44" spans="1:33" ht="12.75">
      <c r="A44" s="14"/>
      <c r="B44" s="183"/>
      <c r="C44" s="14"/>
      <c r="D44" s="185"/>
      <c r="E44" s="35"/>
      <c r="F44" s="209"/>
      <c r="G44" s="14"/>
      <c r="H44" s="14"/>
      <c r="I44" s="100"/>
      <c r="J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</row>
    <row r="45" spans="1:33" ht="12.75">
      <c r="A45" s="189"/>
      <c r="B45" s="191" t="s">
        <v>122</v>
      </c>
      <c r="C45" s="189"/>
      <c r="D45" s="193"/>
      <c r="E45" s="194" t="s">
        <v>113</v>
      </c>
      <c r="F45" s="259"/>
      <c r="G45" s="189"/>
      <c r="H45" s="189"/>
      <c r="I45" s="100"/>
      <c r="J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</row>
    <row r="46" spans="1:33" ht="12.75">
      <c r="A46" s="2" t="s">
        <v>114</v>
      </c>
      <c r="B46" s="4" t="s">
        <v>128</v>
      </c>
      <c r="C46" s="59"/>
      <c r="D46" s="8"/>
      <c r="E46" s="47">
        <v>31</v>
      </c>
      <c r="F46" s="223">
        <v>25000</v>
      </c>
      <c r="G46" s="6"/>
      <c r="H46" s="6"/>
      <c r="I46" s="144" t="s">
        <v>210</v>
      </c>
      <c r="J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</row>
    <row r="47" spans="1:33" ht="12.75">
      <c r="A47" s="59" t="s">
        <v>151</v>
      </c>
      <c r="B47" s="4" t="s">
        <v>191</v>
      </c>
      <c r="C47" s="59"/>
      <c r="D47" s="45" t="s">
        <v>193</v>
      </c>
      <c r="E47" s="47">
        <v>31</v>
      </c>
      <c r="F47" s="223">
        <v>21250</v>
      </c>
      <c r="G47" s="6"/>
      <c r="H47" s="6"/>
      <c r="I47" s="144" t="s">
        <v>210</v>
      </c>
      <c r="J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</row>
    <row r="48" spans="1:33" ht="12.75">
      <c r="A48" s="59" t="s">
        <v>152</v>
      </c>
      <c r="B48" s="4" t="s">
        <v>194</v>
      </c>
      <c r="C48" s="59"/>
      <c r="D48" s="45" t="s">
        <v>193</v>
      </c>
      <c r="E48" s="47">
        <v>31</v>
      </c>
      <c r="F48" s="223">
        <v>21250</v>
      </c>
      <c r="G48" s="6"/>
      <c r="H48" s="6"/>
      <c r="I48" s="144" t="s">
        <v>210</v>
      </c>
      <c r="J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</row>
    <row r="49" spans="1:33" ht="12.75">
      <c r="A49" s="59" t="s">
        <v>153</v>
      </c>
      <c r="B49" s="283" t="s">
        <v>237</v>
      </c>
      <c r="C49" s="59"/>
      <c r="D49" s="45" t="s">
        <v>238</v>
      </c>
      <c r="E49" s="47">
        <v>31</v>
      </c>
      <c r="F49" s="223">
        <v>21250</v>
      </c>
      <c r="G49" s="223"/>
      <c r="H49" s="6"/>
      <c r="I49" s="144" t="s">
        <v>210</v>
      </c>
      <c r="J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</row>
    <row r="50" spans="1:33" ht="12.75">
      <c r="A50" s="59" t="s">
        <v>132</v>
      </c>
      <c r="B50" s="253" t="s">
        <v>197</v>
      </c>
      <c r="C50" s="59"/>
      <c r="D50" s="45" t="s">
        <v>198</v>
      </c>
      <c r="E50" s="47">
        <v>31</v>
      </c>
      <c r="F50" s="223">
        <v>16000</v>
      </c>
      <c r="G50" s="6"/>
      <c r="H50" s="6"/>
      <c r="I50" s="144" t="s">
        <v>210</v>
      </c>
      <c r="J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</row>
    <row r="51" spans="1:33" ht="12.75">
      <c r="A51" s="14"/>
      <c r="B51" s="183"/>
      <c r="C51" s="14"/>
      <c r="D51" s="185"/>
      <c r="E51" s="35"/>
      <c r="F51" s="209"/>
      <c r="G51" s="14"/>
      <c r="H51" s="14"/>
      <c r="I51" s="100"/>
      <c r="J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</row>
    <row r="52" spans="1:33" ht="12.75">
      <c r="A52" s="189"/>
      <c r="B52" s="196" t="s">
        <v>111</v>
      </c>
      <c r="C52" s="189"/>
      <c r="D52" s="193"/>
      <c r="E52" s="194" t="s">
        <v>113</v>
      </c>
      <c r="F52" s="259"/>
      <c r="G52" s="189"/>
      <c r="H52" s="189"/>
      <c r="I52" s="100"/>
      <c r="J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</row>
    <row r="53" spans="1:33" ht="12.75">
      <c r="A53" s="2" t="s">
        <v>114</v>
      </c>
      <c r="B53" s="29" t="s">
        <v>116</v>
      </c>
      <c r="C53" s="59"/>
      <c r="D53" s="8"/>
      <c r="E53" s="47">
        <v>31</v>
      </c>
      <c r="F53" s="223">
        <v>7500</v>
      </c>
      <c r="G53" s="6"/>
      <c r="H53" s="6"/>
      <c r="I53" s="260"/>
      <c r="J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</row>
    <row r="54" spans="1:33" ht="12.75">
      <c r="A54" s="6" t="s">
        <v>119</v>
      </c>
      <c r="B54" s="29" t="s">
        <v>116</v>
      </c>
      <c r="C54" s="59"/>
      <c r="D54" s="8"/>
      <c r="E54" s="47">
        <v>31</v>
      </c>
      <c r="F54" s="223">
        <v>6500</v>
      </c>
      <c r="G54" s="6"/>
      <c r="H54" s="6"/>
      <c r="I54" s="260"/>
      <c r="J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</row>
    <row r="55" spans="1:33" ht="12.75">
      <c r="A55" s="116"/>
      <c r="B55" s="172"/>
      <c r="C55" s="116"/>
      <c r="D55" s="118"/>
      <c r="E55" s="120"/>
      <c r="F55" s="255"/>
      <c r="G55" s="116"/>
      <c r="H55" s="116"/>
      <c r="I55" s="150"/>
      <c r="J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</row>
    <row r="56" spans="1:33" ht="12.75">
      <c r="A56" s="184"/>
      <c r="B56" s="186" t="s">
        <v>123</v>
      </c>
      <c r="C56" s="187"/>
      <c r="D56" s="187"/>
      <c r="E56" s="190" t="s">
        <v>113</v>
      </c>
      <c r="F56" s="261"/>
      <c r="G56" s="187"/>
      <c r="H56" s="187"/>
      <c r="I56" s="150"/>
      <c r="J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</row>
    <row r="57" spans="1:33" ht="12.75">
      <c r="A57" s="2" t="s">
        <v>114</v>
      </c>
      <c r="B57" s="29" t="s">
        <v>125</v>
      </c>
      <c r="C57" s="59"/>
      <c r="D57" s="45" t="s">
        <v>166</v>
      </c>
      <c r="E57" s="47">
        <v>30</v>
      </c>
      <c r="F57" s="223">
        <v>10000</v>
      </c>
      <c r="G57" s="6"/>
      <c r="H57" s="6"/>
      <c r="I57" s="144" t="s">
        <v>210</v>
      </c>
      <c r="J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</row>
    <row r="58" spans="1:33" ht="12.75">
      <c r="A58" s="2" t="s">
        <v>119</v>
      </c>
      <c r="B58" s="4" t="s">
        <v>239</v>
      </c>
      <c r="C58" s="59"/>
      <c r="D58" s="59" t="s">
        <v>202</v>
      </c>
      <c r="E58" s="47">
        <v>30</v>
      </c>
      <c r="F58" s="223">
        <v>15000</v>
      </c>
      <c r="G58" s="6"/>
      <c r="H58" s="6"/>
      <c r="I58" s="144" t="s">
        <v>210</v>
      </c>
      <c r="J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</row>
    <row r="59" spans="1:33" ht="12.75">
      <c r="A59" s="144" t="s">
        <v>114</v>
      </c>
      <c r="B59" s="181"/>
      <c r="C59" s="100"/>
      <c r="D59" s="109"/>
      <c r="E59" s="262"/>
      <c r="F59" s="237"/>
      <c r="G59" s="100"/>
      <c r="H59" s="144">
        <v>14000</v>
      </c>
      <c r="I59" s="260"/>
      <c r="J59" s="260" t="s">
        <v>203</v>
      </c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</row>
    <row r="60" spans="1:33" ht="12.75">
      <c r="A60" s="144" t="s">
        <v>204</v>
      </c>
      <c r="B60" s="284" t="s">
        <v>239</v>
      </c>
      <c r="C60" s="144"/>
      <c r="D60" s="203" t="s">
        <v>240</v>
      </c>
      <c r="E60" s="262"/>
      <c r="F60" s="270">
        <v>17000</v>
      </c>
      <c r="G60" s="100"/>
      <c r="H60" s="144">
        <v>10000</v>
      </c>
      <c r="I60" s="144" t="s">
        <v>210</v>
      </c>
      <c r="J60" s="260" t="s">
        <v>205</v>
      </c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</row>
    <row r="61" spans="1:33" ht="12.75">
      <c r="A61" s="144" t="s">
        <v>132</v>
      </c>
      <c r="B61" s="181"/>
      <c r="C61" s="100"/>
      <c r="D61" s="109"/>
      <c r="E61" s="262"/>
      <c r="F61" s="237"/>
      <c r="G61" s="100"/>
      <c r="H61" s="100"/>
      <c r="I61" s="260"/>
      <c r="J61" s="260" t="s">
        <v>206</v>
      </c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</row>
    <row r="62" spans="1:33" ht="12.75">
      <c r="A62" s="100"/>
      <c r="B62" s="181"/>
      <c r="C62" s="100"/>
      <c r="D62" s="109"/>
      <c r="E62" s="262"/>
      <c r="F62" s="237"/>
      <c r="G62" s="100"/>
      <c r="H62" s="100"/>
      <c r="I62" s="150"/>
      <c r="J62" s="150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</row>
    <row r="63" spans="1:33" ht="12.75">
      <c r="A63" s="14"/>
      <c r="D63" s="1" t="s">
        <v>3</v>
      </c>
      <c r="F63" s="285">
        <f>F40+F43+F46+F47+F48+F49+F50+F53+F54+F57+F58+F59+F60+F61+F62</f>
        <v>197750</v>
      </c>
    </row>
    <row r="64" spans="1:33" ht="12.75">
      <c r="A64" s="14"/>
      <c r="F64" s="286"/>
      <c r="H64" s="266" t="s">
        <v>207</v>
      </c>
      <c r="I64" s="264">
        <f>F63+I36+I18</f>
        <v>680060.41999999993</v>
      </c>
    </row>
    <row r="65" spans="1:33" ht="12.75">
      <c r="A65" s="14"/>
      <c r="B65" s="183"/>
      <c r="C65" s="14"/>
      <c r="D65" s="185"/>
      <c r="E65" s="35"/>
      <c r="F65" s="209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</row>
    <row r="66" spans="1:33" ht="12.75">
      <c r="A66" s="14"/>
      <c r="B66" s="183"/>
      <c r="C66" s="14"/>
      <c r="D66" s="185"/>
      <c r="E66" s="35"/>
      <c r="F66" s="209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</row>
    <row r="67" spans="1:33" ht="12.75">
      <c r="A67" s="14"/>
      <c r="B67" s="207" t="s">
        <v>241</v>
      </c>
      <c r="C67" s="14"/>
      <c r="D67" s="185"/>
      <c r="E67" s="35"/>
      <c r="F67" s="209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</row>
    <row r="68" spans="1:33" ht="12.75">
      <c r="A68" s="14"/>
      <c r="B68" s="183"/>
      <c r="C68" s="14"/>
      <c r="D68" s="185"/>
      <c r="E68" s="35"/>
      <c r="F68" s="209">
        <f>F5+F7+F8+F10+F11+F12++F14+F23+F26+F27+F29+F30++F32+F40+F43+F46+F47+F49+F50+F57+F58+F60</f>
        <v>463700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</row>
    <row r="69" spans="1:33" ht="12.75">
      <c r="A69" s="14"/>
      <c r="B69" s="183"/>
      <c r="C69" s="14"/>
      <c r="D69" s="185"/>
      <c r="E69" s="35"/>
      <c r="F69" s="209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</row>
    <row r="70" spans="1:33" ht="12.75">
      <c r="A70" s="14"/>
      <c r="B70" s="183"/>
      <c r="C70" s="14"/>
      <c r="D70" s="185"/>
      <c r="E70" s="35"/>
      <c r="F70" s="209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</row>
    <row r="71" spans="1:33" ht="12.75">
      <c r="A71" s="14"/>
      <c r="B71" s="183"/>
      <c r="C71" s="14"/>
      <c r="D71" s="185"/>
      <c r="E71" s="35"/>
      <c r="F71" s="209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</row>
    <row r="72" spans="1:33" ht="12.75">
      <c r="A72" s="14"/>
      <c r="B72" s="183"/>
      <c r="C72" s="14"/>
      <c r="D72" s="185"/>
      <c r="E72" s="35"/>
      <c r="F72" s="209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</row>
    <row r="73" spans="1:33" ht="12.75">
      <c r="A73" s="14"/>
      <c r="B73" s="183"/>
      <c r="C73" s="14"/>
      <c r="D73" s="185"/>
      <c r="E73" s="35"/>
      <c r="F73" s="209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</row>
    <row r="74" spans="1:33" ht="12.75">
      <c r="A74" s="14"/>
      <c r="B74" s="183"/>
      <c r="C74" s="14"/>
      <c r="D74" s="185"/>
      <c r="E74" s="35"/>
      <c r="F74" s="209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</row>
    <row r="75" spans="1:33" ht="12.75">
      <c r="A75" s="14"/>
      <c r="B75" s="183"/>
      <c r="C75" s="14"/>
      <c r="D75" s="185"/>
      <c r="E75" s="35"/>
      <c r="F75" s="209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</row>
    <row r="76" spans="1:33" ht="12.75">
      <c r="A76" s="14"/>
      <c r="B76" s="183"/>
      <c r="C76" s="14"/>
      <c r="D76" s="185"/>
      <c r="E76" s="35"/>
      <c r="F76" s="209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</row>
    <row r="77" spans="1:33" ht="12.75">
      <c r="A77" s="14"/>
      <c r="B77" s="183"/>
      <c r="C77" s="14"/>
      <c r="D77" s="185"/>
      <c r="E77" s="35"/>
      <c r="F77" s="209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</row>
    <row r="78" spans="1:33" ht="12.75">
      <c r="A78" s="14"/>
      <c r="B78" s="183"/>
      <c r="C78" s="14"/>
      <c r="D78" s="185"/>
      <c r="E78" s="35"/>
      <c r="F78" s="209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</row>
    <row r="79" spans="1:33" ht="12.75">
      <c r="A79" s="14"/>
      <c r="B79" s="183"/>
      <c r="C79" s="14"/>
      <c r="D79" s="185"/>
      <c r="E79" s="35"/>
      <c r="F79" s="209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</row>
    <row r="80" spans="1:33" ht="12.75">
      <c r="A80" s="14"/>
      <c r="B80" s="183"/>
      <c r="C80" s="14"/>
      <c r="D80" s="185"/>
      <c r="E80" s="35"/>
      <c r="F80" s="209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</row>
    <row r="81" spans="1:33" ht="12.75">
      <c r="A81" s="14"/>
      <c r="B81" s="183"/>
      <c r="C81" s="14"/>
      <c r="D81" s="185"/>
      <c r="E81" s="35"/>
      <c r="F81" s="209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</row>
    <row r="82" spans="1:33" ht="12.75">
      <c r="A82" s="14"/>
      <c r="B82" s="183"/>
      <c r="C82" s="14"/>
      <c r="D82" s="185"/>
      <c r="E82" s="35"/>
      <c r="F82" s="209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</row>
    <row r="83" spans="1:33" ht="12.75">
      <c r="A83" s="14"/>
      <c r="B83" s="183"/>
      <c r="C83" s="14"/>
      <c r="D83" s="185"/>
      <c r="E83" s="35"/>
      <c r="F83" s="209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</row>
    <row r="84" spans="1:33" ht="12.75">
      <c r="A84" s="14"/>
      <c r="B84" s="183"/>
      <c r="C84" s="14"/>
      <c r="D84" s="185"/>
      <c r="E84" s="35"/>
      <c r="F84" s="209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</row>
    <row r="85" spans="1:33" ht="12.75">
      <c r="A85" s="14"/>
      <c r="B85" s="183"/>
      <c r="C85" s="14"/>
      <c r="D85" s="185"/>
      <c r="E85" s="35"/>
      <c r="F85" s="209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</row>
    <row r="86" spans="1:33" ht="12.75">
      <c r="A86" s="14"/>
      <c r="B86" s="183"/>
      <c r="C86" s="14"/>
      <c r="D86" s="185"/>
      <c r="E86" s="35"/>
      <c r="F86" s="209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</row>
    <row r="87" spans="1:33" ht="12.75">
      <c r="A87" s="14"/>
      <c r="B87" s="183"/>
      <c r="C87" s="14"/>
      <c r="D87" s="185"/>
      <c r="E87" s="35"/>
      <c r="F87" s="209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</row>
    <row r="88" spans="1:33" ht="12.75">
      <c r="A88" s="14"/>
      <c r="B88" s="183"/>
      <c r="C88" s="14"/>
      <c r="D88" s="185"/>
      <c r="E88" s="35"/>
      <c r="F88" s="209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</row>
    <row r="89" spans="1:33" ht="12.75">
      <c r="A89" s="14"/>
      <c r="B89" s="183"/>
      <c r="C89" s="14"/>
      <c r="D89" s="185"/>
      <c r="E89" s="35"/>
      <c r="F89" s="209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</row>
    <row r="90" spans="1:33" ht="12.75">
      <c r="A90" s="14"/>
      <c r="B90" s="183"/>
      <c r="C90" s="14"/>
      <c r="D90" s="185"/>
      <c r="E90" s="35"/>
      <c r="F90" s="209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</row>
    <row r="91" spans="1:33" ht="12.75">
      <c r="A91" s="14"/>
      <c r="B91" s="183"/>
      <c r="C91" s="14"/>
      <c r="D91" s="185"/>
      <c r="E91" s="35"/>
      <c r="F91" s="209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</row>
    <row r="92" spans="1:33" ht="12.75">
      <c r="A92" s="14"/>
      <c r="B92" s="183"/>
      <c r="C92" s="14"/>
      <c r="D92" s="185"/>
      <c r="E92" s="35"/>
      <c r="F92" s="209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</row>
    <row r="93" spans="1:33" ht="12.75">
      <c r="A93" s="14"/>
      <c r="B93" s="183"/>
      <c r="C93" s="14"/>
      <c r="D93" s="185"/>
      <c r="E93" s="35"/>
      <c r="F93" s="209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</row>
    <row r="94" spans="1:33" ht="12.75">
      <c r="A94" s="14"/>
      <c r="B94" s="183"/>
      <c r="C94" s="14"/>
      <c r="D94" s="185"/>
      <c r="E94" s="35"/>
      <c r="F94" s="209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</row>
    <row r="95" spans="1:33" ht="12.75">
      <c r="A95" s="14"/>
      <c r="B95" s="183"/>
      <c r="C95" s="14"/>
      <c r="D95" s="185"/>
      <c r="E95" s="35"/>
      <c r="F95" s="209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</row>
    <row r="96" spans="1:33" ht="12.75">
      <c r="A96" s="14"/>
      <c r="B96" s="183"/>
      <c r="C96" s="14"/>
      <c r="D96" s="185"/>
      <c r="E96" s="35"/>
      <c r="F96" s="209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</row>
    <row r="97" spans="1:33" ht="12.75">
      <c r="A97" s="14"/>
      <c r="B97" s="183"/>
      <c r="C97" s="14"/>
      <c r="D97" s="185"/>
      <c r="E97" s="35"/>
      <c r="F97" s="209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</row>
    <row r="98" spans="1:33" ht="12.75">
      <c r="A98" s="14"/>
      <c r="B98" s="183"/>
      <c r="C98" s="14"/>
      <c r="D98" s="185"/>
      <c r="E98" s="35"/>
      <c r="F98" s="209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</row>
    <row r="99" spans="1:33" ht="12.75">
      <c r="A99" s="14"/>
      <c r="B99" s="183"/>
      <c r="C99" s="14"/>
      <c r="D99" s="185"/>
      <c r="E99" s="35"/>
      <c r="F99" s="209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</row>
    <row r="100" spans="1:33" ht="12.75">
      <c r="A100" s="14"/>
      <c r="B100" s="183"/>
      <c r="C100" s="14"/>
      <c r="D100" s="185"/>
      <c r="E100" s="35"/>
      <c r="F100" s="209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</row>
    <row r="101" spans="1:33" ht="12.75">
      <c r="A101" s="14"/>
      <c r="B101" s="183"/>
      <c r="C101" s="14"/>
      <c r="D101" s="185"/>
      <c r="E101" s="35"/>
      <c r="F101" s="209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</row>
    <row r="102" spans="1:33" ht="12.75">
      <c r="A102" s="14"/>
      <c r="B102" s="183"/>
      <c r="C102" s="14"/>
      <c r="D102" s="185"/>
      <c r="E102" s="35"/>
      <c r="F102" s="209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</row>
    <row r="103" spans="1:33" ht="12.75">
      <c r="A103" s="14"/>
      <c r="B103" s="183"/>
      <c r="C103" s="14"/>
      <c r="D103" s="185"/>
      <c r="E103" s="35"/>
      <c r="F103" s="209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</row>
    <row r="104" spans="1:33" ht="12.75">
      <c r="A104" s="14"/>
      <c r="B104" s="183"/>
      <c r="C104" s="14"/>
      <c r="D104" s="185"/>
      <c r="E104" s="35"/>
      <c r="F104" s="209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</row>
    <row r="105" spans="1:33" ht="12.75">
      <c r="A105" s="14"/>
      <c r="B105" s="183"/>
      <c r="C105" s="14"/>
      <c r="D105" s="185"/>
      <c r="E105" s="35"/>
      <c r="F105" s="209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</row>
    <row r="106" spans="1:33" ht="12.75">
      <c r="A106" s="14"/>
      <c r="B106" s="183"/>
      <c r="C106" s="14"/>
      <c r="D106" s="185"/>
      <c r="E106" s="35"/>
      <c r="F106" s="209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</row>
    <row r="107" spans="1:33" ht="12.75">
      <c r="A107" s="14"/>
      <c r="B107" s="183"/>
      <c r="C107" s="14"/>
      <c r="D107" s="185"/>
      <c r="E107" s="35"/>
      <c r="F107" s="209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</row>
    <row r="108" spans="1:33" ht="12.75">
      <c r="A108" s="14"/>
      <c r="B108" s="183"/>
      <c r="C108" s="14"/>
      <c r="D108" s="185"/>
      <c r="E108" s="35"/>
      <c r="F108" s="209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</row>
    <row r="109" spans="1:33" ht="12.75">
      <c r="A109" s="14"/>
      <c r="B109" s="183"/>
      <c r="C109" s="14"/>
      <c r="D109" s="185"/>
      <c r="E109" s="35"/>
      <c r="F109" s="209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</row>
    <row r="110" spans="1:33" ht="12.75">
      <c r="A110" s="14"/>
      <c r="B110" s="183"/>
      <c r="C110" s="14"/>
      <c r="D110" s="185"/>
      <c r="E110" s="35"/>
      <c r="F110" s="209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</row>
    <row r="111" spans="1:33" ht="12.75">
      <c r="A111" s="14"/>
      <c r="B111" s="183"/>
      <c r="C111" s="14"/>
      <c r="D111" s="185"/>
      <c r="E111" s="35"/>
      <c r="F111" s="209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</row>
    <row r="112" spans="1:33" ht="12.75">
      <c r="A112" s="14"/>
      <c r="B112" s="183"/>
      <c r="C112" s="14"/>
      <c r="D112" s="185"/>
      <c r="E112" s="35"/>
      <c r="F112" s="209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</row>
    <row r="113" spans="1:33" ht="12.75">
      <c r="A113" s="14"/>
      <c r="B113" s="183"/>
      <c r="C113" s="14"/>
      <c r="D113" s="185"/>
      <c r="E113" s="35"/>
      <c r="F113" s="209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</row>
    <row r="114" spans="1:33" ht="12.75">
      <c r="A114" s="14"/>
      <c r="B114" s="183"/>
      <c r="C114" s="14"/>
      <c r="D114" s="185"/>
      <c r="E114" s="35"/>
      <c r="F114" s="209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</row>
    <row r="115" spans="1:33" ht="12.75">
      <c r="A115" s="14"/>
      <c r="B115" s="183"/>
      <c r="C115" s="14"/>
      <c r="D115" s="185"/>
      <c r="E115" s="35"/>
      <c r="F115" s="209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</row>
    <row r="116" spans="1:33" ht="12.75">
      <c r="A116" s="14"/>
      <c r="B116" s="183"/>
      <c r="C116" s="14"/>
      <c r="D116" s="185"/>
      <c r="E116" s="35"/>
      <c r="F116" s="209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</row>
    <row r="117" spans="1:33" ht="12.75">
      <c r="A117" s="14"/>
      <c r="B117" s="183"/>
      <c r="C117" s="14"/>
      <c r="D117" s="185"/>
      <c r="E117" s="35"/>
      <c r="F117" s="209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</row>
    <row r="118" spans="1:33" ht="12.75">
      <c r="A118" s="14"/>
      <c r="B118" s="183"/>
      <c r="C118" s="14"/>
      <c r="D118" s="185"/>
      <c r="E118" s="35"/>
      <c r="F118" s="209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</row>
    <row r="119" spans="1:33" ht="12.75">
      <c r="A119" s="14"/>
      <c r="B119" s="183"/>
      <c r="C119" s="14"/>
      <c r="D119" s="185"/>
      <c r="E119" s="35"/>
      <c r="F119" s="209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</row>
    <row r="120" spans="1:33" ht="12.75">
      <c r="A120" s="14"/>
      <c r="B120" s="183"/>
      <c r="C120" s="14"/>
      <c r="D120" s="185"/>
      <c r="E120" s="35"/>
      <c r="F120" s="209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</row>
    <row r="121" spans="1:33" ht="12.75">
      <c r="A121" s="14"/>
      <c r="B121" s="183"/>
      <c r="C121" s="14"/>
      <c r="D121" s="185"/>
      <c r="E121" s="35"/>
      <c r="F121" s="209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</row>
    <row r="122" spans="1:33" ht="12.75">
      <c r="A122" s="14"/>
      <c r="B122" s="183"/>
      <c r="C122" s="14"/>
      <c r="D122" s="185"/>
      <c r="E122" s="35"/>
      <c r="F122" s="209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</row>
    <row r="123" spans="1:33" ht="12.75">
      <c r="A123" s="14"/>
      <c r="B123" s="183"/>
      <c r="C123" s="14"/>
      <c r="D123" s="185"/>
      <c r="E123" s="35"/>
      <c r="F123" s="209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</row>
    <row r="124" spans="1:33" ht="12.75">
      <c r="A124" s="14"/>
      <c r="B124" s="183"/>
      <c r="C124" s="14"/>
      <c r="D124" s="185"/>
      <c r="E124" s="35"/>
      <c r="F124" s="209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</row>
    <row r="125" spans="1:33" ht="12.75">
      <c r="A125" s="14"/>
      <c r="B125" s="183"/>
      <c r="C125" s="14"/>
      <c r="D125" s="185"/>
      <c r="E125" s="35"/>
      <c r="F125" s="209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</row>
    <row r="126" spans="1:33" ht="12.75">
      <c r="A126" s="14"/>
      <c r="B126" s="183"/>
      <c r="C126" s="14"/>
      <c r="D126" s="185"/>
      <c r="E126" s="35"/>
      <c r="F126" s="209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</row>
    <row r="127" spans="1:33" ht="12.75">
      <c r="A127" s="14"/>
      <c r="B127" s="183"/>
      <c r="C127" s="14"/>
      <c r="D127" s="185"/>
      <c r="E127" s="35"/>
      <c r="F127" s="209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</row>
    <row r="128" spans="1:33" ht="12.75">
      <c r="A128" s="14"/>
      <c r="B128" s="183"/>
      <c r="C128" s="14"/>
      <c r="D128" s="185"/>
      <c r="E128" s="35"/>
      <c r="F128" s="209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</row>
    <row r="129" spans="1:33" ht="12.75">
      <c r="A129" s="14"/>
      <c r="B129" s="183"/>
      <c r="C129" s="14"/>
      <c r="D129" s="185"/>
      <c r="E129" s="35"/>
      <c r="F129" s="209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</row>
    <row r="130" spans="1:33" ht="12.75">
      <c r="A130" s="14"/>
      <c r="B130" s="183"/>
      <c r="C130" s="14"/>
      <c r="D130" s="185"/>
      <c r="E130" s="35"/>
      <c r="F130" s="209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</row>
    <row r="131" spans="1:33" ht="12.75">
      <c r="A131" s="14"/>
      <c r="B131" s="183"/>
      <c r="C131" s="14"/>
      <c r="D131" s="185"/>
      <c r="E131" s="35"/>
      <c r="F131" s="209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</row>
    <row r="132" spans="1:33" ht="12.75">
      <c r="A132" s="14"/>
      <c r="B132" s="183"/>
      <c r="C132" s="14"/>
      <c r="D132" s="185"/>
      <c r="E132" s="35"/>
      <c r="F132" s="209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</row>
    <row r="133" spans="1:33" ht="12.75">
      <c r="A133" s="14"/>
      <c r="B133" s="183"/>
      <c r="C133" s="14"/>
      <c r="D133" s="185"/>
      <c r="E133" s="35"/>
      <c r="F133" s="209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</row>
    <row r="134" spans="1:33" ht="12.75">
      <c r="A134" s="14"/>
      <c r="B134" s="183"/>
      <c r="C134" s="14"/>
      <c r="D134" s="185"/>
      <c r="E134" s="35"/>
      <c r="F134" s="209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</row>
    <row r="135" spans="1:33" ht="12.75">
      <c r="A135" s="14"/>
      <c r="B135" s="183"/>
      <c r="C135" s="14"/>
      <c r="D135" s="185"/>
      <c r="E135" s="35"/>
      <c r="F135" s="209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</row>
    <row r="136" spans="1:33" ht="12.75">
      <c r="A136" s="14"/>
      <c r="B136" s="183"/>
      <c r="C136" s="14"/>
      <c r="D136" s="185"/>
      <c r="E136" s="35"/>
      <c r="F136" s="209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</row>
    <row r="137" spans="1:33" ht="12.75">
      <c r="A137" s="14"/>
      <c r="B137" s="183"/>
      <c r="C137" s="14"/>
      <c r="D137" s="185"/>
      <c r="E137" s="35"/>
      <c r="F137" s="209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</row>
    <row r="138" spans="1:33" ht="12.75">
      <c r="A138" s="14"/>
      <c r="B138" s="183"/>
      <c r="C138" s="14"/>
      <c r="D138" s="185"/>
      <c r="E138" s="35"/>
      <c r="F138" s="209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</row>
    <row r="139" spans="1:33" ht="12.75">
      <c r="A139" s="14"/>
      <c r="B139" s="183"/>
      <c r="C139" s="14"/>
      <c r="D139" s="185"/>
      <c r="E139" s="35"/>
      <c r="F139" s="209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</row>
    <row r="140" spans="1:33" ht="12.75">
      <c r="A140" s="14"/>
      <c r="B140" s="183"/>
      <c r="C140" s="14"/>
      <c r="D140" s="185"/>
      <c r="E140" s="35"/>
      <c r="F140" s="209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</row>
    <row r="141" spans="1:33" ht="12.75">
      <c r="A141" s="14"/>
      <c r="B141" s="206"/>
      <c r="C141" s="6"/>
      <c r="D141" s="185"/>
      <c r="E141" s="35"/>
      <c r="F141" s="209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</row>
    <row r="142" spans="1:33" ht="12.75">
      <c r="A142" s="14"/>
      <c r="B142" s="206"/>
      <c r="C142" s="6"/>
      <c r="D142" s="185"/>
      <c r="E142" s="35"/>
      <c r="F142" s="209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</row>
    <row r="143" spans="1:33" ht="12.75">
      <c r="A143" s="14"/>
      <c r="B143" s="206"/>
      <c r="C143" s="6"/>
      <c r="D143" s="185"/>
      <c r="E143" s="35"/>
      <c r="F143" s="209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</row>
    <row r="144" spans="1:33" ht="12.75">
      <c r="A144" s="14"/>
      <c r="B144" s="206"/>
      <c r="C144" s="6"/>
      <c r="D144" s="185"/>
      <c r="E144" s="35"/>
      <c r="F144" s="209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</row>
    <row r="145" spans="1:33" ht="12.75">
      <c r="A145" s="14"/>
      <c r="B145" s="206"/>
      <c r="C145" s="6"/>
      <c r="D145" s="185"/>
      <c r="E145" s="35"/>
      <c r="F145" s="209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</row>
    <row r="146" spans="1:33" ht="12.75">
      <c r="A146" s="14"/>
      <c r="B146" s="206"/>
      <c r="C146" s="6"/>
      <c r="D146" s="185"/>
      <c r="E146" s="35"/>
      <c r="F146" s="209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</row>
    <row r="147" spans="1:33" ht="12.75">
      <c r="A147" s="14"/>
      <c r="B147" s="206"/>
      <c r="C147" s="6"/>
      <c r="D147" s="185"/>
      <c r="E147" s="35"/>
      <c r="F147" s="209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</row>
    <row r="148" spans="1:33" ht="12.75">
      <c r="A148" s="14"/>
      <c r="B148" s="206"/>
      <c r="C148" s="6"/>
      <c r="D148" s="185"/>
      <c r="E148" s="35"/>
      <c r="F148" s="209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</row>
    <row r="149" spans="1:33" ht="12.75">
      <c r="A149" s="14"/>
      <c r="B149" s="206"/>
      <c r="C149" s="6"/>
      <c r="D149" s="185"/>
      <c r="E149" s="35"/>
      <c r="F149" s="209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</row>
    <row r="150" spans="1:33" ht="12.75">
      <c r="A150" s="14"/>
      <c r="B150" s="206"/>
      <c r="C150" s="6"/>
      <c r="D150" s="185"/>
      <c r="E150" s="35"/>
      <c r="F150" s="209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</row>
    <row r="151" spans="1:33" ht="12.75">
      <c r="A151" s="14"/>
      <c r="B151" s="206"/>
      <c r="C151" s="6"/>
      <c r="D151" s="185"/>
      <c r="E151" s="35"/>
      <c r="F151" s="209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</row>
    <row r="152" spans="1:33" ht="12.75">
      <c r="A152" s="14"/>
      <c r="B152" s="206"/>
      <c r="C152" s="6"/>
      <c r="D152" s="185"/>
      <c r="E152" s="35"/>
      <c r="F152" s="209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</row>
    <row r="153" spans="1:33" ht="12.75">
      <c r="A153" s="14"/>
      <c r="B153" s="206"/>
      <c r="C153" s="6"/>
      <c r="D153" s="185"/>
      <c r="E153" s="35"/>
      <c r="F153" s="209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</row>
    <row r="154" spans="1:33" ht="12.75">
      <c r="A154" s="14"/>
      <c r="B154" s="206"/>
      <c r="C154" s="6"/>
      <c r="D154" s="185"/>
      <c r="E154" s="35"/>
      <c r="F154" s="209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</row>
    <row r="155" spans="1:33" ht="12.75">
      <c r="A155" s="14"/>
      <c r="B155" s="206"/>
      <c r="C155" s="6"/>
      <c r="D155" s="185"/>
      <c r="E155" s="35"/>
      <c r="F155" s="209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</row>
    <row r="156" spans="1:33" ht="12.75">
      <c r="A156" s="14"/>
      <c r="B156" s="206"/>
      <c r="C156" s="6"/>
      <c r="D156" s="185"/>
      <c r="E156" s="35"/>
      <c r="F156" s="209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</row>
    <row r="157" spans="1:33" ht="12.75">
      <c r="A157" s="14"/>
      <c r="B157" s="206"/>
      <c r="C157" s="6"/>
      <c r="D157" s="185"/>
      <c r="E157" s="35"/>
      <c r="F157" s="209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</row>
    <row r="158" spans="1:33" ht="12.75">
      <c r="A158" s="14"/>
      <c r="B158" s="206"/>
      <c r="C158" s="6"/>
      <c r="D158" s="185"/>
      <c r="E158" s="35"/>
      <c r="F158" s="209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</row>
    <row r="159" spans="1:33" ht="12.75">
      <c r="A159" s="14"/>
      <c r="B159" s="206"/>
      <c r="C159" s="6"/>
      <c r="D159" s="185"/>
      <c r="E159" s="35"/>
      <c r="F159" s="209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</row>
    <row r="160" spans="1:33" ht="12.75">
      <c r="A160" s="14"/>
      <c r="B160" s="206"/>
      <c r="C160" s="6"/>
      <c r="D160" s="185"/>
      <c r="E160" s="35"/>
      <c r="F160" s="209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</row>
    <row r="161" spans="1:33" ht="12.75">
      <c r="A161" s="14"/>
      <c r="B161" s="206"/>
      <c r="C161" s="6"/>
      <c r="D161" s="185"/>
      <c r="E161" s="35"/>
      <c r="F161" s="209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</row>
    <row r="162" spans="1:33" ht="12.75">
      <c r="A162" s="14"/>
      <c r="B162" s="206"/>
      <c r="C162" s="6"/>
      <c r="D162" s="185"/>
      <c r="E162" s="35"/>
      <c r="F162" s="209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</row>
    <row r="163" spans="1:33" ht="12.75">
      <c r="A163" s="14"/>
      <c r="B163" s="206"/>
      <c r="C163" s="6"/>
      <c r="D163" s="185"/>
      <c r="E163" s="35"/>
      <c r="F163" s="209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</row>
    <row r="164" spans="1:33" ht="12.75">
      <c r="A164" s="14"/>
      <c r="B164" s="206"/>
      <c r="C164" s="6"/>
      <c r="D164" s="185"/>
      <c r="E164" s="35"/>
      <c r="F164" s="209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</row>
    <row r="165" spans="1:33" ht="12.75">
      <c r="A165" s="14"/>
      <c r="B165" s="206"/>
      <c r="C165" s="6"/>
      <c r="D165" s="185"/>
      <c r="E165" s="35"/>
      <c r="F165" s="209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</row>
    <row r="166" spans="1:33" ht="12.75">
      <c r="A166" s="14"/>
      <c r="B166" s="206"/>
      <c r="C166" s="6"/>
      <c r="D166" s="185"/>
      <c r="E166" s="35"/>
      <c r="F166" s="209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</row>
    <row r="167" spans="1:33" ht="12.75">
      <c r="A167" s="14"/>
      <c r="B167" s="206"/>
      <c r="C167" s="6"/>
      <c r="D167" s="185"/>
      <c r="E167" s="35"/>
      <c r="F167" s="209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</row>
    <row r="168" spans="1:33" ht="12.75">
      <c r="A168" s="14"/>
      <c r="B168" s="206"/>
      <c r="C168" s="6"/>
      <c r="D168" s="185"/>
      <c r="E168" s="35"/>
      <c r="F168" s="209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</row>
    <row r="169" spans="1:33" ht="12.75">
      <c r="A169" s="14"/>
      <c r="B169" s="206"/>
      <c r="C169" s="6"/>
      <c r="D169" s="185"/>
      <c r="E169" s="35"/>
      <c r="F169" s="209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</row>
    <row r="170" spans="1:33" ht="12.75">
      <c r="A170" s="14"/>
      <c r="B170" s="206"/>
      <c r="C170" s="6"/>
      <c r="D170" s="185"/>
      <c r="E170" s="35"/>
      <c r="F170" s="209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</row>
    <row r="171" spans="1:33" ht="12.75">
      <c r="A171" s="14"/>
      <c r="B171" s="206"/>
      <c r="C171" s="6"/>
      <c r="D171" s="185"/>
      <c r="E171" s="35"/>
      <c r="F171" s="209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</row>
    <row r="172" spans="1:33" ht="12.75">
      <c r="A172" s="14"/>
      <c r="B172" s="206"/>
      <c r="C172" s="6"/>
      <c r="D172" s="185"/>
      <c r="E172" s="35"/>
      <c r="F172" s="209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</row>
    <row r="173" spans="1:33" ht="12.75">
      <c r="A173" s="14"/>
      <c r="B173" s="206"/>
      <c r="C173" s="6"/>
      <c r="D173" s="185"/>
      <c r="E173" s="35"/>
      <c r="F173" s="209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</row>
    <row r="174" spans="1:33" ht="12.75">
      <c r="A174" s="14"/>
      <c r="B174" s="206"/>
      <c r="C174" s="6"/>
      <c r="D174" s="185"/>
      <c r="E174" s="35"/>
      <c r="F174" s="209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</row>
    <row r="175" spans="1:33" ht="12.75">
      <c r="A175" s="14"/>
      <c r="B175" s="206"/>
      <c r="C175" s="6"/>
      <c r="D175" s="185"/>
      <c r="E175" s="35"/>
      <c r="F175" s="209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</row>
    <row r="176" spans="1:33" ht="12.75">
      <c r="A176" s="14"/>
      <c r="B176" s="206"/>
      <c r="C176" s="6"/>
      <c r="D176" s="185"/>
      <c r="E176" s="35"/>
      <c r="F176" s="209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</row>
    <row r="177" spans="1:33" ht="12.75">
      <c r="A177" s="14"/>
      <c r="B177" s="206"/>
      <c r="C177" s="6"/>
      <c r="D177" s="185"/>
      <c r="E177" s="35"/>
      <c r="F177" s="209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</row>
    <row r="178" spans="1:33" ht="12.75">
      <c r="A178" s="14"/>
      <c r="B178" s="206"/>
      <c r="C178" s="6"/>
      <c r="D178" s="185"/>
      <c r="E178" s="35"/>
      <c r="F178" s="209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</row>
    <row r="179" spans="1:33" ht="12.75">
      <c r="A179" s="14"/>
      <c r="B179" s="206"/>
      <c r="C179" s="6"/>
      <c r="D179" s="185"/>
      <c r="E179" s="35"/>
      <c r="F179" s="209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</row>
    <row r="180" spans="1:33" ht="12.75">
      <c r="A180" s="14"/>
      <c r="B180" s="206"/>
      <c r="C180" s="6"/>
      <c r="D180" s="185"/>
      <c r="E180" s="35"/>
      <c r="F180" s="209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</row>
    <row r="181" spans="1:33" ht="12.75">
      <c r="A181" s="14"/>
      <c r="B181" s="206"/>
      <c r="C181" s="6"/>
      <c r="D181" s="185"/>
      <c r="E181" s="35"/>
      <c r="F181" s="209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</row>
    <row r="182" spans="1:33" ht="12.75">
      <c r="A182" s="14"/>
      <c r="B182" s="206"/>
      <c r="C182" s="6"/>
      <c r="D182" s="185"/>
      <c r="E182" s="35"/>
      <c r="F182" s="209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</row>
    <row r="183" spans="1:33" ht="12.75">
      <c r="A183" s="14"/>
      <c r="B183" s="206"/>
      <c r="C183" s="6"/>
      <c r="D183" s="185"/>
      <c r="E183" s="35"/>
      <c r="F183" s="209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</row>
    <row r="184" spans="1:33" ht="12.75">
      <c r="A184" s="14"/>
      <c r="B184" s="206"/>
      <c r="C184" s="6"/>
      <c r="D184" s="185"/>
      <c r="E184" s="35"/>
      <c r="F184" s="209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</row>
    <row r="185" spans="1:33" ht="12.75">
      <c r="A185" s="14"/>
      <c r="B185" s="206"/>
      <c r="C185" s="6"/>
      <c r="D185" s="185"/>
      <c r="E185" s="35"/>
      <c r="F185" s="209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</row>
    <row r="186" spans="1:33" ht="12.75">
      <c r="A186" s="14"/>
      <c r="B186" s="206"/>
      <c r="C186" s="6"/>
      <c r="D186" s="185"/>
      <c r="E186" s="35"/>
      <c r="F186" s="209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</row>
    <row r="187" spans="1:33" ht="12.75">
      <c r="A187" s="14"/>
      <c r="B187" s="206"/>
      <c r="C187" s="6"/>
      <c r="D187" s="185"/>
      <c r="E187" s="35"/>
      <c r="F187" s="209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</row>
    <row r="188" spans="1:33" ht="12.75">
      <c r="A188" s="14"/>
      <c r="B188" s="206"/>
      <c r="C188" s="6"/>
      <c r="D188" s="185"/>
      <c r="E188" s="35"/>
      <c r="F188" s="209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</row>
    <row r="189" spans="1:33" ht="12.75">
      <c r="A189" s="14"/>
      <c r="B189" s="206"/>
      <c r="C189" s="6"/>
      <c r="D189" s="185"/>
      <c r="E189" s="35"/>
      <c r="F189" s="209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</row>
    <row r="190" spans="1:33" ht="12.75">
      <c r="A190" s="14"/>
      <c r="B190" s="206"/>
      <c r="C190" s="6"/>
      <c r="D190" s="185"/>
      <c r="E190" s="35"/>
      <c r="F190" s="209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</row>
    <row r="191" spans="1:33" ht="12.75">
      <c r="A191" s="14"/>
      <c r="B191" s="206"/>
      <c r="C191" s="6"/>
      <c r="D191" s="185"/>
      <c r="E191" s="35"/>
      <c r="F191" s="209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</row>
    <row r="192" spans="1:33" ht="12.75">
      <c r="A192" s="14"/>
      <c r="B192" s="206"/>
      <c r="C192" s="6"/>
      <c r="D192" s="185"/>
      <c r="E192" s="35"/>
      <c r="F192" s="209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</row>
    <row r="193" spans="1:33" ht="12.75">
      <c r="A193" s="14"/>
      <c r="B193" s="206"/>
      <c r="C193" s="6"/>
      <c r="D193" s="185"/>
      <c r="E193" s="35"/>
      <c r="F193" s="209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</row>
    <row r="194" spans="1:33" ht="12.75">
      <c r="A194" s="14"/>
      <c r="B194" s="206"/>
      <c r="C194" s="6"/>
      <c r="D194" s="185"/>
      <c r="E194" s="35"/>
      <c r="F194" s="209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</row>
    <row r="195" spans="1:33" ht="12.75">
      <c r="A195" s="14"/>
      <c r="B195" s="206"/>
      <c r="C195" s="6"/>
      <c r="D195" s="185"/>
      <c r="E195" s="35"/>
      <c r="F195" s="209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</row>
    <row r="196" spans="1:33" ht="12.75">
      <c r="A196" s="14"/>
      <c r="B196" s="206"/>
      <c r="C196" s="6"/>
      <c r="D196" s="185"/>
      <c r="E196" s="35"/>
      <c r="F196" s="209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</row>
    <row r="197" spans="1:33" ht="12.75">
      <c r="A197" s="14"/>
      <c r="B197" s="206"/>
      <c r="C197" s="6"/>
      <c r="D197" s="185"/>
      <c r="E197" s="35"/>
      <c r="F197" s="209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</row>
    <row r="198" spans="1:33" ht="12.75">
      <c r="A198" s="14"/>
      <c r="B198" s="206"/>
      <c r="C198" s="6"/>
      <c r="D198" s="185"/>
      <c r="E198" s="35"/>
      <c r="F198" s="209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</row>
    <row r="199" spans="1:33" ht="12.75">
      <c r="A199" s="14"/>
      <c r="B199" s="206"/>
      <c r="C199" s="6"/>
      <c r="D199" s="185"/>
      <c r="E199" s="35"/>
      <c r="F199" s="209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</row>
    <row r="200" spans="1:33" ht="12.75">
      <c r="A200" s="14"/>
      <c r="B200" s="206"/>
      <c r="C200" s="6"/>
      <c r="D200" s="185"/>
      <c r="E200" s="35"/>
      <c r="F200" s="209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</row>
    <row r="201" spans="1:33" ht="12.75">
      <c r="A201" s="14"/>
      <c r="B201" s="206"/>
      <c r="C201" s="6"/>
      <c r="D201" s="185"/>
      <c r="E201" s="35"/>
      <c r="F201" s="209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</row>
    <row r="202" spans="1:33" ht="12.75">
      <c r="A202" s="14"/>
      <c r="B202" s="206"/>
      <c r="C202" s="6"/>
      <c r="D202" s="185"/>
      <c r="E202" s="35"/>
      <c r="F202" s="209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</row>
    <row r="203" spans="1:33" ht="12.75">
      <c r="A203" s="14"/>
      <c r="B203" s="206"/>
      <c r="C203" s="6"/>
      <c r="D203" s="185"/>
      <c r="E203" s="35"/>
      <c r="F203" s="209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</row>
    <row r="204" spans="1:33" ht="12.75">
      <c r="A204" s="14"/>
      <c r="B204" s="206"/>
      <c r="C204" s="6"/>
      <c r="D204" s="185"/>
      <c r="E204" s="35"/>
      <c r="F204" s="209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</row>
    <row r="205" spans="1:33" ht="12.75">
      <c r="A205" s="14"/>
      <c r="B205" s="206"/>
      <c r="C205" s="6"/>
      <c r="D205" s="185"/>
      <c r="E205" s="35"/>
      <c r="F205" s="209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</row>
    <row r="206" spans="1:33" ht="12.75">
      <c r="A206" s="14"/>
      <c r="B206" s="206"/>
      <c r="C206" s="6"/>
      <c r="D206" s="185"/>
      <c r="E206" s="35"/>
      <c r="F206" s="209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</row>
    <row r="207" spans="1:33" ht="12.75">
      <c r="A207" s="14"/>
      <c r="B207" s="206"/>
      <c r="C207" s="6"/>
      <c r="D207" s="185"/>
      <c r="E207" s="35"/>
      <c r="F207" s="209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</row>
    <row r="208" spans="1:33" ht="12.75">
      <c r="A208" s="14"/>
      <c r="B208" s="206"/>
      <c r="C208" s="6"/>
      <c r="D208" s="185"/>
      <c r="E208" s="35"/>
      <c r="F208" s="209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</row>
    <row r="209" spans="1:33" ht="12.75">
      <c r="A209" s="14"/>
      <c r="B209" s="206"/>
      <c r="C209" s="6"/>
      <c r="D209" s="185"/>
      <c r="E209" s="35"/>
      <c r="F209" s="209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</row>
    <row r="210" spans="1:33" ht="12.75">
      <c r="A210" s="14"/>
      <c r="B210" s="206"/>
      <c r="C210" s="6"/>
      <c r="D210" s="185"/>
      <c r="E210" s="35"/>
      <c r="F210" s="209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</row>
    <row r="211" spans="1:33" ht="12.75">
      <c r="A211" s="14"/>
      <c r="B211" s="206"/>
      <c r="C211" s="6"/>
      <c r="D211" s="185"/>
      <c r="E211" s="35"/>
      <c r="F211" s="209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</row>
    <row r="212" spans="1:33" ht="12.75">
      <c r="A212" s="14"/>
      <c r="B212" s="206"/>
      <c r="C212" s="6"/>
      <c r="D212" s="185"/>
      <c r="E212" s="35"/>
      <c r="F212" s="209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</row>
    <row r="213" spans="1:33" ht="12.75">
      <c r="A213" s="14"/>
      <c r="B213" s="206"/>
      <c r="C213" s="6"/>
      <c r="D213" s="185"/>
      <c r="E213" s="35"/>
      <c r="F213" s="209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</row>
    <row r="214" spans="1:33" ht="12.75">
      <c r="A214" s="14"/>
      <c r="B214" s="206"/>
      <c r="C214" s="6"/>
      <c r="D214" s="185"/>
      <c r="E214" s="35"/>
      <c r="F214" s="209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</row>
    <row r="215" spans="1:33" ht="12.75">
      <c r="A215" s="14"/>
      <c r="B215" s="206"/>
      <c r="C215" s="6"/>
      <c r="D215" s="185"/>
      <c r="E215" s="35"/>
      <c r="F215" s="209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</row>
    <row r="216" spans="1:33" ht="12.75">
      <c r="A216" s="14"/>
      <c r="B216" s="206"/>
      <c r="C216" s="6"/>
      <c r="D216" s="185"/>
      <c r="E216" s="35"/>
      <c r="F216" s="209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</row>
    <row r="217" spans="1:33" ht="12.75">
      <c r="A217" s="14"/>
      <c r="B217" s="206"/>
      <c r="C217" s="6"/>
      <c r="D217" s="185"/>
      <c r="E217" s="35"/>
      <c r="F217" s="209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</row>
    <row r="218" spans="1:33" ht="12.75">
      <c r="A218" s="14"/>
      <c r="B218" s="206"/>
      <c r="C218" s="6"/>
      <c r="D218" s="185"/>
      <c r="E218" s="35"/>
      <c r="F218" s="209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</row>
    <row r="219" spans="1:33" ht="12.75">
      <c r="A219" s="14"/>
      <c r="B219" s="206"/>
      <c r="C219" s="6"/>
      <c r="D219" s="185"/>
      <c r="E219" s="35"/>
      <c r="F219" s="209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</row>
    <row r="220" spans="1:33" ht="12.75">
      <c r="A220" s="14"/>
      <c r="B220" s="206"/>
      <c r="C220" s="6"/>
      <c r="D220" s="185"/>
      <c r="E220" s="35"/>
      <c r="F220" s="209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</row>
    <row r="221" spans="1:33" ht="12.75">
      <c r="A221" s="14"/>
      <c r="B221" s="206"/>
      <c r="C221" s="6"/>
      <c r="D221" s="185"/>
      <c r="E221" s="35"/>
      <c r="F221" s="209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</row>
    <row r="222" spans="1:33" ht="12.75">
      <c r="A222" s="14"/>
      <c r="B222" s="206"/>
      <c r="C222" s="6"/>
      <c r="D222" s="185"/>
      <c r="E222" s="35"/>
      <c r="F222" s="209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</row>
    <row r="223" spans="1:33" ht="12.75">
      <c r="A223" s="14"/>
      <c r="B223" s="206"/>
      <c r="C223" s="6"/>
      <c r="D223" s="185"/>
      <c r="E223" s="35"/>
      <c r="F223" s="209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</row>
    <row r="224" spans="1:33" ht="12.75">
      <c r="A224" s="14"/>
      <c r="B224" s="206"/>
      <c r="C224" s="6"/>
      <c r="D224" s="185"/>
      <c r="E224" s="35"/>
      <c r="F224" s="209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</row>
    <row r="225" spans="1:33" ht="12.75">
      <c r="A225" s="14"/>
      <c r="B225" s="206"/>
      <c r="C225" s="6"/>
      <c r="D225" s="185"/>
      <c r="E225" s="35"/>
      <c r="F225" s="209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</row>
    <row r="226" spans="1:33" ht="12.75">
      <c r="A226" s="14"/>
      <c r="B226" s="206"/>
      <c r="C226" s="6"/>
      <c r="D226" s="185"/>
      <c r="E226" s="35"/>
      <c r="F226" s="209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</row>
    <row r="227" spans="1:33" ht="12.75">
      <c r="A227" s="14"/>
      <c r="B227" s="206"/>
      <c r="C227" s="6"/>
      <c r="D227" s="185"/>
      <c r="E227" s="35"/>
      <c r="F227" s="209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</row>
    <row r="228" spans="1:33" ht="12.75">
      <c r="A228" s="14"/>
      <c r="B228" s="206"/>
      <c r="C228" s="6"/>
      <c r="D228" s="185"/>
      <c r="E228" s="35"/>
      <c r="F228" s="209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</row>
    <row r="229" spans="1:33" ht="12.75">
      <c r="A229" s="14"/>
      <c r="B229" s="206"/>
      <c r="C229" s="6"/>
      <c r="D229" s="185"/>
      <c r="E229" s="35"/>
      <c r="F229" s="209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</row>
    <row r="230" spans="1:33" ht="12.75">
      <c r="A230" s="14"/>
      <c r="B230" s="206"/>
      <c r="C230" s="6"/>
      <c r="D230" s="185"/>
      <c r="E230" s="35"/>
      <c r="F230" s="209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</row>
    <row r="231" spans="1:33" ht="12.75">
      <c r="A231" s="14"/>
      <c r="B231" s="206"/>
      <c r="C231" s="6"/>
      <c r="D231" s="185"/>
      <c r="E231" s="35"/>
      <c r="F231" s="209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</row>
    <row r="232" spans="1:33" ht="12.75">
      <c r="A232" s="14"/>
      <c r="B232" s="206"/>
      <c r="C232" s="6"/>
      <c r="D232" s="185"/>
      <c r="E232" s="35"/>
      <c r="F232" s="209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</row>
    <row r="233" spans="1:33" ht="12.75">
      <c r="A233" s="14"/>
      <c r="B233" s="206"/>
      <c r="C233" s="6"/>
      <c r="D233" s="185"/>
      <c r="E233" s="35"/>
      <c r="F233" s="209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</row>
    <row r="234" spans="1:33" ht="12.75">
      <c r="A234" s="14"/>
      <c r="B234" s="206"/>
      <c r="C234" s="6"/>
      <c r="D234" s="185"/>
      <c r="E234" s="35"/>
      <c r="F234" s="209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</row>
    <row r="235" spans="1:33" ht="12.75">
      <c r="A235" s="14"/>
      <c r="B235" s="206"/>
      <c r="C235" s="6"/>
      <c r="D235" s="185"/>
      <c r="E235" s="35"/>
      <c r="F235" s="209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</row>
    <row r="236" spans="1:33" ht="12.75">
      <c r="A236" s="14"/>
      <c r="B236" s="206"/>
      <c r="C236" s="6"/>
      <c r="D236" s="185"/>
      <c r="E236" s="35"/>
      <c r="F236" s="209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</row>
    <row r="237" spans="1:33" ht="12.75">
      <c r="A237" s="14"/>
      <c r="B237" s="206"/>
      <c r="C237" s="6"/>
      <c r="D237" s="185"/>
      <c r="E237" s="35"/>
      <c r="F237" s="209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</row>
    <row r="238" spans="1:33" ht="12.75">
      <c r="A238" s="14"/>
      <c r="B238" s="206"/>
      <c r="C238" s="6"/>
      <c r="D238" s="185"/>
      <c r="E238" s="35"/>
      <c r="F238" s="209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</row>
    <row r="239" spans="1:33" ht="12.75">
      <c r="A239" s="14"/>
      <c r="B239" s="206"/>
      <c r="C239" s="6"/>
      <c r="D239" s="185"/>
      <c r="E239" s="35"/>
      <c r="F239" s="209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</row>
    <row r="240" spans="1:33" ht="12.75">
      <c r="A240" s="14"/>
      <c r="B240" s="206"/>
      <c r="C240" s="6"/>
      <c r="D240" s="185"/>
      <c r="E240" s="35"/>
      <c r="F240" s="209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</row>
    <row r="241" spans="1:33" ht="12.75">
      <c r="A241" s="14"/>
      <c r="B241" s="206"/>
      <c r="C241" s="6"/>
      <c r="D241" s="185"/>
      <c r="E241" s="35"/>
      <c r="F241" s="209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</row>
    <row r="242" spans="1:33" ht="12.75">
      <c r="A242" s="14"/>
      <c r="B242" s="206"/>
      <c r="C242" s="6"/>
      <c r="D242" s="185"/>
      <c r="E242" s="35"/>
      <c r="F242" s="209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</row>
    <row r="243" spans="1:33" ht="12.75">
      <c r="A243" s="14"/>
      <c r="B243" s="206"/>
      <c r="C243" s="6"/>
      <c r="D243" s="185"/>
      <c r="E243" s="35"/>
      <c r="F243" s="209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</row>
    <row r="244" spans="1:33" ht="12.75">
      <c r="A244" s="14"/>
      <c r="B244" s="206"/>
      <c r="C244" s="6"/>
      <c r="D244" s="185"/>
      <c r="E244" s="35"/>
      <c r="F244" s="209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</row>
    <row r="245" spans="1:33" ht="12.75">
      <c r="A245" s="14"/>
      <c r="B245" s="206"/>
      <c r="C245" s="6"/>
      <c r="D245" s="185"/>
      <c r="E245" s="35"/>
      <c r="F245" s="209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</row>
    <row r="246" spans="1:33" ht="12.75">
      <c r="A246" s="14"/>
      <c r="B246" s="206"/>
      <c r="C246" s="6"/>
      <c r="D246" s="185"/>
      <c r="E246" s="35"/>
      <c r="F246" s="209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</row>
    <row r="247" spans="1:33" ht="12.75">
      <c r="A247" s="14"/>
      <c r="B247" s="206"/>
      <c r="C247" s="6"/>
      <c r="D247" s="185"/>
      <c r="E247" s="35"/>
      <c r="F247" s="209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</row>
    <row r="248" spans="1:33" ht="12.75">
      <c r="A248" s="14"/>
      <c r="B248" s="206"/>
      <c r="C248" s="6"/>
      <c r="D248" s="185"/>
      <c r="E248" s="35"/>
      <c r="F248" s="209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</row>
    <row r="249" spans="1:33" ht="12.75">
      <c r="A249" s="14"/>
      <c r="B249" s="206"/>
      <c r="C249" s="6"/>
      <c r="D249" s="185"/>
      <c r="E249" s="35"/>
      <c r="F249" s="209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</row>
    <row r="250" spans="1:33" ht="12.75">
      <c r="A250" s="14"/>
      <c r="B250" s="206"/>
      <c r="C250" s="6"/>
      <c r="D250" s="185"/>
      <c r="E250" s="35"/>
      <c r="F250" s="209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</row>
    <row r="251" spans="1:33" ht="12.75">
      <c r="A251" s="14"/>
      <c r="B251" s="206"/>
      <c r="C251" s="6"/>
      <c r="D251" s="185"/>
      <c r="E251" s="35"/>
      <c r="F251" s="209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</row>
    <row r="252" spans="1:33" ht="12.75">
      <c r="A252" s="14"/>
      <c r="B252" s="206"/>
      <c r="C252" s="6"/>
      <c r="D252" s="185"/>
      <c r="E252" s="35"/>
      <c r="F252" s="209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</row>
    <row r="253" spans="1:33" ht="12.75">
      <c r="A253" s="14"/>
      <c r="B253" s="206"/>
      <c r="C253" s="6"/>
      <c r="D253" s="185"/>
      <c r="E253" s="35"/>
      <c r="F253" s="209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</row>
    <row r="254" spans="1:33" ht="12.75">
      <c r="A254" s="14"/>
      <c r="B254" s="206"/>
      <c r="C254" s="6"/>
      <c r="D254" s="185"/>
      <c r="E254" s="35"/>
      <c r="F254" s="209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</row>
    <row r="255" spans="1:33" ht="12.75">
      <c r="A255" s="14"/>
      <c r="B255" s="206"/>
      <c r="C255" s="6"/>
      <c r="D255" s="185"/>
      <c r="E255" s="35"/>
      <c r="F255" s="209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</row>
    <row r="256" spans="1:33" ht="12.75">
      <c r="A256" s="14"/>
      <c r="B256" s="206"/>
      <c r="C256" s="6"/>
      <c r="D256" s="185"/>
      <c r="E256" s="35"/>
      <c r="F256" s="209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</row>
    <row r="257" spans="1:33" ht="12.75">
      <c r="A257" s="14"/>
      <c r="B257" s="206"/>
      <c r="C257" s="6"/>
      <c r="D257" s="185"/>
      <c r="E257" s="35"/>
      <c r="F257" s="209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</row>
    <row r="258" spans="1:33" ht="12.75">
      <c r="A258" s="14"/>
      <c r="B258" s="206"/>
      <c r="C258" s="6"/>
      <c r="D258" s="185"/>
      <c r="E258" s="35"/>
      <c r="F258" s="209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</row>
    <row r="259" spans="1:33" ht="12.75">
      <c r="A259" s="14"/>
      <c r="B259" s="206"/>
      <c r="C259" s="6"/>
      <c r="D259" s="185"/>
      <c r="E259" s="35"/>
      <c r="F259" s="209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</row>
    <row r="260" spans="1:33" ht="12.75">
      <c r="A260" s="14"/>
      <c r="B260" s="206"/>
      <c r="C260" s="6"/>
      <c r="D260" s="185"/>
      <c r="E260" s="35"/>
      <c r="F260" s="209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</row>
    <row r="261" spans="1:33" ht="12.75">
      <c r="A261" s="14"/>
      <c r="B261" s="206"/>
      <c r="C261" s="6"/>
      <c r="D261" s="185"/>
      <c r="E261" s="35"/>
      <c r="F261" s="209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</row>
    <row r="262" spans="1:33" ht="12.75">
      <c r="A262" s="14"/>
      <c r="B262" s="206"/>
      <c r="C262" s="6"/>
      <c r="D262" s="185"/>
      <c r="E262" s="35"/>
      <c r="F262" s="209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</row>
    <row r="263" spans="1:33" ht="12.75">
      <c r="A263" s="14"/>
      <c r="B263" s="206"/>
      <c r="C263" s="6"/>
      <c r="D263" s="185"/>
      <c r="E263" s="35"/>
      <c r="F263" s="209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</row>
    <row r="264" spans="1:33" ht="12.75">
      <c r="A264" s="14"/>
      <c r="B264" s="206"/>
      <c r="C264" s="6"/>
      <c r="D264" s="185"/>
      <c r="E264" s="35"/>
      <c r="F264" s="209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</row>
    <row r="265" spans="1:33" ht="12.75">
      <c r="A265" s="14"/>
      <c r="B265" s="206"/>
      <c r="C265" s="6"/>
      <c r="D265" s="185"/>
      <c r="E265" s="35"/>
      <c r="F265" s="209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</row>
    <row r="266" spans="1:33" ht="12.75">
      <c r="A266" s="14"/>
      <c r="B266" s="206"/>
      <c r="C266" s="6"/>
      <c r="D266" s="185"/>
      <c r="E266" s="35"/>
      <c r="F266" s="209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</row>
    <row r="267" spans="1:33" ht="12.75">
      <c r="A267" s="14"/>
      <c r="B267" s="206"/>
      <c r="C267" s="6"/>
      <c r="D267" s="185"/>
      <c r="E267" s="35"/>
      <c r="F267" s="209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</row>
    <row r="268" spans="1:33" ht="12.75">
      <c r="A268" s="14"/>
      <c r="B268" s="206"/>
      <c r="C268" s="6"/>
      <c r="D268" s="185"/>
      <c r="E268" s="35"/>
      <c r="F268" s="209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</row>
    <row r="269" spans="1:33" ht="12.75">
      <c r="A269" s="14"/>
      <c r="B269" s="206"/>
      <c r="C269" s="6"/>
      <c r="D269" s="185"/>
      <c r="E269" s="35"/>
      <c r="F269" s="209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</row>
    <row r="270" spans="1:33" ht="12.75">
      <c r="A270" s="14"/>
      <c r="B270" s="206"/>
      <c r="C270" s="6"/>
      <c r="D270" s="185"/>
      <c r="E270" s="35"/>
      <c r="F270" s="209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</row>
    <row r="271" spans="1:33" ht="12.75">
      <c r="A271" s="14"/>
      <c r="B271" s="206"/>
      <c r="C271" s="6"/>
      <c r="D271" s="185"/>
      <c r="E271" s="35"/>
      <c r="F271" s="209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</row>
    <row r="272" spans="1:33" ht="12.75">
      <c r="A272" s="14"/>
      <c r="B272" s="206"/>
      <c r="C272" s="6"/>
      <c r="D272" s="185"/>
      <c r="E272" s="35"/>
      <c r="F272" s="209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</row>
    <row r="273" spans="1:33" ht="12.75">
      <c r="A273" s="14"/>
      <c r="B273" s="206"/>
      <c r="C273" s="6"/>
      <c r="D273" s="185"/>
      <c r="E273" s="35"/>
      <c r="F273" s="209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</row>
    <row r="274" spans="1:33" ht="12.75">
      <c r="A274" s="14"/>
      <c r="B274" s="206"/>
      <c r="C274" s="6"/>
      <c r="D274" s="185"/>
      <c r="E274" s="35"/>
      <c r="F274" s="209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</row>
    <row r="275" spans="1:33" ht="12.75">
      <c r="A275" s="14"/>
      <c r="B275" s="206"/>
      <c r="C275" s="6"/>
      <c r="D275" s="185"/>
      <c r="E275" s="35"/>
      <c r="F275" s="209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</row>
    <row r="276" spans="1:33" ht="12.75">
      <c r="A276" s="14"/>
      <c r="B276" s="206"/>
      <c r="C276" s="6"/>
      <c r="D276" s="185"/>
      <c r="E276" s="35"/>
      <c r="F276" s="209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</row>
    <row r="277" spans="1:33" ht="12.75">
      <c r="A277" s="14"/>
      <c r="B277" s="206"/>
      <c r="C277" s="6"/>
      <c r="D277" s="185"/>
      <c r="E277" s="35"/>
      <c r="F277" s="209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</row>
    <row r="278" spans="1:33" ht="12.75">
      <c r="A278" s="14"/>
      <c r="B278" s="206"/>
      <c r="C278" s="6"/>
      <c r="D278" s="185"/>
      <c r="E278" s="35"/>
      <c r="F278" s="209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</row>
    <row r="279" spans="1:33" ht="12.75">
      <c r="A279" s="14"/>
      <c r="B279" s="206"/>
      <c r="C279" s="6"/>
      <c r="D279" s="185"/>
      <c r="E279" s="35"/>
      <c r="F279" s="209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</row>
    <row r="280" spans="1:33" ht="12.75">
      <c r="A280" s="14"/>
      <c r="B280" s="206"/>
      <c r="C280" s="6"/>
      <c r="D280" s="185"/>
      <c r="E280" s="35"/>
      <c r="F280" s="209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</row>
    <row r="281" spans="1:33" ht="12.75">
      <c r="A281" s="14"/>
      <c r="B281" s="206"/>
      <c r="C281" s="6"/>
      <c r="D281" s="185"/>
      <c r="E281" s="35"/>
      <c r="F281" s="209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</row>
    <row r="282" spans="1:33" ht="12.75">
      <c r="A282" s="14"/>
      <c r="B282" s="206"/>
      <c r="C282" s="6"/>
      <c r="D282" s="185"/>
      <c r="E282" s="35"/>
      <c r="F282" s="209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</row>
    <row r="283" spans="1:33" ht="12.75">
      <c r="A283" s="14"/>
      <c r="B283" s="206"/>
      <c r="C283" s="6"/>
      <c r="D283" s="185"/>
      <c r="E283" s="35"/>
      <c r="F283" s="209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</row>
    <row r="284" spans="1:33" ht="12.75">
      <c r="A284" s="14"/>
      <c r="B284" s="206"/>
      <c r="C284" s="6"/>
      <c r="D284" s="185"/>
      <c r="E284" s="35"/>
      <c r="F284" s="209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</row>
    <row r="285" spans="1:33" ht="12.75">
      <c r="A285" s="14"/>
      <c r="B285" s="206"/>
      <c r="C285" s="6"/>
      <c r="D285" s="185"/>
      <c r="E285" s="35"/>
      <c r="F285" s="209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</row>
    <row r="286" spans="1:33" ht="12.75">
      <c r="A286" s="14"/>
      <c r="B286" s="206"/>
      <c r="C286" s="6"/>
      <c r="D286" s="185"/>
      <c r="E286" s="35"/>
      <c r="F286" s="209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</row>
    <row r="287" spans="1:33" ht="12.75">
      <c r="A287" s="14"/>
      <c r="B287" s="206"/>
      <c r="C287" s="6"/>
      <c r="D287" s="185"/>
      <c r="E287" s="35"/>
      <c r="F287" s="209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</row>
    <row r="288" spans="1:33" ht="12.75">
      <c r="A288" s="14"/>
      <c r="B288" s="206"/>
      <c r="C288" s="6"/>
      <c r="D288" s="185"/>
      <c r="E288" s="35"/>
      <c r="F288" s="209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</row>
    <row r="289" spans="1:33" ht="12.75">
      <c r="A289" s="14"/>
      <c r="B289" s="206"/>
      <c r="C289" s="6"/>
      <c r="D289" s="185"/>
      <c r="E289" s="35"/>
      <c r="F289" s="209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</row>
    <row r="290" spans="1:33" ht="12.75">
      <c r="A290" s="14"/>
      <c r="B290" s="206"/>
      <c r="C290" s="6"/>
      <c r="D290" s="185"/>
      <c r="E290" s="35"/>
      <c r="F290" s="209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</row>
    <row r="291" spans="1:33" ht="12.75">
      <c r="A291" s="14"/>
      <c r="B291" s="206"/>
      <c r="C291" s="6"/>
      <c r="D291" s="185"/>
      <c r="E291" s="35"/>
      <c r="F291" s="209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</row>
    <row r="292" spans="1:33" ht="12.75">
      <c r="A292" s="14"/>
      <c r="B292" s="206"/>
      <c r="C292" s="6"/>
      <c r="D292" s="185"/>
      <c r="E292" s="35"/>
      <c r="F292" s="209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</row>
    <row r="293" spans="1:33" ht="12.75">
      <c r="A293" s="14"/>
      <c r="B293" s="206"/>
      <c r="C293" s="6"/>
      <c r="D293" s="185"/>
      <c r="E293" s="35"/>
      <c r="F293" s="209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</row>
    <row r="294" spans="1:33" ht="12.75">
      <c r="A294" s="14"/>
      <c r="B294" s="206"/>
      <c r="C294" s="6"/>
      <c r="D294" s="185"/>
      <c r="E294" s="35"/>
      <c r="F294" s="209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</row>
    <row r="295" spans="1:33" ht="12.75">
      <c r="A295" s="14"/>
      <c r="B295" s="206"/>
      <c r="C295" s="6"/>
      <c r="D295" s="185"/>
      <c r="E295" s="35"/>
      <c r="F295" s="209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</row>
    <row r="296" spans="1:33" ht="12.75">
      <c r="A296" s="14"/>
      <c r="B296" s="206"/>
      <c r="C296" s="6"/>
      <c r="D296" s="185"/>
      <c r="E296" s="35"/>
      <c r="F296" s="209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</row>
    <row r="297" spans="1:33" ht="12.75">
      <c r="A297" s="14"/>
      <c r="B297" s="206"/>
      <c r="C297" s="6"/>
      <c r="D297" s="185"/>
      <c r="E297" s="35"/>
      <c r="F297" s="209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</row>
    <row r="298" spans="1:33" ht="12.75">
      <c r="A298" s="14"/>
      <c r="B298" s="206"/>
      <c r="C298" s="6"/>
      <c r="D298" s="185"/>
      <c r="E298" s="35"/>
      <c r="F298" s="209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</row>
    <row r="299" spans="1:33" ht="12.75">
      <c r="A299" s="14"/>
      <c r="B299" s="206"/>
      <c r="C299" s="6"/>
      <c r="D299" s="185"/>
      <c r="E299" s="35"/>
      <c r="F299" s="209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</row>
    <row r="300" spans="1:33" ht="12.75">
      <c r="A300" s="14"/>
      <c r="B300" s="206"/>
      <c r="C300" s="6"/>
      <c r="D300" s="185"/>
      <c r="E300" s="35"/>
      <c r="F300" s="209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</row>
    <row r="301" spans="1:33" ht="12.75">
      <c r="A301" s="14"/>
      <c r="B301" s="206"/>
      <c r="C301" s="6"/>
      <c r="D301" s="185"/>
      <c r="E301" s="35"/>
      <c r="F301" s="209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</row>
    <row r="302" spans="1:33" ht="12.75">
      <c r="A302" s="14"/>
      <c r="B302" s="206"/>
      <c r="C302" s="6"/>
      <c r="D302" s="185"/>
      <c r="E302" s="35"/>
      <c r="F302" s="209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</row>
    <row r="303" spans="1:33" ht="12.75">
      <c r="A303" s="14"/>
      <c r="B303" s="206"/>
      <c r="C303" s="6"/>
      <c r="D303" s="185"/>
      <c r="E303" s="35"/>
      <c r="F303" s="209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</row>
    <row r="304" spans="1:33" ht="12.75">
      <c r="A304" s="14"/>
      <c r="B304" s="206"/>
      <c r="C304" s="6"/>
      <c r="D304" s="185"/>
      <c r="E304" s="35"/>
      <c r="F304" s="209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</row>
    <row r="305" spans="1:33" ht="12.75">
      <c r="A305" s="14"/>
      <c r="B305" s="206"/>
      <c r="C305" s="6"/>
      <c r="D305" s="185"/>
      <c r="E305" s="35"/>
      <c r="F305" s="209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</row>
    <row r="306" spans="1:33" ht="12.75">
      <c r="A306" s="14"/>
      <c r="B306" s="206"/>
      <c r="C306" s="6"/>
      <c r="D306" s="185"/>
      <c r="E306" s="35"/>
      <c r="F306" s="209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</row>
    <row r="307" spans="1:33" ht="12.75">
      <c r="A307" s="14"/>
      <c r="B307" s="206"/>
      <c r="C307" s="6"/>
      <c r="D307" s="185"/>
      <c r="E307" s="35"/>
      <c r="F307" s="209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</row>
    <row r="308" spans="1:33" ht="12.75">
      <c r="A308" s="14"/>
      <c r="B308" s="206"/>
      <c r="C308" s="6"/>
      <c r="D308" s="185"/>
      <c r="E308" s="35"/>
      <c r="F308" s="209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</row>
    <row r="309" spans="1:33" ht="12.75">
      <c r="A309" s="14"/>
      <c r="B309" s="206"/>
      <c r="C309" s="6"/>
      <c r="D309" s="185"/>
      <c r="E309" s="35"/>
      <c r="F309" s="209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</row>
    <row r="310" spans="1:33" ht="12.75">
      <c r="A310" s="14"/>
      <c r="B310" s="206"/>
      <c r="C310" s="6"/>
      <c r="D310" s="185"/>
      <c r="E310" s="35"/>
      <c r="F310" s="209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</row>
    <row r="311" spans="1:33" ht="12.75">
      <c r="A311" s="14"/>
      <c r="B311" s="206"/>
      <c r="C311" s="6"/>
      <c r="D311" s="185"/>
      <c r="E311" s="35"/>
      <c r="F311" s="209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</row>
    <row r="312" spans="1:33" ht="12.75">
      <c r="A312" s="14"/>
      <c r="B312" s="206"/>
      <c r="C312" s="6"/>
      <c r="D312" s="185"/>
      <c r="E312" s="35"/>
      <c r="F312" s="209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</row>
    <row r="313" spans="1:33" ht="12.75">
      <c r="A313" s="14"/>
      <c r="B313" s="206"/>
      <c r="C313" s="6"/>
      <c r="D313" s="185"/>
      <c r="E313" s="35"/>
      <c r="F313" s="209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</row>
    <row r="314" spans="1:33" ht="12.75">
      <c r="A314" s="14"/>
      <c r="B314" s="206"/>
      <c r="C314" s="6"/>
      <c r="D314" s="185"/>
      <c r="E314" s="35"/>
      <c r="F314" s="209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</row>
    <row r="315" spans="1:33" ht="12.75">
      <c r="A315" s="14"/>
      <c r="B315" s="206"/>
      <c r="C315" s="6"/>
      <c r="D315" s="185"/>
      <c r="E315" s="35"/>
      <c r="F315" s="209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</row>
    <row r="316" spans="1:33" ht="12.75">
      <c r="A316" s="14"/>
      <c r="B316" s="206"/>
      <c r="C316" s="6"/>
      <c r="D316" s="185"/>
      <c r="E316" s="35"/>
      <c r="F316" s="209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</row>
    <row r="317" spans="1:33" ht="12.75">
      <c r="A317" s="14"/>
      <c r="B317" s="206"/>
      <c r="C317" s="6"/>
      <c r="D317" s="185"/>
      <c r="E317" s="35"/>
      <c r="F317" s="209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</row>
    <row r="318" spans="1:33" ht="12.75">
      <c r="A318" s="14"/>
      <c r="B318" s="206"/>
      <c r="C318" s="6"/>
      <c r="D318" s="185"/>
      <c r="E318" s="35"/>
      <c r="F318" s="209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</row>
    <row r="319" spans="1:33" ht="12.75">
      <c r="A319" s="14"/>
      <c r="B319" s="206"/>
      <c r="C319" s="6"/>
      <c r="D319" s="185"/>
      <c r="E319" s="35"/>
      <c r="F319" s="209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</row>
    <row r="320" spans="1:33" ht="12.75">
      <c r="A320" s="14"/>
      <c r="B320" s="206"/>
      <c r="C320" s="6"/>
      <c r="D320" s="185"/>
      <c r="E320" s="35"/>
      <c r="F320" s="209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</row>
    <row r="321" spans="1:33" ht="12.75">
      <c r="A321" s="14"/>
      <c r="B321" s="206"/>
      <c r="C321" s="6"/>
      <c r="D321" s="185"/>
      <c r="E321" s="35"/>
      <c r="F321" s="209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</row>
    <row r="322" spans="1:33" ht="12.75">
      <c r="A322" s="14"/>
      <c r="B322" s="206"/>
      <c r="C322" s="6"/>
      <c r="D322" s="185"/>
      <c r="E322" s="35"/>
      <c r="F322" s="209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</row>
    <row r="323" spans="1:33" ht="12.75">
      <c r="A323" s="14"/>
      <c r="B323" s="206"/>
      <c r="C323" s="6"/>
      <c r="D323" s="185"/>
      <c r="E323" s="35"/>
      <c r="F323" s="209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</row>
    <row r="324" spans="1:33" ht="12.75">
      <c r="A324" s="14"/>
      <c r="B324" s="206"/>
      <c r="C324" s="6"/>
      <c r="D324" s="185"/>
      <c r="E324" s="35"/>
      <c r="F324" s="209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</row>
    <row r="325" spans="1:33" ht="12.75">
      <c r="A325" s="14"/>
      <c r="B325" s="206"/>
      <c r="C325" s="6"/>
      <c r="D325" s="185"/>
      <c r="E325" s="35"/>
      <c r="F325" s="209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</row>
    <row r="326" spans="1:33" ht="12.75">
      <c r="A326" s="14"/>
      <c r="B326" s="206"/>
      <c r="C326" s="6"/>
      <c r="D326" s="185"/>
      <c r="E326" s="35"/>
      <c r="F326" s="209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</row>
    <row r="327" spans="1:33" ht="12.75">
      <c r="A327" s="14"/>
      <c r="B327" s="206"/>
      <c r="C327" s="6"/>
      <c r="D327" s="185"/>
      <c r="E327" s="35"/>
      <c r="F327" s="209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</row>
    <row r="328" spans="1:33" ht="12.75">
      <c r="A328" s="14"/>
      <c r="B328" s="206"/>
      <c r="C328" s="6"/>
      <c r="D328" s="185"/>
      <c r="E328" s="35"/>
      <c r="F328" s="209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</row>
    <row r="329" spans="1:33" ht="12.75">
      <c r="A329" s="14"/>
      <c r="B329" s="206"/>
      <c r="C329" s="6"/>
      <c r="D329" s="185"/>
      <c r="E329" s="35"/>
      <c r="F329" s="209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</row>
    <row r="330" spans="1:33" ht="12.75">
      <c r="A330" s="14"/>
      <c r="B330" s="206"/>
      <c r="C330" s="6"/>
      <c r="D330" s="185"/>
      <c r="E330" s="35"/>
      <c r="F330" s="209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</row>
    <row r="331" spans="1:33" ht="12.75">
      <c r="A331" s="14"/>
      <c r="B331" s="206"/>
      <c r="C331" s="6"/>
      <c r="D331" s="185"/>
      <c r="E331" s="35"/>
      <c r="F331" s="209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</row>
    <row r="332" spans="1:33" ht="12.75">
      <c r="A332" s="14"/>
      <c r="B332" s="206"/>
      <c r="C332" s="6"/>
      <c r="D332" s="185"/>
      <c r="E332" s="35"/>
      <c r="F332" s="209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</row>
    <row r="333" spans="1:33" ht="12.75">
      <c r="A333" s="14"/>
      <c r="B333" s="206"/>
      <c r="C333" s="6"/>
      <c r="D333" s="185"/>
      <c r="E333" s="35"/>
      <c r="F333" s="209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</row>
    <row r="334" spans="1:33" ht="12.75">
      <c r="A334" s="14"/>
      <c r="B334" s="206"/>
      <c r="C334" s="6"/>
      <c r="D334" s="185"/>
      <c r="E334" s="35"/>
      <c r="F334" s="209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</row>
    <row r="335" spans="1:33" ht="12.75">
      <c r="A335" s="14"/>
      <c r="B335" s="206"/>
      <c r="C335" s="6"/>
      <c r="D335" s="185"/>
      <c r="E335" s="35"/>
      <c r="F335" s="209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</row>
    <row r="336" spans="1:33" ht="12.75">
      <c r="A336" s="14"/>
      <c r="B336" s="206"/>
      <c r="C336" s="6"/>
      <c r="D336" s="185"/>
      <c r="E336" s="35"/>
      <c r="F336" s="209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</row>
    <row r="337" spans="1:33" ht="12.75">
      <c r="A337" s="14"/>
      <c r="B337" s="206"/>
      <c r="C337" s="6"/>
      <c r="D337" s="185"/>
      <c r="E337" s="35"/>
      <c r="F337" s="209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</row>
    <row r="338" spans="1:33" ht="12.75">
      <c r="A338" s="14"/>
      <c r="B338" s="206"/>
      <c r="C338" s="6"/>
      <c r="D338" s="185"/>
      <c r="E338" s="35"/>
      <c r="F338" s="209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</row>
    <row r="339" spans="1:33" ht="12.75">
      <c r="A339" s="14"/>
      <c r="B339" s="206"/>
      <c r="C339" s="6"/>
      <c r="D339" s="185"/>
      <c r="E339" s="35"/>
      <c r="F339" s="209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</row>
    <row r="340" spans="1:33" ht="12.75">
      <c r="A340" s="14"/>
      <c r="B340" s="206"/>
      <c r="C340" s="6"/>
      <c r="D340" s="185"/>
      <c r="E340" s="35"/>
      <c r="F340" s="209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</row>
    <row r="341" spans="1:33" ht="12.75">
      <c r="A341" s="14"/>
      <c r="B341" s="206"/>
      <c r="C341" s="6"/>
      <c r="D341" s="185"/>
      <c r="E341" s="35"/>
      <c r="F341" s="209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</row>
    <row r="342" spans="1:33" ht="12.75">
      <c r="A342" s="14"/>
      <c r="B342" s="206"/>
      <c r="C342" s="6"/>
      <c r="D342" s="185"/>
      <c r="E342" s="35"/>
      <c r="F342" s="209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</row>
    <row r="343" spans="1:33" ht="12.75">
      <c r="A343" s="14"/>
      <c r="B343" s="206"/>
      <c r="C343" s="6"/>
      <c r="D343" s="185"/>
      <c r="E343" s="35"/>
      <c r="F343" s="209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</row>
    <row r="344" spans="1:33" ht="12.75">
      <c r="A344" s="14"/>
      <c r="B344" s="206"/>
      <c r="C344" s="6"/>
      <c r="D344" s="185"/>
      <c r="E344" s="35"/>
      <c r="F344" s="209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</row>
    <row r="345" spans="1:33" ht="12.75">
      <c r="A345" s="14"/>
      <c r="B345" s="206"/>
      <c r="C345" s="6"/>
      <c r="D345" s="185"/>
      <c r="E345" s="35"/>
      <c r="F345" s="209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</row>
    <row r="346" spans="1:33" ht="12.75">
      <c r="A346" s="14"/>
      <c r="B346" s="206"/>
      <c r="C346" s="6"/>
      <c r="D346" s="185"/>
      <c r="E346" s="35"/>
      <c r="F346" s="209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</row>
    <row r="347" spans="1:33" ht="12.75">
      <c r="A347" s="14"/>
      <c r="B347" s="206"/>
      <c r="C347" s="6"/>
      <c r="D347" s="185"/>
      <c r="E347" s="35"/>
      <c r="F347" s="209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</row>
    <row r="348" spans="1:33" ht="12.75">
      <c r="A348" s="14"/>
      <c r="B348" s="206"/>
      <c r="C348" s="6"/>
      <c r="D348" s="185"/>
      <c r="E348" s="35"/>
      <c r="F348" s="209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</row>
    <row r="349" spans="1:33" ht="12.75">
      <c r="A349" s="14"/>
      <c r="B349" s="206"/>
      <c r="C349" s="6"/>
      <c r="D349" s="185"/>
      <c r="E349" s="35"/>
      <c r="F349" s="209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</row>
    <row r="350" spans="1:33" ht="12.75">
      <c r="A350" s="14"/>
      <c r="B350" s="206"/>
      <c r="C350" s="6"/>
      <c r="D350" s="185"/>
      <c r="E350" s="35"/>
      <c r="F350" s="209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</row>
    <row r="351" spans="1:33" ht="12.75">
      <c r="A351" s="14"/>
      <c r="B351" s="206"/>
      <c r="C351" s="6"/>
      <c r="D351" s="185"/>
      <c r="E351" s="35"/>
      <c r="F351" s="209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</row>
    <row r="352" spans="1:33" ht="12.75">
      <c r="A352" s="14"/>
      <c r="B352" s="206"/>
      <c r="C352" s="6"/>
      <c r="D352" s="185"/>
      <c r="E352" s="35"/>
      <c r="F352" s="209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</row>
    <row r="353" spans="1:33" ht="12.75">
      <c r="A353" s="14"/>
      <c r="B353" s="206"/>
      <c r="C353" s="6"/>
      <c r="D353" s="185"/>
      <c r="E353" s="35"/>
      <c r="F353" s="209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</row>
    <row r="354" spans="1:33" ht="12.75">
      <c r="A354" s="14"/>
      <c r="B354" s="206"/>
      <c r="C354" s="6"/>
      <c r="D354" s="185"/>
      <c r="E354" s="35"/>
      <c r="F354" s="209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</row>
    <row r="355" spans="1:33" ht="12.75">
      <c r="A355" s="14"/>
      <c r="B355" s="206"/>
      <c r="C355" s="6"/>
      <c r="D355" s="185"/>
      <c r="E355" s="35"/>
      <c r="F355" s="209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</row>
    <row r="356" spans="1:33" ht="12.75">
      <c r="A356" s="14"/>
      <c r="B356" s="206"/>
      <c r="C356" s="6"/>
      <c r="D356" s="185"/>
      <c r="E356" s="35"/>
      <c r="F356" s="209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</row>
    <row r="357" spans="1:33" ht="12.75">
      <c r="A357" s="14"/>
      <c r="B357" s="206"/>
      <c r="C357" s="6"/>
      <c r="D357" s="185"/>
      <c r="E357" s="35"/>
      <c r="F357" s="209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</row>
    <row r="358" spans="1:33" ht="12.75">
      <c r="A358" s="14"/>
      <c r="B358" s="206"/>
      <c r="C358" s="6"/>
      <c r="D358" s="185"/>
      <c r="E358" s="35"/>
      <c r="F358" s="209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</row>
    <row r="359" spans="1:33" ht="12.75">
      <c r="A359" s="14"/>
      <c r="B359" s="206"/>
      <c r="C359" s="6"/>
      <c r="D359" s="185"/>
      <c r="E359" s="35"/>
      <c r="F359" s="209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</row>
    <row r="360" spans="1:33" ht="12.75">
      <c r="A360" s="14"/>
      <c r="B360" s="206"/>
      <c r="C360" s="6"/>
      <c r="D360" s="185"/>
      <c r="E360" s="35"/>
      <c r="F360" s="209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</row>
    <row r="361" spans="1:33" ht="12.75">
      <c r="A361" s="14"/>
      <c r="B361" s="206"/>
      <c r="C361" s="6"/>
      <c r="D361" s="185"/>
      <c r="E361" s="35"/>
      <c r="F361" s="209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</row>
    <row r="362" spans="1:33" ht="12.75">
      <c r="A362" s="14"/>
      <c r="B362" s="206"/>
      <c r="C362" s="6"/>
      <c r="D362" s="185"/>
      <c r="E362" s="35"/>
      <c r="F362" s="209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</row>
    <row r="363" spans="1:33" ht="12.75">
      <c r="A363" s="14"/>
      <c r="B363" s="206"/>
      <c r="C363" s="6"/>
      <c r="D363" s="185"/>
      <c r="E363" s="35"/>
      <c r="F363" s="209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</row>
    <row r="364" spans="1:33" ht="12.75">
      <c r="A364" s="14"/>
      <c r="B364" s="206"/>
      <c r="C364" s="6"/>
      <c r="D364" s="185"/>
      <c r="E364" s="35"/>
      <c r="F364" s="209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</row>
    <row r="365" spans="1:33" ht="12.75">
      <c r="A365" s="14"/>
      <c r="B365" s="206"/>
      <c r="C365" s="6"/>
      <c r="D365" s="185"/>
      <c r="E365" s="35"/>
      <c r="F365" s="209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</row>
    <row r="366" spans="1:33" ht="12.75">
      <c r="A366" s="14"/>
      <c r="B366" s="206"/>
      <c r="C366" s="6"/>
      <c r="D366" s="185"/>
      <c r="E366" s="35"/>
      <c r="F366" s="209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</row>
    <row r="367" spans="1:33" ht="12.75">
      <c r="A367" s="14"/>
      <c r="B367" s="206"/>
      <c r="C367" s="6"/>
      <c r="D367" s="185"/>
      <c r="E367" s="35"/>
      <c r="F367" s="209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</row>
    <row r="368" spans="1:33" ht="12.75">
      <c r="A368" s="14"/>
      <c r="B368" s="206"/>
      <c r="C368" s="6"/>
      <c r="D368" s="185"/>
      <c r="E368" s="35"/>
      <c r="F368" s="209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</row>
    <row r="369" spans="1:33" ht="12.75">
      <c r="A369" s="14"/>
      <c r="B369" s="206"/>
      <c r="C369" s="6"/>
      <c r="D369" s="185"/>
      <c r="E369" s="35"/>
      <c r="F369" s="209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</row>
    <row r="370" spans="1:33" ht="12.75">
      <c r="A370" s="14"/>
      <c r="B370" s="206"/>
      <c r="C370" s="6"/>
      <c r="D370" s="185"/>
      <c r="E370" s="35"/>
      <c r="F370" s="209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</row>
    <row r="371" spans="1:33" ht="12.75">
      <c r="A371" s="14"/>
      <c r="B371" s="206"/>
      <c r="C371" s="6"/>
      <c r="D371" s="185"/>
      <c r="E371" s="35"/>
      <c r="F371" s="209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</row>
    <row r="372" spans="1:33" ht="12.75">
      <c r="A372" s="14"/>
      <c r="B372" s="206"/>
      <c r="C372" s="6"/>
      <c r="D372" s="185"/>
      <c r="E372" s="35"/>
      <c r="F372" s="209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</row>
    <row r="373" spans="1:33" ht="12.75">
      <c r="A373" s="14"/>
      <c r="B373" s="206"/>
      <c r="C373" s="6"/>
      <c r="D373" s="185"/>
      <c r="E373" s="35"/>
      <c r="F373" s="209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</row>
    <row r="374" spans="1:33" ht="12.75">
      <c r="A374" s="14"/>
      <c r="B374" s="206"/>
      <c r="C374" s="6"/>
      <c r="D374" s="185"/>
      <c r="E374" s="35"/>
      <c r="F374" s="209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</row>
    <row r="375" spans="1:33" ht="12.75">
      <c r="A375" s="14"/>
      <c r="B375" s="206"/>
      <c r="C375" s="6"/>
      <c r="D375" s="185"/>
      <c r="E375" s="35"/>
      <c r="F375" s="209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</row>
    <row r="376" spans="1:33" ht="12.75">
      <c r="A376" s="14"/>
      <c r="B376" s="206"/>
      <c r="C376" s="6"/>
      <c r="D376" s="185"/>
      <c r="E376" s="35"/>
      <c r="F376" s="209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</row>
    <row r="377" spans="1:33" ht="12.75">
      <c r="A377" s="14"/>
      <c r="B377" s="206"/>
      <c r="C377" s="6"/>
      <c r="D377" s="185"/>
      <c r="E377" s="35"/>
      <c r="F377" s="209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</row>
    <row r="378" spans="1:33" ht="12.75">
      <c r="A378" s="14"/>
      <c r="B378" s="206"/>
      <c r="C378" s="6"/>
      <c r="D378" s="185"/>
      <c r="E378" s="35"/>
      <c r="F378" s="209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</row>
    <row r="379" spans="1:33" ht="12.75">
      <c r="A379" s="14"/>
      <c r="B379" s="206"/>
      <c r="C379" s="6"/>
      <c r="D379" s="185"/>
      <c r="E379" s="35"/>
      <c r="F379" s="209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</row>
    <row r="380" spans="1:33" ht="12.75">
      <c r="A380" s="14"/>
      <c r="B380" s="206"/>
      <c r="C380" s="6"/>
      <c r="D380" s="185"/>
      <c r="E380" s="35"/>
      <c r="F380" s="209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</row>
    <row r="381" spans="1:33" ht="12.75">
      <c r="A381" s="14"/>
      <c r="B381" s="206"/>
      <c r="C381" s="6"/>
      <c r="D381" s="185"/>
      <c r="E381" s="35"/>
      <c r="F381" s="209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</row>
    <row r="382" spans="1:33" ht="12.75">
      <c r="A382" s="14"/>
      <c r="B382" s="206"/>
      <c r="C382" s="6"/>
      <c r="D382" s="185"/>
      <c r="E382" s="35"/>
      <c r="F382" s="209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</row>
    <row r="383" spans="1:33" ht="12.75">
      <c r="A383" s="14"/>
      <c r="B383" s="206"/>
      <c r="C383" s="6"/>
      <c r="D383" s="185"/>
      <c r="E383" s="35"/>
      <c r="F383" s="209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</row>
    <row r="384" spans="1:33" ht="12.75">
      <c r="A384" s="14"/>
      <c r="B384" s="206"/>
      <c r="C384" s="6"/>
      <c r="D384" s="185"/>
      <c r="E384" s="35"/>
      <c r="F384" s="209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</row>
    <row r="385" spans="1:33" ht="12.75">
      <c r="A385" s="14"/>
      <c r="B385" s="206"/>
      <c r="C385" s="6"/>
      <c r="D385" s="185"/>
      <c r="E385" s="35"/>
      <c r="F385" s="209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</row>
    <row r="386" spans="1:33" ht="12.75">
      <c r="A386" s="14"/>
      <c r="B386" s="206"/>
      <c r="C386" s="6"/>
      <c r="D386" s="185"/>
      <c r="E386" s="35"/>
      <c r="F386" s="209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</row>
    <row r="387" spans="1:33" ht="12.75">
      <c r="A387" s="14"/>
      <c r="B387" s="206"/>
      <c r="C387" s="6"/>
      <c r="D387" s="185"/>
      <c r="E387" s="35"/>
      <c r="F387" s="209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</row>
    <row r="388" spans="1:33" ht="12.75">
      <c r="A388" s="14"/>
      <c r="B388" s="206"/>
      <c r="C388" s="6"/>
      <c r="D388" s="185"/>
      <c r="E388" s="35"/>
      <c r="F388" s="209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</row>
    <row r="389" spans="1:33" ht="12.75">
      <c r="A389" s="14"/>
      <c r="B389" s="206"/>
      <c r="C389" s="6"/>
      <c r="D389" s="185"/>
      <c r="E389" s="35"/>
      <c r="F389" s="209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</row>
    <row r="390" spans="1:33" ht="12.75">
      <c r="A390" s="14"/>
      <c r="B390" s="206"/>
      <c r="C390" s="6"/>
      <c r="D390" s="185"/>
      <c r="E390" s="35"/>
      <c r="F390" s="209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</row>
    <row r="391" spans="1:33" ht="12.75">
      <c r="A391" s="14"/>
      <c r="B391" s="206"/>
      <c r="C391" s="6"/>
      <c r="D391" s="185"/>
      <c r="E391" s="35"/>
      <c r="F391" s="209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</row>
    <row r="392" spans="1:33" ht="12.75">
      <c r="A392" s="14"/>
      <c r="B392" s="206"/>
      <c r="C392" s="6"/>
      <c r="D392" s="185"/>
      <c r="E392" s="35"/>
      <c r="F392" s="209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</row>
    <row r="393" spans="1:33" ht="12.75">
      <c r="A393" s="14"/>
      <c r="B393" s="206"/>
      <c r="C393" s="6"/>
      <c r="D393" s="185"/>
      <c r="E393" s="35"/>
      <c r="F393" s="209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</row>
    <row r="394" spans="1:33" ht="12.75">
      <c r="A394" s="14"/>
      <c r="B394" s="206"/>
      <c r="C394" s="6"/>
      <c r="D394" s="185"/>
      <c r="E394" s="35"/>
      <c r="F394" s="209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</row>
    <row r="395" spans="1:33" ht="12.75">
      <c r="A395" s="14"/>
      <c r="B395" s="206"/>
      <c r="C395" s="6"/>
      <c r="D395" s="185"/>
      <c r="E395" s="35"/>
      <c r="F395" s="209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</row>
    <row r="396" spans="1:33" ht="12.75">
      <c r="A396" s="14"/>
      <c r="B396" s="206"/>
      <c r="C396" s="6"/>
      <c r="D396" s="185"/>
      <c r="E396" s="35"/>
      <c r="F396" s="209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</row>
    <row r="397" spans="1:33" ht="12.75">
      <c r="A397" s="14"/>
      <c r="B397" s="206"/>
      <c r="C397" s="6"/>
      <c r="D397" s="185"/>
      <c r="E397" s="35"/>
      <c r="F397" s="209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</row>
    <row r="398" spans="1:33" ht="12.75">
      <c r="A398" s="14"/>
      <c r="B398" s="206"/>
      <c r="C398" s="6"/>
      <c r="D398" s="185"/>
      <c r="E398" s="35"/>
      <c r="F398" s="209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</row>
    <row r="399" spans="1:33" ht="12.75">
      <c r="A399" s="14"/>
      <c r="B399" s="206"/>
      <c r="C399" s="6"/>
      <c r="D399" s="185"/>
      <c r="E399" s="35"/>
      <c r="F399" s="209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</row>
    <row r="400" spans="1:33" ht="12.75">
      <c r="A400" s="14"/>
      <c r="B400" s="206"/>
      <c r="C400" s="6"/>
      <c r="D400" s="185"/>
      <c r="E400" s="35"/>
      <c r="F400" s="209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</row>
    <row r="401" spans="1:33" ht="12.75">
      <c r="A401" s="14"/>
      <c r="B401" s="206"/>
      <c r="C401" s="6"/>
      <c r="D401" s="185"/>
      <c r="E401" s="35"/>
      <c r="F401" s="209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</row>
    <row r="402" spans="1:33" ht="12.75">
      <c r="A402" s="14"/>
      <c r="B402" s="206"/>
      <c r="C402" s="6"/>
      <c r="D402" s="185"/>
      <c r="E402" s="35"/>
      <c r="F402" s="209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</row>
    <row r="403" spans="1:33" ht="12.75">
      <c r="A403" s="14"/>
      <c r="B403" s="206"/>
      <c r="C403" s="6"/>
      <c r="D403" s="185"/>
      <c r="E403" s="35"/>
      <c r="F403" s="209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</row>
    <row r="404" spans="1:33" ht="12.75">
      <c r="A404" s="14"/>
      <c r="B404" s="206"/>
      <c r="C404" s="6"/>
      <c r="D404" s="185"/>
      <c r="E404" s="35"/>
      <c r="F404" s="209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</row>
    <row r="405" spans="1:33" ht="12.75">
      <c r="A405" s="14"/>
      <c r="B405" s="206"/>
      <c r="C405" s="6"/>
      <c r="D405" s="185"/>
      <c r="E405" s="35"/>
      <c r="F405" s="209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</row>
    <row r="406" spans="1:33" ht="12.75">
      <c r="A406" s="14"/>
      <c r="B406" s="206"/>
      <c r="C406" s="6"/>
      <c r="D406" s="185"/>
      <c r="E406" s="35"/>
      <c r="F406" s="209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</row>
    <row r="407" spans="1:33" ht="12.75">
      <c r="A407" s="14"/>
      <c r="B407" s="206"/>
      <c r="C407" s="6"/>
      <c r="D407" s="185"/>
      <c r="E407" s="35"/>
      <c r="F407" s="209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</row>
    <row r="408" spans="1:33" ht="12.75">
      <c r="A408" s="14"/>
      <c r="B408" s="206"/>
      <c r="C408" s="6"/>
      <c r="D408" s="185"/>
      <c r="E408" s="35"/>
      <c r="F408" s="209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</row>
    <row r="409" spans="1:33" ht="12.75">
      <c r="A409" s="14"/>
      <c r="B409" s="206"/>
      <c r="C409" s="6"/>
      <c r="D409" s="185"/>
      <c r="E409" s="35"/>
      <c r="F409" s="209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</row>
    <row r="410" spans="1:33" ht="12.75">
      <c r="A410" s="14"/>
      <c r="B410" s="206"/>
      <c r="C410" s="6"/>
      <c r="D410" s="185"/>
      <c r="E410" s="35"/>
      <c r="F410" s="209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</row>
    <row r="411" spans="1:33" ht="12.75">
      <c r="A411" s="14"/>
      <c r="B411" s="206"/>
      <c r="C411" s="6"/>
      <c r="D411" s="185"/>
      <c r="E411" s="35"/>
      <c r="F411" s="209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</row>
    <row r="412" spans="1:33" ht="12.75">
      <c r="A412" s="14"/>
      <c r="B412" s="206"/>
      <c r="C412" s="6"/>
      <c r="D412" s="185"/>
      <c r="E412" s="35"/>
      <c r="F412" s="209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</row>
    <row r="413" spans="1:33" ht="12.75">
      <c r="A413" s="14"/>
      <c r="B413" s="206"/>
      <c r="C413" s="6"/>
      <c r="D413" s="185"/>
      <c r="E413" s="35"/>
      <c r="F413" s="209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</row>
    <row r="414" spans="1:33" ht="12.75">
      <c r="A414" s="14"/>
      <c r="B414" s="206"/>
      <c r="C414" s="6"/>
      <c r="D414" s="185"/>
      <c r="E414" s="35"/>
      <c r="F414" s="209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</row>
    <row r="415" spans="1:33" ht="12.75">
      <c r="A415" s="14"/>
      <c r="B415" s="206"/>
      <c r="C415" s="6"/>
      <c r="D415" s="185"/>
      <c r="E415" s="35"/>
      <c r="F415" s="209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</row>
    <row r="416" spans="1:33" ht="12.75">
      <c r="A416" s="14"/>
      <c r="B416" s="206"/>
      <c r="C416" s="6"/>
      <c r="D416" s="185"/>
      <c r="E416" s="35"/>
      <c r="F416" s="209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</row>
    <row r="417" spans="1:33" ht="12.75">
      <c r="A417" s="14"/>
      <c r="B417" s="206"/>
      <c r="C417" s="6"/>
      <c r="D417" s="185"/>
      <c r="E417" s="35"/>
      <c r="F417" s="209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</row>
    <row r="418" spans="1:33" ht="12.75">
      <c r="A418" s="14"/>
      <c r="B418" s="206"/>
      <c r="C418" s="6"/>
      <c r="D418" s="185"/>
      <c r="E418" s="35"/>
      <c r="F418" s="209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</row>
    <row r="419" spans="1:33" ht="12.75">
      <c r="A419" s="14"/>
      <c r="B419" s="206"/>
      <c r="C419" s="6"/>
      <c r="D419" s="185"/>
      <c r="E419" s="35"/>
      <c r="F419" s="209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</row>
    <row r="420" spans="1:33" ht="12.75">
      <c r="A420" s="14"/>
      <c r="B420" s="206"/>
      <c r="C420" s="6"/>
      <c r="D420" s="185"/>
      <c r="E420" s="35"/>
      <c r="F420" s="209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</row>
    <row r="421" spans="1:33" ht="12.75">
      <c r="A421" s="14"/>
      <c r="B421" s="206"/>
      <c r="C421" s="6"/>
      <c r="D421" s="185"/>
      <c r="E421" s="35"/>
      <c r="F421" s="209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</row>
    <row r="422" spans="1:33" ht="12.75">
      <c r="A422" s="14"/>
      <c r="B422" s="206"/>
      <c r="C422" s="6"/>
      <c r="D422" s="185"/>
      <c r="E422" s="35"/>
      <c r="F422" s="209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</row>
    <row r="423" spans="1:33" ht="12.75">
      <c r="A423" s="14"/>
      <c r="B423" s="206"/>
      <c r="C423" s="6"/>
      <c r="D423" s="185"/>
      <c r="E423" s="35"/>
      <c r="F423" s="209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</row>
    <row r="424" spans="1:33" ht="12.75">
      <c r="A424" s="14"/>
      <c r="B424" s="206"/>
      <c r="C424" s="6"/>
      <c r="D424" s="185"/>
      <c r="E424" s="35"/>
      <c r="F424" s="209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</row>
    <row r="425" spans="1:33" ht="12.75">
      <c r="A425" s="14"/>
      <c r="B425" s="206"/>
      <c r="C425" s="6"/>
      <c r="D425" s="185"/>
      <c r="E425" s="35"/>
      <c r="F425" s="209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</row>
    <row r="426" spans="1:33" ht="12.75">
      <c r="A426" s="14"/>
      <c r="B426" s="206"/>
      <c r="C426" s="6"/>
      <c r="D426" s="185"/>
      <c r="E426" s="35"/>
      <c r="F426" s="209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</row>
    <row r="427" spans="1:33" ht="12.75">
      <c r="A427" s="14"/>
      <c r="B427" s="206"/>
      <c r="C427" s="6"/>
      <c r="D427" s="185"/>
      <c r="E427" s="35"/>
      <c r="F427" s="209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</row>
    <row r="428" spans="1:33" ht="12.75">
      <c r="A428" s="14"/>
      <c r="B428" s="206"/>
      <c r="C428" s="6"/>
      <c r="D428" s="185"/>
      <c r="E428" s="35"/>
      <c r="F428" s="209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</row>
    <row r="429" spans="1:33" ht="12.75">
      <c r="A429" s="14"/>
      <c r="B429" s="206"/>
      <c r="C429" s="6"/>
      <c r="D429" s="185"/>
      <c r="E429" s="35"/>
      <c r="F429" s="209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</row>
    <row r="430" spans="1:33" ht="12.75">
      <c r="A430" s="14"/>
      <c r="B430" s="206"/>
      <c r="C430" s="6"/>
      <c r="D430" s="185"/>
      <c r="E430" s="35"/>
      <c r="F430" s="209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</row>
    <row r="431" spans="1:33" ht="12.75">
      <c r="A431" s="14"/>
      <c r="B431" s="206"/>
      <c r="C431" s="6"/>
      <c r="D431" s="185"/>
      <c r="E431" s="35"/>
      <c r="F431" s="209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</row>
    <row r="432" spans="1:33" ht="12.75">
      <c r="A432" s="14"/>
      <c r="B432" s="206"/>
      <c r="C432" s="6"/>
      <c r="D432" s="185"/>
      <c r="E432" s="35"/>
      <c r="F432" s="209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</row>
    <row r="433" spans="1:33" ht="12.75">
      <c r="A433" s="14"/>
      <c r="B433" s="206"/>
      <c r="C433" s="6"/>
      <c r="D433" s="185"/>
      <c r="E433" s="35"/>
      <c r="F433" s="209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</row>
    <row r="434" spans="1:33" ht="12.75">
      <c r="A434" s="14"/>
      <c r="B434" s="206"/>
      <c r="C434" s="6"/>
      <c r="D434" s="185"/>
      <c r="E434" s="35"/>
      <c r="F434" s="209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</row>
    <row r="435" spans="1:33" ht="12.75">
      <c r="A435" s="14"/>
      <c r="B435" s="206"/>
      <c r="C435" s="6"/>
      <c r="D435" s="185"/>
      <c r="E435" s="35"/>
      <c r="F435" s="209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</row>
    <row r="436" spans="1:33" ht="12.75">
      <c r="A436" s="14"/>
      <c r="B436" s="206"/>
      <c r="C436" s="6"/>
      <c r="D436" s="185"/>
      <c r="E436" s="35"/>
      <c r="F436" s="209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</row>
    <row r="437" spans="1:33" ht="12.75">
      <c r="A437" s="14"/>
      <c r="B437" s="206"/>
      <c r="C437" s="6"/>
      <c r="D437" s="185"/>
      <c r="E437" s="35"/>
      <c r="F437" s="209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</row>
    <row r="438" spans="1:33" ht="12.75">
      <c r="A438" s="14"/>
      <c r="B438" s="206"/>
      <c r="C438" s="6"/>
      <c r="D438" s="185"/>
      <c r="E438" s="35"/>
      <c r="F438" s="209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</row>
    <row r="439" spans="1:33" ht="12.75">
      <c r="A439" s="14"/>
      <c r="B439" s="206"/>
      <c r="C439" s="6"/>
      <c r="D439" s="185"/>
      <c r="E439" s="35"/>
      <c r="F439" s="209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</row>
    <row r="440" spans="1:33" ht="12.75">
      <c r="A440" s="14"/>
      <c r="B440" s="206"/>
      <c r="C440" s="6"/>
      <c r="D440" s="185"/>
      <c r="E440" s="35"/>
      <c r="F440" s="209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</row>
    <row r="441" spans="1:33" ht="12.75">
      <c r="A441" s="14"/>
      <c r="B441" s="206"/>
      <c r="C441" s="6"/>
      <c r="D441" s="185"/>
      <c r="E441" s="35"/>
      <c r="F441" s="209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</row>
    <row r="442" spans="1:33" ht="12.75">
      <c r="A442" s="14"/>
      <c r="B442" s="206"/>
      <c r="C442" s="6"/>
      <c r="D442" s="185"/>
      <c r="E442" s="35"/>
      <c r="F442" s="209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</row>
    <row r="443" spans="1:33" ht="12.75">
      <c r="A443" s="14"/>
      <c r="B443" s="206"/>
      <c r="C443" s="6"/>
      <c r="D443" s="185"/>
      <c r="E443" s="35"/>
      <c r="F443" s="209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</row>
    <row r="444" spans="1:33" ht="12.75">
      <c r="A444" s="14"/>
      <c r="B444" s="206"/>
      <c r="C444" s="6"/>
      <c r="D444" s="185"/>
      <c r="E444" s="35"/>
      <c r="F444" s="209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</row>
    <row r="445" spans="1:33" ht="12.75">
      <c r="A445" s="14"/>
      <c r="B445" s="206"/>
      <c r="C445" s="6"/>
      <c r="D445" s="185"/>
      <c r="E445" s="35"/>
      <c r="F445" s="209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</row>
    <row r="446" spans="1:33" ht="12.75">
      <c r="A446" s="14"/>
      <c r="B446" s="206"/>
      <c r="C446" s="6"/>
      <c r="D446" s="185"/>
      <c r="E446" s="35"/>
      <c r="F446" s="209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</row>
    <row r="447" spans="1:33" ht="12.75">
      <c r="A447" s="14"/>
      <c r="B447" s="206"/>
      <c r="C447" s="6"/>
      <c r="D447" s="185"/>
      <c r="E447" s="35"/>
      <c r="F447" s="209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</row>
    <row r="448" spans="1:33" ht="12.75">
      <c r="A448" s="14"/>
      <c r="B448" s="206"/>
      <c r="C448" s="6"/>
      <c r="D448" s="185"/>
      <c r="E448" s="35"/>
      <c r="F448" s="209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</row>
    <row r="449" spans="1:33" ht="12.75">
      <c r="A449" s="14"/>
      <c r="B449" s="206"/>
      <c r="C449" s="6"/>
      <c r="D449" s="185"/>
      <c r="E449" s="35"/>
      <c r="F449" s="209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</row>
    <row r="450" spans="1:33" ht="12.75">
      <c r="A450" s="14"/>
      <c r="B450" s="206"/>
      <c r="C450" s="6"/>
      <c r="D450" s="185"/>
      <c r="E450" s="35"/>
      <c r="F450" s="209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</row>
    <row r="451" spans="1:33" ht="12.75">
      <c r="A451" s="14"/>
      <c r="B451" s="206"/>
      <c r="C451" s="6"/>
      <c r="D451" s="185"/>
      <c r="E451" s="35"/>
      <c r="F451" s="209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</row>
    <row r="452" spans="1:33" ht="12.75">
      <c r="A452" s="14"/>
      <c r="B452" s="206"/>
      <c r="C452" s="6"/>
      <c r="D452" s="185"/>
      <c r="E452" s="35"/>
      <c r="F452" s="209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</row>
    <row r="453" spans="1:33" ht="12.75">
      <c r="A453" s="14"/>
      <c r="B453" s="206"/>
      <c r="C453" s="6"/>
      <c r="D453" s="185"/>
      <c r="E453" s="35"/>
      <c r="F453" s="209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</row>
    <row r="454" spans="1:33" ht="12.75">
      <c r="A454" s="14"/>
      <c r="B454" s="206"/>
      <c r="C454" s="6"/>
      <c r="D454" s="185"/>
      <c r="E454" s="35"/>
      <c r="F454" s="209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</row>
    <row r="455" spans="1:33" ht="12.75">
      <c r="A455" s="14"/>
      <c r="B455" s="206"/>
      <c r="C455" s="6"/>
      <c r="D455" s="185"/>
      <c r="E455" s="35"/>
      <c r="F455" s="209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</row>
    <row r="456" spans="1:33" ht="12.75">
      <c r="A456" s="14"/>
      <c r="B456" s="206"/>
      <c r="C456" s="6"/>
      <c r="D456" s="185"/>
      <c r="E456" s="35"/>
      <c r="F456" s="209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</row>
    <row r="457" spans="1:33" ht="12.75">
      <c r="A457" s="14"/>
      <c r="B457" s="206"/>
      <c r="C457" s="6"/>
      <c r="D457" s="185"/>
      <c r="E457" s="35"/>
      <c r="F457" s="209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</row>
    <row r="458" spans="1:33" ht="12.75">
      <c r="A458" s="14"/>
      <c r="B458" s="206"/>
      <c r="C458" s="6"/>
      <c r="D458" s="185"/>
      <c r="E458" s="35"/>
      <c r="F458" s="209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</row>
    <row r="459" spans="1:33" ht="12.75">
      <c r="A459" s="14"/>
      <c r="B459" s="206"/>
      <c r="C459" s="6"/>
      <c r="D459" s="185"/>
      <c r="E459" s="35"/>
      <c r="F459" s="209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</row>
    <row r="460" spans="1:33" ht="12.75">
      <c r="A460" s="14"/>
      <c r="B460" s="206"/>
      <c r="C460" s="6"/>
      <c r="D460" s="185"/>
      <c r="E460" s="35"/>
      <c r="F460" s="209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</row>
    <row r="461" spans="1:33" ht="12.75">
      <c r="A461" s="14"/>
      <c r="B461" s="206"/>
      <c r="C461" s="6"/>
      <c r="D461" s="185"/>
      <c r="E461" s="35"/>
      <c r="F461" s="209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</row>
    <row r="462" spans="1:33" ht="12.75">
      <c r="A462" s="14"/>
      <c r="B462" s="206"/>
      <c r="C462" s="6"/>
      <c r="D462" s="185"/>
      <c r="E462" s="35"/>
      <c r="F462" s="209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</row>
    <row r="463" spans="1:33" ht="12.75">
      <c r="A463" s="14"/>
      <c r="B463" s="206"/>
      <c r="C463" s="6"/>
      <c r="D463" s="185"/>
      <c r="E463" s="35"/>
      <c r="F463" s="209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</row>
    <row r="464" spans="1:33" ht="12.75">
      <c r="A464" s="14"/>
      <c r="B464" s="206"/>
      <c r="C464" s="6"/>
      <c r="D464" s="185"/>
      <c r="E464" s="35"/>
      <c r="F464" s="209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</row>
    <row r="465" spans="1:33" ht="12.75">
      <c r="A465" s="14"/>
      <c r="B465" s="206"/>
      <c r="C465" s="6"/>
      <c r="D465" s="185"/>
      <c r="E465" s="35"/>
      <c r="F465" s="209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</row>
    <row r="466" spans="1:33" ht="12.75">
      <c r="A466" s="14"/>
      <c r="B466" s="206"/>
      <c r="C466" s="6"/>
      <c r="D466" s="185"/>
      <c r="E466" s="35"/>
      <c r="F466" s="209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</row>
    <row r="467" spans="1:33" ht="12.75">
      <c r="A467" s="14"/>
      <c r="B467" s="206"/>
      <c r="C467" s="6"/>
      <c r="D467" s="185"/>
      <c r="E467" s="35"/>
      <c r="F467" s="209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</row>
    <row r="468" spans="1:33" ht="12.75">
      <c r="A468" s="14"/>
      <c r="B468" s="206"/>
      <c r="C468" s="6"/>
      <c r="D468" s="185"/>
      <c r="E468" s="35"/>
      <c r="F468" s="209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</row>
    <row r="469" spans="1:33" ht="12.75">
      <c r="A469" s="14"/>
      <c r="B469" s="206"/>
      <c r="C469" s="6"/>
      <c r="D469" s="185"/>
      <c r="E469" s="35"/>
      <c r="F469" s="209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</row>
    <row r="470" spans="1:33" ht="12.75">
      <c r="A470" s="14"/>
      <c r="B470" s="206"/>
      <c r="C470" s="6"/>
      <c r="D470" s="185"/>
      <c r="E470" s="35"/>
      <c r="F470" s="209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</row>
    <row r="471" spans="1:33" ht="12.75">
      <c r="A471" s="14"/>
      <c r="B471" s="206"/>
      <c r="C471" s="6"/>
      <c r="D471" s="185"/>
      <c r="E471" s="35"/>
      <c r="F471" s="209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</row>
    <row r="472" spans="1:33" ht="12.75">
      <c r="A472" s="14"/>
      <c r="B472" s="206"/>
      <c r="C472" s="6"/>
      <c r="D472" s="185"/>
      <c r="E472" s="35"/>
      <c r="F472" s="209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</row>
    <row r="473" spans="1:33" ht="12.75">
      <c r="A473" s="14"/>
      <c r="B473" s="206"/>
      <c r="C473" s="6"/>
      <c r="D473" s="185"/>
      <c r="E473" s="35"/>
      <c r="F473" s="209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</row>
    <row r="474" spans="1:33" ht="12.75">
      <c r="A474" s="14"/>
      <c r="B474" s="206"/>
      <c r="C474" s="6"/>
      <c r="D474" s="185"/>
      <c r="E474" s="35"/>
      <c r="F474" s="209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</row>
    <row r="475" spans="1:33" ht="12.75">
      <c r="A475" s="14"/>
      <c r="B475" s="206"/>
      <c r="C475" s="6"/>
      <c r="D475" s="185"/>
      <c r="E475" s="35"/>
      <c r="F475" s="209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</row>
    <row r="476" spans="1:33" ht="12.75">
      <c r="A476" s="14"/>
      <c r="B476" s="206"/>
      <c r="C476" s="6"/>
      <c r="D476" s="185"/>
      <c r="E476" s="35"/>
      <c r="F476" s="209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</row>
    <row r="477" spans="1:33" ht="12.75">
      <c r="A477" s="14"/>
      <c r="B477" s="206"/>
      <c r="C477" s="6"/>
      <c r="D477" s="185"/>
      <c r="E477" s="35"/>
      <c r="F477" s="209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</row>
    <row r="478" spans="1:33" ht="12.75">
      <c r="A478" s="14"/>
      <c r="B478" s="206"/>
      <c r="C478" s="6"/>
      <c r="D478" s="185"/>
      <c r="E478" s="35"/>
      <c r="F478" s="209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</row>
    <row r="479" spans="1:33" ht="12.75">
      <c r="A479" s="14"/>
      <c r="B479" s="206"/>
      <c r="C479" s="6"/>
      <c r="D479" s="185"/>
      <c r="E479" s="35"/>
      <c r="F479" s="209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</row>
    <row r="480" spans="1:33" ht="12.75">
      <c r="A480" s="14"/>
      <c r="B480" s="206"/>
      <c r="C480" s="6"/>
      <c r="D480" s="185"/>
      <c r="E480" s="35"/>
      <c r="F480" s="209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</row>
    <row r="481" spans="1:33" ht="12.75">
      <c r="A481" s="14"/>
      <c r="B481" s="206"/>
      <c r="C481" s="6"/>
      <c r="D481" s="185"/>
      <c r="E481" s="35"/>
      <c r="F481" s="209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</row>
    <row r="482" spans="1:33" ht="12.75">
      <c r="A482" s="14"/>
      <c r="B482" s="206"/>
      <c r="C482" s="6"/>
      <c r="D482" s="185"/>
      <c r="E482" s="35"/>
      <c r="F482" s="209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</row>
    <row r="483" spans="1:33" ht="12.75">
      <c r="A483" s="14"/>
      <c r="B483" s="206"/>
      <c r="C483" s="6"/>
      <c r="D483" s="185"/>
      <c r="E483" s="35"/>
      <c r="F483" s="209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</row>
    <row r="484" spans="1:33" ht="12.75">
      <c r="A484" s="14"/>
      <c r="B484" s="206"/>
      <c r="C484" s="6"/>
      <c r="D484" s="185"/>
      <c r="E484" s="35"/>
      <c r="F484" s="209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</row>
    <row r="485" spans="1:33" ht="12.75">
      <c r="A485" s="14"/>
      <c r="B485" s="206"/>
      <c r="C485" s="6"/>
      <c r="D485" s="185"/>
      <c r="E485" s="35"/>
      <c r="F485" s="209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</row>
    <row r="486" spans="1:33" ht="12.75">
      <c r="A486" s="14"/>
      <c r="B486" s="206"/>
      <c r="C486" s="6"/>
      <c r="D486" s="185"/>
      <c r="E486" s="35"/>
      <c r="F486" s="209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</row>
    <row r="487" spans="1:33" ht="12.75">
      <c r="A487" s="14"/>
      <c r="B487" s="206"/>
      <c r="C487" s="6"/>
      <c r="D487" s="185"/>
      <c r="E487" s="35"/>
      <c r="F487" s="209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</row>
    <row r="488" spans="1:33" ht="12.75">
      <c r="A488" s="14"/>
      <c r="B488" s="206"/>
      <c r="C488" s="6"/>
      <c r="D488" s="185"/>
      <c r="E488" s="35"/>
      <c r="F488" s="209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</row>
    <row r="489" spans="1:33" ht="12.75">
      <c r="A489" s="14"/>
      <c r="B489" s="206"/>
      <c r="C489" s="6"/>
      <c r="D489" s="185"/>
      <c r="E489" s="35"/>
      <c r="F489" s="209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</row>
    <row r="490" spans="1:33" ht="12.75">
      <c r="A490" s="14"/>
      <c r="B490" s="206"/>
      <c r="C490" s="6"/>
      <c r="D490" s="185"/>
      <c r="E490" s="35"/>
      <c r="F490" s="209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</row>
    <row r="491" spans="1:33" ht="12.75">
      <c r="A491" s="14"/>
      <c r="B491" s="206"/>
      <c r="C491" s="6"/>
      <c r="D491" s="185"/>
      <c r="E491" s="35"/>
      <c r="F491" s="209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</row>
    <row r="492" spans="1:33" ht="12.75">
      <c r="A492" s="14"/>
      <c r="B492" s="206"/>
      <c r="C492" s="6"/>
      <c r="D492" s="185"/>
      <c r="E492" s="35"/>
      <c r="F492" s="209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</row>
    <row r="493" spans="1:33" ht="12.75">
      <c r="A493" s="14"/>
      <c r="B493" s="206"/>
      <c r="C493" s="6"/>
      <c r="D493" s="185"/>
      <c r="E493" s="35"/>
      <c r="F493" s="209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</row>
    <row r="494" spans="1:33" ht="12.75">
      <c r="A494" s="14"/>
      <c r="B494" s="206"/>
      <c r="C494" s="6"/>
      <c r="D494" s="185"/>
      <c r="E494" s="35"/>
      <c r="F494" s="209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</row>
    <row r="495" spans="1:33" ht="12.75">
      <c r="A495" s="14"/>
      <c r="B495" s="206"/>
      <c r="C495" s="6"/>
      <c r="D495" s="185"/>
      <c r="E495" s="35"/>
      <c r="F495" s="209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</row>
    <row r="496" spans="1:33" ht="12.75">
      <c r="A496" s="14"/>
      <c r="B496" s="206"/>
      <c r="C496" s="6"/>
      <c r="D496" s="185"/>
      <c r="E496" s="35"/>
      <c r="F496" s="209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</row>
    <row r="497" spans="1:33" ht="12.75">
      <c r="A497" s="14"/>
      <c r="B497" s="206"/>
      <c r="C497" s="6"/>
      <c r="D497" s="185"/>
      <c r="E497" s="35"/>
      <c r="F497" s="209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</row>
    <row r="498" spans="1:33" ht="12.75">
      <c r="A498" s="14"/>
      <c r="B498" s="206"/>
      <c r="C498" s="6"/>
      <c r="D498" s="185"/>
      <c r="E498" s="35"/>
      <c r="F498" s="209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</row>
    <row r="499" spans="1:33" ht="12.75">
      <c r="A499" s="14"/>
      <c r="B499" s="206"/>
      <c r="C499" s="6"/>
      <c r="D499" s="185"/>
      <c r="E499" s="35"/>
      <c r="F499" s="209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</row>
    <row r="500" spans="1:33" ht="12.75">
      <c r="A500" s="14"/>
      <c r="B500" s="206"/>
      <c r="C500" s="6"/>
      <c r="D500" s="185"/>
      <c r="E500" s="35"/>
      <c r="F500" s="209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</row>
    <row r="501" spans="1:33" ht="12.75">
      <c r="A501" s="14"/>
      <c r="B501" s="206"/>
      <c r="C501" s="6"/>
      <c r="D501" s="185"/>
      <c r="E501" s="35"/>
      <c r="F501" s="209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</row>
    <row r="502" spans="1:33" ht="12.75">
      <c r="A502" s="14"/>
      <c r="B502" s="206"/>
      <c r="C502" s="6"/>
      <c r="D502" s="185"/>
      <c r="E502" s="35"/>
      <c r="F502" s="209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</row>
    <row r="503" spans="1:33" ht="12.75">
      <c r="A503" s="14"/>
      <c r="B503" s="206"/>
      <c r="C503" s="6"/>
      <c r="D503" s="185"/>
      <c r="E503" s="35"/>
      <c r="F503" s="209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</row>
    <row r="504" spans="1:33" ht="12.75">
      <c r="A504" s="14"/>
      <c r="B504" s="206"/>
      <c r="C504" s="6"/>
      <c r="D504" s="185"/>
      <c r="E504" s="35"/>
      <c r="F504" s="209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</row>
    <row r="505" spans="1:33" ht="12.75">
      <c r="A505" s="14"/>
      <c r="B505" s="206"/>
      <c r="C505" s="6"/>
      <c r="D505" s="185"/>
      <c r="E505" s="35"/>
      <c r="F505" s="209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</row>
    <row r="506" spans="1:33" ht="12.75">
      <c r="A506" s="14"/>
      <c r="B506" s="206"/>
      <c r="C506" s="6"/>
      <c r="D506" s="185"/>
      <c r="E506" s="35"/>
      <c r="F506" s="209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</row>
    <row r="507" spans="1:33" ht="12.75">
      <c r="A507" s="14"/>
      <c r="B507" s="206"/>
      <c r="C507" s="6"/>
      <c r="D507" s="185"/>
      <c r="E507" s="35"/>
      <c r="F507" s="209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</row>
    <row r="508" spans="1:33" ht="12.75">
      <c r="A508" s="14"/>
      <c r="B508" s="206"/>
      <c r="C508" s="6"/>
      <c r="D508" s="185"/>
      <c r="E508" s="35"/>
      <c r="F508" s="209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</row>
    <row r="509" spans="1:33" ht="12.75">
      <c r="A509" s="14"/>
      <c r="B509" s="206"/>
      <c r="C509" s="6"/>
      <c r="D509" s="185"/>
      <c r="E509" s="35"/>
      <c r="F509" s="209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</row>
    <row r="510" spans="1:33" ht="12.75">
      <c r="A510" s="14"/>
      <c r="B510" s="206"/>
      <c r="C510" s="6"/>
      <c r="D510" s="185"/>
      <c r="E510" s="35"/>
      <c r="F510" s="209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</row>
    <row r="511" spans="1:33" ht="12.75">
      <c r="A511" s="14"/>
      <c r="B511" s="206"/>
      <c r="C511" s="6"/>
      <c r="D511" s="185"/>
      <c r="E511" s="35"/>
      <c r="F511" s="209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</row>
    <row r="512" spans="1:33" ht="12.75">
      <c r="A512" s="14"/>
      <c r="B512" s="206"/>
      <c r="C512" s="6"/>
      <c r="D512" s="185"/>
      <c r="E512" s="35"/>
      <c r="F512" s="209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</row>
    <row r="513" spans="1:33" ht="12.75">
      <c r="A513" s="14"/>
      <c r="B513" s="206"/>
      <c r="C513" s="6"/>
      <c r="D513" s="185"/>
      <c r="E513" s="35"/>
      <c r="F513" s="209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</row>
    <row r="514" spans="1:33" ht="12.75">
      <c r="A514" s="14"/>
      <c r="B514" s="206"/>
      <c r="C514" s="6"/>
      <c r="D514" s="185"/>
      <c r="E514" s="35"/>
      <c r="F514" s="209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</row>
    <row r="515" spans="1:33" ht="12.75">
      <c r="A515" s="14"/>
      <c r="B515" s="206"/>
      <c r="C515" s="6"/>
      <c r="D515" s="185"/>
      <c r="E515" s="35"/>
      <c r="F515" s="209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</row>
    <row r="516" spans="1:33" ht="12.75">
      <c r="A516" s="14"/>
      <c r="B516" s="206"/>
      <c r="C516" s="6"/>
      <c r="D516" s="185"/>
      <c r="E516" s="35"/>
      <c r="F516" s="209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</row>
    <row r="517" spans="1:33" ht="12.75">
      <c r="A517" s="14"/>
      <c r="B517" s="206"/>
      <c r="C517" s="6"/>
      <c r="D517" s="185"/>
      <c r="E517" s="35"/>
      <c r="F517" s="209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</row>
    <row r="518" spans="1:33" ht="12.75">
      <c r="A518" s="14"/>
      <c r="B518" s="206"/>
      <c r="C518" s="6"/>
      <c r="D518" s="185"/>
      <c r="E518" s="35"/>
      <c r="F518" s="209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</row>
    <row r="519" spans="1:33" ht="12.75">
      <c r="A519" s="14"/>
      <c r="B519" s="206"/>
      <c r="C519" s="6"/>
      <c r="D519" s="185"/>
      <c r="E519" s="35"/>
      <c r="F519" s="209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</row>
    <row r="520" spans="1:33" ht="12.75">
      <c r="A520" s="14"/>
      <c r="B520" s="206"/>
      <c r="C520" s="6"/>
      <c r="D520" s="185"/>
      <c r="E520" s="35"/>
      <c r="F520" s="209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</row>
    <row r="521" spans="1:33" ht="12.75">
      <c r="A521" s="14"/>
      <c r="B521" s="206"/>
      <c r="C521" s="6"/>
      <c r="D521" s="185"/>
      <c r="E521" s="35"/>
      <c r="F521" s="209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</row>
    <row r="522" spans="1:33" ht="12.75">
      <c r="A522" s="14"/>
      <c r="B522" s="206"/>
      <c r="C522" s="6"/>
      <c r="D522" s="185"/>
      <c r="E522" s="35"/>
      <c r="F522" s="209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</row>
    <row r="523" spans="1:33" ht="12.75">
      <c r="A523" s="14"/>
      <c r="B523" s="206"/>
      <c r="C523" s="6"/>
      <c r="D523" s="185"/>
      <c r="E523" s="35"/>
      <c r="F523" s="209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</row>
    <row r="524" spans="1:33" ht="12.75">
      <c r="A524" s="14"/>
      <c r="B524" s="206"/>
      <c r="C524" s="6"/>
      <c r="D524" s="185"/>
      <c r="E524" s="35"/>
      <c r="F524" s="209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</row>
    <row r="525" spans="1:33" ht="12.75">
      <c r="A525" s="14"/>
      <c r="B525" s="206"/>
      <c r="C525" s="6"/>
      <c r="D525" s="185"/>
      <c r="E525" s="35"/>
      <c r="F525" s="209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</row>
    <row r="526" spans="1:33" ht="12.75">
      <c r="A526" s="14"/>
      <c r="B526" s="206"/>
      <c r="C526" s="6"/>
      <c r="D526" s="185"/>
      <c r="E526" s="35"/>
      <c r="F526" s="209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</row>
    <row r="527" spans="1:33" ht="12.75">
      <c r="A527" s="14"/>
      <c r="B527" s="206"/>
      <c r="C527" s="6"/>
      <c r="D527" s="185"/>
      <c r="E527" s="35"/>
      <c r="F527" s="209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</row>
    <row r="528" spans="1:33" ht="12.75">
      <c r="A528" s="14"/>
      <c r="B528" s="206"/>
      <c r="C528" s="6"/>
      <c r="D528" s="185"/>
      <c r="E528" s="35"/>
      <c r="F528" s="209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</row>
    <row r="529" spans="1:33" ht="12.75">
      <c r="A529" s="14"/>
      <c r="B529" s="206"/>
      <c r="C529" s="6"/>
      <c r="D529" s="185"/>
      <c r="E529" s="35"/>
      <c r="F529" s="209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</row>
    <row r="530" spans="1:33" ht="12.75">
      <c r="A530" s="14"/>
      <c r="B530" s="206"/>
      <c r="C530" s="6"/>
      <c r="D530" s="185"/>
      <c r="E530" s="35"/>
      <c r="F530" s="209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</row>
    <row r="531" spans="1:33" ht="12.75">
      <c r="A531" s="14"/>
      <c r="B531" s="206"/>
      <c r="C531" s="6"/>
      <c r="D531" s="185"/>
      <c r="E531" s="35"/>
      <c r="F531" s="209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</row>
    <row r="532" spans="1:33" ht="12.75">
      <c r="A532" s="14"/>
      <c r="B532" s="206"/>
      <c r="C532" s="6"/>
      <c r="D532" s="185"/>
      <c r="E532" s="35"/>
      <c r="F532" s="209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</row>
    <row r="533" spans="1:33" ht="12.75">
      <c r="A533" s="14"/>
      <c r="B533" s="206"/>
      <c r="C533" s="6"/>
      <c r="D533" s="185"/>
      <c r="E533" s="35"/>
      <c r="F533" s="209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</row>
    <row r="534" spans="1:33" ht="12.75">
      <c r="A534" s="14"/>
      <c r="B534" s="206"/>
      <c r="C534" s="6"/>
      <c r="D534" s="185"/>
      <c r="E534" s="35"/>
      <c r="F534" s="209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</row>
    <row r="535" spans="1:33" ht="12.75">
      <c r="A535" s="14"/>
      <c r="B535" s="206"/>
      <c r="C535" s="6"/>
      <c r="D535" s="185"/>
      <c r="E535" s="35"/>
      <c r="F535" s="209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</row>
    <row r="536" spans="1:33" ht="12.75">
      <c r="A536" s="14"/>
      <c r="B536" s="206"/>
      <c r="C536" s="6"/>
      <c r="D536" s="185"/>
      <c r="E536" s="35"/>
      <c r="F536" s="209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</row>
    <row r="537" spans="1:33" ht="12.75">
      <c r="A537" s="14"/>
      <c r="B537" s="206"/>
      <c r="C537" s="6"/>
      <c r="D537" s="185"/>
      <c r="E537" s="35"/>
      <c r="F537" s="209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</row>
    <row r="538" spans="1:33" ht="12.75">
      <c r="A538" s="14"/>
      <c r="B538" s="206"/>
      <c r="C538" s="6"/>
      <c r="D538" s="185"/>
      <c r="E538" s="35"/>
      <c r="F538" s="209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</row>
    <row r="539" spans="1:33" ht="12.75">
      <c r="A539" s="14"/>
      <c r="B539" s="206"/>
      <c r="C539" s="6"/>
      <c r="D539" s="185"/>
      <c r="E539" s="35"/>
      <c r="F539" s="209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</row>
    <row r="540" spans="1:33" ht="12.75">
      <c r="A540" s="14"/>
      <c r="B540" s="206"/>
      <c r="C540" s="6"/>
      <c r="D540" s="185"/>
      <c r="E540" s="35"/>
      <c r="F540" s="209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</row>
    <row r="541" spans="1:33" ht="12.75">
      <c r="A541" s="14"/>
      <c r="B541" s="206"/>
      <c r="C541" s="6"/>
      <c r="D541" s="185"/>
      <c r="E541" s="35"/>
      <c r="F541" s="209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</row>
    <row r="542" spans="1:33" ht="12.75">
      <c r="A542" s="14"/>
      <c r="B542" s="206"/>
      <c r="C542" s="6"/>
      <c r="D542" s="185"/>
      <c r="E542" s="35"/>
      <c r="F542" s="209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</row>
    <row r="543" spans="1:33" ht="12.75">
      <c r="A543" s="14"/>
      <c r="B543" s="206"/>
      <c r="C543" s="6"/>
      <c r="D543" s="185"/>
      <c r="E543" s="35"/>
      <c r="F543" s="209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</row>
    <row r="544" spans="1:33" ht="12.75">
      <c r="A544" s="14"/>
      <c r="B544" s="206"/>
      <c r="C544" s="6"/>
      <c r="D544" s="185"/>
      <c r="E544" s="35"/>
      <c r="F544" s="209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</row>
    <row r="545" spans="1:33" ht="12.75">
      <c r="A545" s="14"/>
      <c r="B545" s="206"/>
      <c r="C545" s="6"/>
      <c r="D545" s="185"/>
      <c r="E545" s="35"/>
      <c r="F545" s="209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</row>
    <row r="546" spans="1:33" ht="12.75">
      <c r="A546" s="14"/>
      <c r="B546" s="206"/>
      <c r="C546" s="6"/>
      <c r="D546" s="185"/>
      <c r="E546" s="35"/>
      <c r="F546" s="209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</row>
    <row r="547" spans="1:33" ht="12.75">
      <c r="A547" s="14"/>
      <c r="B547" s="206"/>
      <c r="C547" s="6"/>
      <c r="D547" s="185"/>
      <c r="E547" s="35"/>
      <c r="F547" s="209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</row>
    <row r="548" spans="1:33" ht="12.75">
      <c r="A548" s="14"/>
      <c r="B548" s="206"/>
      <c r="C548" s="6"/>
      <c r="D548" s="185"/>
      <c r="E548" s="35"/>
      <c r="F548" s="209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</row>
    <row r="549" spans="1:33" ht="12.75">
      <c r="A549" s="14"/>
      <c r="B549" s="206"/>
      <c r="C549" s="6"/>
      <c r="D549" s="185"/>
      <c r="E549" s="35"/>
      <c r="F549" s="209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</row>
    <row r="550" spans="1:33" ht="12.75">
      <c r="A550" s="14"/>
      <c r="B550" s="206"/>
      <c r="C550" s="6"/>
      <c r="D550" s="185"/>
      <c r="E550" s="35"/>
      <c r="F550" s="209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</row>
    <row r="551" spans="1:33" ht="12.75">
      <c r="A551" s="14"/>
      <c r="B551" s="206"/>
      <c r="C551" s="6"/>
      <c r="D551" s="185"/>
      <c r="E551" s="35"/>
      <c r="F551" s="209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</row>
    <row r="552" spans="1:33" ht="12.75">
      <c r="A552" s="14"/>
      <c r="B552" s="206"/>
      <c r="C552" s="6"/>
      <c r="D552" s="185"/>
      <c r="E552" s="35"/>
      <c r="F552" s="209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</row>
    <row r="553" spans="1:33" ht="12.75">
      <c r="A553" s="14"/>
      <c r="B553" s="206"/>
      <c r="C553" s="6"/>
      <c r="D553" s="185"/>
      <c r="E553" s="35"/>
      <c r="F553" s="209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</row>
    <row r="554" spans="1:33" ht="12.75">
      <c r="A554" s="14"/>
      <c r="B554" s="206"/>
      <c r="C554" s="6"/>
      <c r="D554" s="185"/>
      <c r="E554" s="35"/>
      <c r="F554" s="209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</row>
    <row r="555" spans="1:33" ht="12.75">
      <c r="A555" s="14"/>
      <c r="B555" s="206"/>
      <c r="C555" s="6"/>
      <c r="D555" s="185"/>
      <c r="E555" s="35"/>
      <c r="F555" s="209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</row>
    <row r="556" spans="1:33" ht="12.75">
      <c r="A556" s="14"/>
      <c r="B556" s="206"/>
      <c r="C556" s="6"/>
      <c r="D556" s="185"/>
      <c r="E556" s="35"/>
      <c r="F556" s="209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</row>
    <row r="557" spans="1:33" ht="12.75">
      <c r="A557" s="14"/>
      <c r="B557" s="206"/>
      <c r="C557" s="6"/>
      <c r="D557" s="185"/>
      <c r="E557" s="35"/>
      <c r="F557" s="209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</row>
    <row r="558" spans="1:33" ht="12.75">
      <c r="A558" s="14"/>
      <c r="B558" s="206"/>
      <c r="C558" s="6"/>
      <c r="D558" s="185"/>
      <c r="E558" s="35"/>
      <c r="F558" s="209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</row>
    <row r="559" spans="1:33" ht="12.75">
      <c r="A559" s="14"/>
      <c r="B559" s="206"/>
      <c r="C559" s="6"/>
      <c r="D559" s="185"/>
      <c r="E559" s="35"/>
      <c r="F559" s="209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</row>
    <row r="560" spans="1:33" ht="12.75">
      <c r="A560" s="14"/>
      <c r="B560" s="206"/>
      <c r="C560" s="6"/>
      <c r="D560" s="185"/>
      <c r="E560" s="35"/>
      <c r="F560" s="209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</row>
    <row r="561" spans="1:33" ht="12.75">
      <c r="A561" s="14"/>
      <c r="B561" s="206"/>
      <c r="C561" s="6"/>
      <c r="D561" s="185"/>
      <c r="E561" s="35"/>
      <c r="F561" s="209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</row>
    <row r="562" spans="1:33" ht="12.75">
      <c r="A562" s="14"/>
      <c r="B562" s="206"/>
      <c r="C562" s="6"/>
      <c r="D562" s="185"/>
      <c r="E562" s="35"/>
      <c r="F562" s="209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</row>
    <row r="563" spans="1:33" ht="12.75">
      <c r="A563" s="14"/>
      <c r="B563" s="206"/>
      <c r="C563" s="6"/>
      <c r="D563" s="185"/>
      <c r="E563" s="35"/>
      <c r="F563" s="209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</row>
    <row r="564" spans="1:33" ht="12.75">
      <c r="A564" s="14"/>
      <c r="B564" s="206"/>
      <c r="C564" s="6"/>
      <c r="D564" s="185"/>
      <c r="E564" s="35"/>
      <c r="F564" s="209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</row>
    <row r="565" spans="1:33" ht="12.75">
      <c r="A565" s="14"/>
      <c r="B565" s="206"/>
      <c r="C565" s="6"/>
      <c r="D565" s="185"/>
      <c r="E565" s="35"/>
      <c r="F565" s="209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</row>
    <row r="566" spans="1:33" ht="12.75">
      <c r="A566" s="14"/>
      <c r="B566" s="206"/>
      <c r="C566" s="6"/>
      <c r="D566" s="185"/>
      <c r="E566" s="35"/>
      <c r="F566" s="209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</row>
    <row r="567" spans="1:33" ht="12.75">
      <c r="A567" s="14"/>
      <c r="B567" s="206"/>
      <c r="C567" s="6"/>
      <c r="D567" s="185"/>
      <c r="E567" s="35"/>
      <c r="F567" s="209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</row>
    <row r="568" spans="1:33" ht="12.75">
      <c r="A568" s="14"/>
      <c r="B568" s="206"/>
      <c r="C568" s="6"/>
      <c r="D568" s="185"/>
      <c r="E568" s="35"/>
      <c r="F568" s="209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</row>
    <row r="569" spans="1:33" ht="12.75">
      <c r="A569" s="14"/>
      <c r="B569" s="206"/>
      <c r="C569" s="6"/>
      <c r="D569" s="185"/>
      <c r="E569" s="35"/>
      <c r="F569" s="209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</row>
    <row r="570" spans="1:33" ht="12.75">
      <c r="A570" s="14"/>
      <c r="B570" s="206"/>
      <c r="C570" s="6"/>
      <c r="D570" s="185"/>
      <c r="E570" s="35"/>
      <c r="F570" s="209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</row>
    <row r="571" spans="1:33" ht="12.75">
      <c r="A571" s="14"/>
      <c r="B571" s="206"/>
      <c r="C571" s="6"/>
      <c r="D571" s="185"/>
      <c r="E571" s="35"/>
      <c r="F571" s="209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</row>
    <row r="572" spans="1:33" ht="12.75">
      <c r="A572" s="14"/>
      <c r="B572" s="206"/>
      <c r="C572" s="6"/>
      <c r="D572" s="185"/>
      <c r="E572" s="35"/>
      <c r="F572" s="209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</row>
    <row r="573" spans="1:33" ht="12.75">
      <c r="A573" s="14"/>
      <c r="B573" s="206"/>
      <c r="C573" s="6"/>
      <c r="D573" s="185"/>
      <c r="E573" s="35"/>
      <c r="F573" s="209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</row>
    <row r="574" spans="1:33" ht="12.75">
      <c r="A574" s="14"/>
      <c r="B574" s="206"/>
      <c r="C574" s="6"/>
      <c r="D574" s="185"/>
      <c r="E574" s="35"/>
      <c r="F574" s="209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</row>
    <row r="575" spans="1:33" ht="12.75">
      <c r="A575" s="14"/>
      <c r="B575" s="206"/>
      <c r="C575" s="6"/>
      <c r="D575" s="185"/>
      <c r="E575" s="35"/>
      <c r="F575" s="209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</row>
    <row r="576" spans="1:33" ht="12.75">
      <c r="A576" s="14"/>
      <c r="B576" s="206"/>
      <c r="C576" s="6"/>
      <c r="D576" s="185"/>
      <c r="E576" s="35"/>
      <c r="F576" s="209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</row>
    <row r="577" spans="1:33" ht="12.75">
      <c r="A577" s="14"/>
      <c r="B577" s="206"/>
      <c r="C577" s="6"/>
      <c r="D577" s="185"/>
      <c r="E577" s="35"/>
      <c r="F577" s="209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</row>
    <row r="578" spans="1:33" ht="12.75">
      <c r="A578" s="14"/>
      <c r="B578" s="206"/>
      <c r="C578" s="6"/>
      <c r="D578" s="185"/>
      <c r="E578" s="35"/>
      <c r="F578" s="209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</row>
    <row r="579" spans="1:33" ht="12.75">
      <c r="A579" s="14"/>
      <c r="B579" s="206"/>
      <c r="C579" s="6"/>
      <c r="D579" s="185"/>
      <c r="E579" s="35"/>
      <c r="F579" s="209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</row>
    <row r="580" spans="1:33" ht="12.75">
      <c r="A580" s="14"/>
      <c r="B580" s="206"/>
      <c r="C580" s="6"/>
      <c r="D580" s="185"/>
      <c r="E580" s="35"/>
      <c r="F580" s="209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</row>
    <row r="581" spans="1:33" ht="12.75">
      <c r="A581" s="14"/>
      <c r="B581" s="206"/>
      <c r="C581" s="6"/>
      <c r="D581" s="185"/>
      <c r="E581" s="35"/>
      <c r="F581" s="209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</row>
    <row r="582" spans="1:33" ht="12.75">
      <c r="A582" s="14"/>
      <c r="B582" s="206"/>
      <c r="C582" s="6"/>
      <c r="D582" s="185"/>
      <c r="E582" s="35"/>
      <c r="F582" s="209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</row>
    <row r="583" spans="1:33" ht="12.75">
      <c r="A583" s="14"/>
      <c r="B583" s="206"/>
      <c r="C583" s="6"/>
      <c r="D583" s="185"/>
      <c r="E583" s="35"/>
      <c r="F583" s="209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</row>
    <row r="584" spans="1:33" ht="12.75">
      <c r="A584" s="14"/>
      <c r="B584" s="206"/>
      <c r="C584" s="6"/>
      <c r="D584" s="185"/>
      <c r="E584" s="35"/>
      <c r="F584" s="209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</row>
    <row r="585" spans="1:33" ht="12.75">
      <c r="A585" s="14"/>
      <c r="B585" s="206"/>
      <c r="C585" s="6"/>
      <c r="D585" s="185"/>
      <c r="E585" s="35"/>
      <c r="F585" s="209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</row>
    <row r="586" spans="1:33" ht="12.75">
      <c r="A586" s="14"/>
      <c r="B586" s="206"/>
      <c r="C586" s="6"/>
      <c r="D586" s="185"/>
      <c r="E586" s="35"/>
      <c r="F586" s="209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</row>
    <row r="587" spans="1:33" ht="12.75">
      <c r="A587" s="14"/>
      <c r="B587" s="206"/>
      <c r="C587" s="6"/>
      <c r="D587" s="185"/>
      <c r="E587" s="35"/>
      <c r="F587" s="209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</row>
    <row r="588" spans="1:33" ht="12.75">
      <c r="A588" s="14"/>
      <c r="B588" s="206"/>
      <c r="C588" s="6"/>
      <c r="D588" s="185"/>
      <c r="E588" s="35"/>
      <c r="F588" s="209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</row>
    <row r="589" spans="1:33" ht="12.75">
      <c r="A589" s="14"/>
      <c r="B589" s="206"/>
      <c r="C589" s="6"/>
      <c r="D589" s="185"/>
      <c r="E589" s="35"/>
      <c r="F589" s="209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</row>
    <row r="590" spans="1:33" ht="12.75">
      <c r="A590" s="14"/>
      <c r="B590" s="206"/>
      <c r="C590" s="6"/>
      <c r="D590" s="185"/>
      <c r="E590" s="35"/>
      <c r="F590" s="209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</row>
    <row r="591" spans="1:33" ht="12.75">
      <c r="A591" s="14"/>
      <c r="B591" s="206"/>
      <c r="C591" s="6"/>
      <c r="D591" s="185"/>
      <c r="E591" s="35"/>
      <c r="F591" s="209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</row>
    <row r="592" spans="1:33" ht="12.75">
      <c r="A592" s="14"/>
      <c r="B592" s="206"/>
      <c r="C592" s="6"/>
      <c r="D592" s="185"/>
      <c r="E592" s="35"/>
      <c r="F592" s="209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</row>
    <row r="593" spans="1:33" ht="12.75">
      <c r="A593" s="14"/>
      <c r="B593" s="206"/>
      <c r="C593" s="6"/>
      <c r="D593" s="185"/>
      <c r="E593" s="35"/>
      <c r="F593" s="209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</row>
    <row r="594" spans="1:33" ht="12.75">
      <c r="A594" s="14"/>
      <c r="B594" s="206"/>
      <c r="C594" s="6"/>
      <c r="D594" s="185"/>
      <c r="E594" s="35"/>
      <c r="F594" s="209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</row>
    <row r="595" spans="1:33" ht="12.75">
      <c r="A595" s="14"/>
      <c r="B595" s="206"/>
      <c r="C595" s="6"/>
      <c r="D595" s="185"/>
      <c r="E595" s="35"/>
      <c r="F595" s="209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</row>
    <row r="596" spans="1:33" ht="12.75">
      <c r="A596" s="14"/>
      <c r="B596" s="206"/>
      <c r="C596" s="6"/>
      <c r="D596" s="185"/>
      <c r="E596" s="35"/>
      <c r="F596" s="209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</row>
    <row r="597" spans="1:33" ht="12.75">
      <c r="A597" s="14"/>
      <c r="B597" s="206"/>
      <c r="C597" s="6"/>
      <c r="D597" s="185"/>
      <c r="E597" s="35"/>
      <c r="F597" s="209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</row>
    <row r="598" spans="1:33" ht="12.75">
      <c r="A598" s="14"/>
      <c r="B598" s="206"/>
      <c r="C598" s="6"/>
      <c r="D598" s="185"/>
      <c r="E598" s="35"/>
      <c r="F598" s="209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</row>
    <row r="599" spans="1:33" ht="12.75">
      <c r="A599" s="14"/>
      <c r="B599" s="206"/>
      <c r="C599" s="6"/>
      <c r="D599" s="185"/>
      <c r="E599" s="35"/>
      <c r="F599" s="209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</row>
    <row r="600" spans="1:33" ht="12.75">
      <c r="A600" s="14"/>
      <c r="B600" s="206"/>
      <c r="C600" s="6"/>
      <c r="D600" s="185"/>
      <c r="E600" s="35"/>
      <c r="F600" s="209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</row>
    <row r="601" spans="1:33" ht="12.75">
      <c r="A601" s="14"/>
      <c r="B601" s="206"/>
      <c r="C601" s="6"/>
      <c r="D601" s="185"/>
      <c r="E601" s="35"/>
      <c r="F601" s="209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</row>
    <row r="602" spans="1:33" ht="12.75">
      <c r="A602" s="14"/>
      <c r="B602" s="206"/>
      <c r="C602" s="6"/>
      <c r="D602" s="185"/>
      <c r="E602" s="35"/>
      <c r="F602" s="209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</row>
    <row r="603" spans="1:33" ht="12.75">
      <c r="A603" s="14"/>
      <c r="B603" s="206"/>
      <c r="C603" s="6"/>
      <c r="D603" s="185"/>
      <c r="E603" s="35"/>
      <c r="F603" s="209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</row>
    <row r="604" spans="1:33" ht="12.75">
      <c r="A604" s="14"/>
      <c r="B604" s="206"/>
      <c r="C604" s="6"/>
      <c r="D604" s="185"/>
      <c r="E604" s="35"/>
      <c r="F604" s="209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</row>
    <row r="605" spans="1:33" ht="12.75">
      <c r="A605" s="14"/>
      <c r="B605" s="206"/>
      <c r="C605" s="6"/>
      <c r="D605" s="185"/>
      <c r="E605" s="35"/>
      <c r="F605" s="209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</row>
    <row r="606" spans="1:33" ht="12.75">
      <c r="A606" s="14"/>
      <c r="B606" s="206"/>
      <c r="C606" s="6"/>
      <c r="D606" s="185"/>
      <c r="E606" s="35"/>
      <c r="F606" s="209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</row>
    <row r="607" spans="1:33" ht="12.75">
      <c r="A607" s="14"/>
      <c r="B607" s="206"/>
      <c r="C607" s="6"/>
      <c r="D607" s="185"/>
      <c r="E607" s="35"/>
      <c r="F607" s="209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</row>
    <row r="608" spans="1:33" ht="12.75">
      <c r="A608" s="14"/>
      <c r="B608" s="206"/>
      <c r="C608" s="6"/>
      <c r="D608" s="185"/>
      <c r="E608" s="35"/>
      <c r="F608" s="209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</row>
    <row r="609" spans="1:33" ht="12.75">
      <c r="A609" s="14"/>
      <c r="B609" s="206"/>
      <c r="C609" s="6"/>
      <c r="D609" s="185"/>
      <c r="E609" s="35"/>
      <c r="F609" s="209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</row>
    <row r="610" spans="1:33" ht="12.75">
      <c r="A610" s="14"/>
      <c r="B610" s="206"/>
      <c r="C610" s="6"/>
      <c r="D610" s="185"/>
      <c r="E610" s="35"/>
      <c r="F610" s="209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</row>
    <row r="611" spans="1:33" ht="12.75">
      <c r="A611" s="14"/>
      <c r="B611" s="206"/>
      <c r="C611" s="6"/>
      <c r="D611" s="185"/>
      <c r="E611" s="35"/>
      <c r="F611" s="209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</row>
    <row r="612" spans="1:33" ht="12.75">
      <c r="A612" s="14"/>
      <c r="B612" s="206"/>
      <c r="C612" s="6"/>
      <c r="D612" s="185"/>
      <c r="E612" s="35"/>
      <c r="F612" s="209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</row>
    <row r="613" spans="1:33" ht="12.75">
      <c r="A613" s="14"/>
      <c r="B613" s="206"/>
      <c r="C613" s="6"/>
      <c r="D613" s="185"/>
      <c r="E613" s="35"/>
      <c r="F613" s="209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</row>
    <row r="614" spans="1:33" ht="12.75">
      <c r="A614" s="14"/>
      <c r="B614" s="206"/>
      <c r="C614" s="6"/>
      <c r="D614" s="185"/>
      <c r="E614" s="35"/>
      <c r="F614" s="209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</row>
    <row r="615" spans="1:33" ht="12.75">
      <c r="A615" s="14"/>
      <c r="B615" s="206"/>
      <c r="C615" s="6"/>
      <c r="D615" s="185"/>
      <c r="E615" s="35"/>
      <c r="F615" s="209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</row>
    <row r="616" spans="1:33" ht="12.75">
      <c r="A616" s="14"/>
      <c r="B616" s="206"/>
      <c r="C616" s="6"/>
      <c r="D616" s="185"/>
      <c r="E616" s="35"/>
      <c r="F616" s="209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</row>
    <row r="617" spans="1:33" ht="12.75">
      <c r="A617" s="14"/>
      <c r="B617" s="206"/>
      <c r="C617" s="6"/>
      <c r="D617" s="185"/>
      <c r="E617" s="35"/>
      <c r="F617" s="209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</row>
    <row r="618" spans="1:33" ht="12.75">
      <c r="A618" s="14"/>
      <c r="B618" s="206"/>
      <c r="C618" s="6"/>
      <c r="D618" s="185"/>
      <c r="E618" s="35"/>
      <c r="F618" s="209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</row>
    <row r="619" spans="1:33" ht="12.75">
      <c r="A619" s="14"/>
      <c r="B619" s="206"/>
      <c r="C619" s="6"/>
      <c r="D619" s="185"/>
      <c r="E619" s="35"/>
      <c r="F619" s="209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</row>
    <row r="620" spans="1:33" ht="12.75">
      <c r="A620" s="14"/>
      <c r="B620" s="206"/>
      <c r="C620" s="6"/>
      <c r="D620" s="185"/>
      <c r="E620" s="35"/>
      <c r="F620" s="209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</row>
    <row r="621" spans="1:33" ht="12.75">
      <c r="A621" s="14"/>
      <c r="B621" s="206"/>
      <c r="C621" s="6"/>
      <c r="D621" s="185"/>
      <c r="E621" s="35"/>
      <c r="F621" s="209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</row>
    <row r="622" spans="1:33" ht="12.75">
      <c r="A622" s="14"/>
      <c r="B622" s="206"/>
      <c r="C622" s="6"/>
      <c r="D622" s="185"/>
      <c r="E622" s="35"/>
      <c r="F622" s="209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</row>
    <row r="623" spans="1:33" ht="12.75">
      <c r="A623" s="14"/>
      <c r="B623" s="206"/>
      <c r="C623" s="6"/>
      <c r="D623" s="185"/>
      <c r="E623" s="35"/>
      <c r="F623" s="209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</row>
    <row r="624" spans="1:33" ht="12.75">
      <c r="A624" s="14"/>
      <c r="B624" s="206"/>
      <c r="C624" s="6"/>
      <c r="D624" s="185"/>
      <c r="E624" s="35"/>
      <c r="F624" s="209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</row>
    <row r="625" spans="1:33" ht="12.75">
      <c r="A625" s="14"/>
      <c r="B625" s="206"/>
      <c r="C625" s="6"/>
      <c r="D625" s="185"/>
      <c r="E625" s="35"/>
      <c r="F625" s="209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</row>
    <row r="626" spans="1:33" ht="12.75">
      <c r="A626" s="14"/>
      <c r="B626" s="206"/>
      <c r="C626" s="6"/>
      <c r="D626" s="185"/>
      <c r="E626" s="35"/>
      <c r="F626" s="209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</row>
    <row r="627" spans="1:33" ht="12.75">
      <c r="A627" s="14"/>
      <c r="B627" s="206"/>
      <c r="C627" s="6"/>
      <c r="D627" s="185"/>
      <c r="E627" s="35"/>
      <c r="F627" s="209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</row>
    <row r="628" spans="1:33" ht="12.75">
      <c r="A628" s="14"/>
      <c r="B628" s="206"/>
      <c r="C628" s="6"/>
      <c r="D628" s="185"/>
      <c r="E628" s="35"/>
      <c r="F628" s="209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</row>
    <row r="629" spans="1:33" ht="12.75">
      <c r="A629" s="14"/>
      <c r="B629" s="206"/>
      <c r="C629" s="6"/>
      <c r="D629" s="185"/>
      <c r="E629" s="35"/>
      <c r="F629" s="209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</row>
    <row r="630" spans="1:33" ht="12.75">
      <c r="A630" s="14"/>
      <c r="B630" s="206"/>
      <c r="C630" s="6"/>
      <c r="D630" s="185"/>
      <c r="E630" s="35"/>
      <c r="F630" s="209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</row>
    <row r="631" spans="1:33" ht="12.75">
      <c r="A631" s="14"/>
      <c r="B631" s="206"/>
      <c r="C631" s="6"/>
      <c r="D631" s="185"/>
      <c r="E631" s="35"/>
      <c r="F631" s="209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</row>
    <row r="632" spans="1:33" ht="12.75">
      <c r="A632" s="14"/>
      <c r="B632" s="206"/>
      <c r="C632" s="6"/>
      <c r="D632" s="185"/>
      <c r="E632" s="35"/>
      <c r="F632" s="209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</row>
    <row r="633" spans="1:33" ht="12.75">
      <c r="A633" s="14"/>
      <c r="B633" s="206"/>
      <c r="C633" s="6"/>
      <c r="D633" s="185"/>
      <c r="E633" s="35"/>
      <c r="F633" s="209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</row>
    <row r="634" spans="1:33" ht="12.75">
      <c r="A634" s="14"/>
      <c r="B634" s="206"/>
      <c r="C634" s="6"/>
      <c r="D634" s="185"/>
      <c r="E634" s="35"/>
      <c r="F634" s="209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</row>
    <row r="635" spans="1:33" ht="12.75">
      <c r="A635" s="14"/>
      <c r="B635" s="206"/>
      <c r="C635" s="6"/>
      <c r="D635" s="185"/>
      <c r="E635" s="35"/>
      <c r="F635" s="209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</row>
    <row r="636" spans="1:33" ht="12.75">
      <c r="A636" s="14"/>
      <c r="B636" s="206"/>
      <c r="C636" s="6"/>
      <c r="D636" s="185"/>
      <c r="E636" s="35"/>
      <c r="F636" s="209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</row>
    <row r="637" spans="1:33" ht="12.75">
      <c r="A637" s="14"/>
      <c r="B637" s="206"/>
      <c r="C637" s="6"/>
      <c r="D637" s="185"/>
      <c r="E637" s="35"/>
      <c r="F637" s="209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</row>
    <row r="638" spans="1:33" ht="12.75">
      <c r="A638" s="14"/>
      <c r="B638" s="206"/>
      <c r="C638" s="6"/>
      <c r="D638" s="185"/>
      <c r="E638" s="35"/>
      <c r="F638" s="209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</row>
    <row r="639" spans="1:33" ht="12.75">
      <c r="A639" s="14"/>
      <c r="B639" s="206"/>
      <c r="C639" s="6"/>
      <c r="D639" s="185"/>
      <c r="E639" s="35"/>
      <c r="F639" s="209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</row>
    <row r="640" spans="1:33" ht="12.75">
      <c r="A640" s="14"/>
      <c r="B640" s="206"/>
      <c r="C640" s="6"/>
      <c r="D640" s="185"/>
      <c r="E640" s="35"/>
      <c r="F640" s="209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</row>
    <row r="641" spans="1:33" ht="12.75">
      <c r="A641" s="14"/>
      <c r="B641" s="206"/>
      <c r="C641" s="6"/>
      <c r="D641" s="185"/>
      <c r="E641" s="35"/>
      <c r="F641" s="209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</row>
    <row r="642" spans="1:33" ht="12.75">
      <c r="A642" s="14"/>
      <c r="B642" s="206"/>
      <c r="C642" s="6"/>
      <c r="D642" s="185"/>
      <c r="E642" s="35"/>
      <c r="F642" s="209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</row>
    <row r="643" spans="1:33" ht="12.75">
      <c r="A643" s="14"/>
      <c r="B643" s="206"/>
      <c r="C643" s="6"/>
      <c r="D643" s="185"/>
      <c r="E643" s="35"/>
      <c r="F643" s="209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</row>
    <row r="644" spans="1:33" ht="12.75">
      <c r="A644" s="14"/>
      <c r="B644" s="206"/>
      <c r="C644" s="6"/>
      <c r="D644" s="185"/>
      <c r="E644" s="35"/>
      <c r="F644" s="209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</row>
    <row r="645" spans="1:33" ht="12.75">
      <c r="A645" s="14"/>
      <c r="B645" s="206"/>
      <c r="C645" s="6"/>
      <c r="D645" s="185"/>
      <c r="E645" s="35"/>
      <c r="F645" s="209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</row>
    <row r="646" spans="1:33" ht="12.75">
      <c r="A646" s="14"/>
      <c r="B646" s="206"/>
      <c r="C646" s="6"/>
      <c r="D646" s="185"/>
      <c r="E646" s="35"/>
      <c r="F646" s="209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</row>
    <row r="647" spans="1:33" ht="12.75">
      <c r="A647" s="14"/>
      <c r="B647" s="206"/>
      <c r="C647" s="6"/>
      <c r="D647" s="185"/>
      <c r="E647" s="35"/>
      <c r="F647" s="209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</row>
    <row r="648" spans="1:33" ht="12.75">
      <c r="A648" s="14"/>
      <c r="B648" s="206"/>
      <c r="C648" s="6"/>
      <c r="D648" s="185"/>
      <c r="E648" s="35"/>
      <c r="F648" s="209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</row>
    <row r="649" spans="1:33" ht="12.75">
      <c r="A649" s="14"/>
      <c r="B649" s="206"/>
      <c r="C649" s="6"/>
      <c r="D649" s="185"/>
      <c r="E649" s="35"/>
      <c r="F649" s="209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</row>
    <row r="650" spans="1:33" ht="12.75">
      <c r="A650" s="14"/>
      <c r="B650" s="206"/>
      <c r="C650" s="6"/>
      <c r="D650" s="185"/>
      <c r="E650" s="35"/>
      <c r="F650" s="209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</row>
    <row r="651" spans="1:33" ht="12.75">
      <c r="A651" s="14"/>
      <c r="B651" s="206"/>
      <c r="C651" s="6"/>
      <c r="D651" s="185"/>
      <c r="E651" s="35"/>
      <c r="F651" s="209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</row>
    <row r="652" spans="1:33" ht="12.75">
      <c r="A652" s="14"/>
      <c r="B652" s="206"/>
      <c r="C652" s="6"/>
      <c r="D652" s="185"/>
      <c r="E652" s="35"/>
      <c r="F652" s="209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</row>
    <row r="653" spans="1:33" ht="12.75">
      <c r="A653" s="14"/>
      <c r="B653" s="206"/>
      <c r="C653" s="6"/>
      <c r="D653" s="185"/>
      <c r="E653" s="35"/>
      <c r="F653" s="209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</row>
    <row r="654" spans="1:33" ht="12.75">
      <c r="A654" s="14"/>
      <c r="B654" s="206"/>
      <c r="C654" s="6"/>
      <c r="D654" s="185"/>
      <c r="E654" s="35"/>
      <c r="F654" s="209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</row>
    <row r="655" spans="1:33" ht="12.75">
      <c r="A655" s="14"/>
      <c r="B655" s="206"/>
      <c r="C655" s="6"/>
      <c r="D655" s="185"/>
      <c r="E655" s="35"/>
      <c r="F655" s="209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</row>
    <row r="656" spans="1:33" ht="12.75">
      <c r="A656" s="14"/>
      <c r="B656" s="206"/>
      <c r="C656" s="6"/>
      <c r="D656" s="185"/>
      <c r="E656" s="35"/>
      <c r="F656" s="209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</row>
    <row r="657" spans="1:33" ht="12.75">
      <c r="A657" s="14"/>
      <c r="B657" s="206"/>
      <c r="C657" s="6"/>
      <c r="D657" s="185"/>
      <c r="E657" s="35"/>
      <c r="F657" s="209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</row>
    <row r="658" spans="1:33" ht="12.75">
      <c r="A658" s="14"/>
      <c r="B658" s="206"/>
      <c r="C658" s="6"/>
      <c r="D658" s="185"/>
      <c r="E658" s="35"/>
      <c r="F658" s="209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</row>
    <row r="659" spans="1:33" ht="12.75">
      <c r="A659" s="14"/>
      <c r="B659" s="206"/>
      <c r="C659" s="6"/>
      <c r="D659" s="185"/>
      <c r="E659" s="35"/>
      <c r="F659" s="209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</row>
    <row r="660" spans="1:33" ht="12.75">
      <c r="A660" s="14"/>
      <c r="B660" s="206"/>
      <c r="C660" s="6"/>
      <c r="D660" s="185"/>
      <c r="E660" s="35"/>
      <c r="F660" s="209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</row>
    <row r="661" spans="1:33" ht="12.75">
      <c r="A661" s="14"/>
      <c r="B661" s="206"/>
      <c r="C661" s="6"/>
      <c r="D661" s="185"/>
      <c r="E661" s="35"/>
      <c r="F661" s="209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</row>
    <row r="662" spans="1:33" ht="12.75">
      <c r="A662" s="14"/>
      <c r="B662" s="206"/>
      <c r="C662" s="6"/>
      <c r="D662" s="185"/>
      <c r="E662" s="35"/>
      <c r="F662" s="209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</row>
    <row r="663" spans="1:33" ht="12.75">
      <c r="A663" s="14"/>
      <c r="B663" s="206"/>
      <c r="C663" s="6"/>
      <c r="D663" s="185"/>
      <c r="E663" s="35"/>
      <c r="F663" s="209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</row>
    <row r="664" spans="1:33" ht="12.75">
      <c r="A664" s="14"/>
      <c r="B664" s="206"/>
      <c r="C664" s="6"/>
      <c r="D664" s="185"/>
      <c r="E664" s="35"/>
      <c r="F664" s="209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</row>
    <row r="665" spans="1:33" ht="12.75">
      <c r="A665" s="14"/>
      <c r="B665" s="206"/>
      <c r="C665" s="6"/>
      <c r="D665" s="185"/>
      <c r="E665" s="35"/>
      <c r="F665" s="209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</row>
    <row r="666" spans="1:33" ht="12.75">
      <c r="A666" s="14"/>
      <c r="B666" s="206"/>
      <c r="C666" s="6"/>
      <c r="D666" s="185"/>
      <c r="E666" s="35"/>
      <c r="F666" s="209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</row>
    <row r="667" spans="1:33" ht="12.75">
      <c r="A667" s="14"/>
      <c r="B667" s="206"/>
      <c r="C667" s="6"/>
      <c r="D667" s="185"/>
      <c r="E667" s="35"/>
      <c r="F667" s="209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</row>
    <row r="668" spans="1:33" ht="12.75">
      <c r="A668" s="14"/>
      <c r="B668" s="206"/>
      <c r="C668" s="6"/>
      <c r="D668" s="185"/>
      <c r="E668" s="35"/>
      <c r="F668" s="209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</row>
    <row r="669" spans="1:33" ht="12.75">
      <c r="A669" s="14"/>
      <c r="B669" s="206"/>
      <c r="C669" s="6"/>
      <c r="D669" s="185"/>
      <c r="E669" s="35"/>
      <c r="F669" s="209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</row>
    <row r="670" spans="1:33" ht="12.75">
      <c r="A670" s="14"/>
      <c r="B670" s="206"/>
      <c r="C670" s="6"/>
      <c r="D670" s="185"/>
      <c r="E670" s="35"/>
      <c r="F670" s="209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</row>
    <row r="671" spans="1:33" ht="12.75">
      <c r="A671" s="14"/>
      <c r="B671" s="206"/>
      <c r="C671" s="6"/>
      <c r="D671" s="185"/>
      <c r="E671" s="35"/>
      <c r="F671" s="209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</row>
    <row r="672" spans="1:33" ht="12.75">
      <c r="A672" s="14"/>
      <c r="B672" s="206"/>
      <c r="C672" s="6"/>
      <c r="D672" s="185"/>
      <c r="E672" s="35"/>
      <c r="F672" s="209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</row>
    <row r="673" spans="1:33" ht="12.75">
      <c r="A673" s="14"/>
      <c r="B673" s="206"/>
      <c r="C673" s="6"/>
      <c r="D673" s="185"/>
      <c r="E673" s="35"/>
      <c r="F673" s="209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</row>
    <row r="674" spans="1:33" ht="12.75">
      <c r="A674" s="14"/>
      <c r="B674" s="206"/>
      <c r="C674" s="6"/>
      <c r="D674" s="185"/>
      <c r="E674" s="35"/>
      <c r="F674" s="209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</row>
    <row r="675" spans="1:33" ht="12.75">
      <c r="A675" s="14"/>
      <c r="B675" s="206"/>
      <c r="C675" s="6"/>
      <c r="D675" s="185"/>
      <c r="E675" s="35"/>
      <c r="F675" s="209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</row>
    <row r="676" spans="1:33" ht="12.75">
      <c r="A676" s="14"/>
      <c r="B676" s="206"/>
      <c r="C676" s="6"/>
      <c r="D676" s="185"/>
      <c r="E676" s="35"/>
      <c r="F676" s="209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</row>
    <row r="677" spans="1:33" ht="12.75">
      <c r="A677" s="14"/>
      <c r="B677" s="206"/>
      <c r="C677" s="6"/>
      <c r="D677" s="185"/>
      <c r="E677" s="35"/>
      <c r="F677" s="209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</row>
    <row r="678" spans="1:33" ht="12.75">
      <c r="A678" s="14"/>
      <c r="B678" s="206"/>
      <c r="C678" s="6"/>
      <c r="D678" s="185"/>
      <c r="E678" s="35"/>
      <c r="F678" s="209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</row>
    <row r="679" spans="1:33" ht="12.75">
      <c r="A679" s="14"/>
      <c r="B679" s="206"/>
      <c r="C679" s="6"/>
      <c r="D679" s="185"/>
      <c r="E679" s="35"/>
      <c r="F679" s="209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</row>
    <row r="680" spans="1:33" ht="12.75">
      <c r="A680" s="14"/>
      <c r="B680" s="206"/>
      <c r="C680" s="6"/>
      <c r="D680" s="185"/>
      <c r="E680" s="35"/>
      <c r="F680" s="209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</row>
    <row r="681" spans="1:33" ht="12.75">
      <c r="A681" s="14"/>
      <c r="B681" s="206"/>
      <c r="C681" s="6"/>
      <c r="D681" s="185"/>
      <c r="E681" s="35"/>
      <c r="F681" s="209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</row>
    <row r="682" spans="1:33" ht="12.75">
      <c r="A682" s="14"/>
      <c r="B682" s="206"/>
      <c r="C682" s="6"/>
      <c r="D682" s="185"/>
      <c r="E682" s="35"/>
      <c r="F682" s="209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</row>
    <row r="683" spans="1:33" ht="12.75">
      <c r="A683" s="14"/>
      <c r="B683" s="206"/>
      <c r="C683" s="6"/>
      <c r="D683" s="185"/>
      <c r="E683" s="35"/>
      <c r="F683" s="209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</row>
    <row r="684" spans="1:33" ht="12.75">
      <c r="A684" s="14"/>
      <c r="B684" s="206"/>
      <c r="C684" s="6"/>
      <c r="D684" s="185"/>
      <c r="E684" s="35"/>
      <c r="F684" s="209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</row>
    <row r="685" spans="1:33" ht="12.75">
      <c r="A685" s="14"/>
      <c r="B685" s="206"/>
      <c r="C685" s="6"/>
      <c r="D685" s="185"/>
      <c r="E685" s="35"/>
      <c r="F685" s="209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</row>
    <row r="686" spans="1:33" ht="12.75">
      <c r="A686" s="14"/>
      <c r="B686" s="206"/>
      <c r="C686" s="6"/>
      <c r="D686" s="185"/>
      <c r="E686" s="35"/>
      <c r="F686" s="209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</row>
    <row r="687" spans="1:33" ht="12.75">
      <c r="A687" s="14"/>
      <c r="B687" s="206"/>
      <c r="C687" s="6"/>
      <c r="D687" s="185"/>
      <c r="E687" s="35"/>
      <c r="F687" s="209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</row>
    <row r="688" spans="1:33" ht="12.75">
      <c r="A688" s="14"/>
      <c r="B688" s="206"/>
      <c r="C688" s="6"/>
      <c r="D688" s="185"/>
      <c r="E688" s="35"/>
      <c r="F688" s="209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</row>
    <row r="689" spans="1:33" ht="12.75">
      <c r="A689" s="14"/>
      <c r="B689" s="206"/>
      <c r="C689" s="6"/>
      <c r="D689" s="185"/>
      <c r="E689" s="35"/>
      <c r="F689" s="209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</row>
    <row r="690" spans="1:33" ht="12.75">
      <c r="A690" s="14"/>
      <c r="B690" s="206"/>
      <c r="C690" s="6"/>
      <c r="D690" s="185"/>
      <c r="E690" s="35"/>
      <c r="F690" s="209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</row>
    <row r="691" spans="1:33" ht="12.75">
      <c r="A691" s="14"/>
      <c r="B691" s="206"/>
      <c r="C691" s="6"/>
      <c r="D691" s="185"/>
      <c r="E691" s="35"/>
      <c r="F691" s="209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</row>
    <row r="692" spans="1:33" ht="12.75">
      <c r="A692" s="14"/>
      <c r="B692" s="206"/>
      <c r="C692" s="6"/>
      <c r="D692" s="185"/>
      <c r="E692" s="35"/>
      <c r="F692" s="209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</row>
    <row r="693" spans="1:33" ht="12.75">
      <c r="A693" s="14"/>
      <c r="B693" s="206"/>
      <c r="C693" s="6"/>
      <c r="D693" s="185"/>
      <c r="E693" s="35"/>
      <c r="F693" s="209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</row>
    <row r="694" spans="1:33" ht="12.75">
      <c r="A694" s="14"/>
      <c r="B694" s="206"/>
      <c r="C694" s="6"/>
      <c r="D694" s="185"/>
      <c r="E694" s="35"/>
      <c r="F694" s="209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</row>
    <row r="695" spans="1:33" ht="12.75">
      <c r="A695" s="14"/>
      <c r="B695" s="206"/>
      <c r="C695" s="6"/>
      <c r="D695" s="185"/>
      <c r="E695" s="35"/>
      <c r="F695" s="209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</row>
    <row r="696" spans="1:33" ht="12.75">
      <c r="A696" s="14"/>
      <c r="B696" s="206"/>
      <c r="C696" s="6"/>
      <c r="D696" s="185"/>
      <c r="E696" s="35"/>
      <c r="F696" s="209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</row>
    <row r="697" spans="1:33" ht="12.75">
      <c r="A697" s="14"/>
      <c r="B697" s="206"/>
      <c r="C697" s="6"/>
      <c r="D697" s="185"/>
      <c r="E697" s="35"/>
      <c r="F697" s="209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</row>
    <row r="698" spans="1:33" ht="12.75">
      <c r="A698" s="14"/>
      <c r="B698" s="206"/>
      <c r="C698" s="6"/>
      <c r="D698" s="185"/>
      <c r="E698" s="35"/>
      <c r="F698" s="209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</row>
    <row r="699" spans="1:33" ht="12.75">
      <c r="A699" s="14"/>
      <c r="B699" s="206"/>
      <c r="C699" s="6"/>
      <c r="D699" s="185"/>
      <c r="E699" s="35"/>
      <c r="F699" s="209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</row>
    <row r="700" spans="1:33" ht="12.75">
      <c r="A700" s="14"/>
      <c r="B700" s="206"/>
      <c r="C700" s="6"/>
      <c r="D700" s="185"/>
      <c r="E700" s="35"/>
      <c r="F700" s="209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</row>
    <row r="701" spans="1:33" ht="12.75">
      <c r="A701" s="14"/>
      <c r="B701" s="206"/>
      <c r="C701" s="6"/>
      <c r="D701" s="185"/>
      <c r="E701" s="35"/>
      <c r="F701" s="209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</row>
    <row r="702" spans="1:33" ht="12.75">
      <c r="A702" s="14"/>
      <c r="B702" s="206"/>
      <c r="C702" s="6"/>
      <c r="D702" s="185"/>
      <c r="E702" s="35"/>
      <c r="F702" s="209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</row>
    <row r="703" spans="1:33" ht="12.75">
      <c r="A703" s="14"/>
      <c r="B703" s="206"/>
      <c r="C703" s="6"/>
      <c r="D703" s="185"/>
      <c r="E703" s="35"/>
      <c r="F703" s="209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</row>
    <row r="704" spans="1:33" ht="12.75">
      <c r="A704" s="14"/>
      <c r="B704" s="206"/>
      <c r="C704" s="6"/>
      <c r="D704" s="185"/>
      <c r="E704" s="35"/>
      <c r="F704" s="209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</row>
    <row r="705" spans="1:33" ht="12.75">
      <c r="A705" s="14"/>
      <c r="B705" s="206"/>
      <c r="C705" s="6"/>
      <c r="D705" s="185"/>
      <c r="E705" s="35"/>
      <c r="F705" s="209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</row>
    <row r="706" spans="1:33" ht="12.75">
      <c r="A706" s="14"/>
      <c r="B706" s="206"/>
      <c r="C706" s="6"/>
      <c r="D706" s="185"/>
      <c r="E706" s="35"/>
      <c r="F706" s="209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</row>
    <row r="707" spans="1:33" ht="12.75">
      <c r="A707" s="14"/>
      <c r="B707" s="206"/>
      <c r="C707" s="6"/>
      <c r="D707" s="185"/>
      <c r="E707" s="35"/>
      <c r="F707" s="209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</row>
    <row r="708" spans="1:33" ht="12.75">
      <c r="A708" s="14"/>
      <c r="B708" s="206"/>
      <c r="C708" s="6"/>
      <c r="D708" s="185"/>
      <c r="E708" s="35"/>
      <c r="F708" s="209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</row>
    <row r="709" spans="1:33" ht="12.75">
      <c r="A709" s="14"/>
      <c r="B709" s="206"/>
      <c r="C709" s="6"/>
      <c r="D709" s="185"/>
      <c r="E709" s="35"/>
      <c r="F709" s="209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</row>
    <row r="710" spans="1:33" ht="12.75">
      <c r="A710" s="14"/>
      <c r="B710" s="206"/>
      <c r="C710" s="6"/>
      <c r="D710" s="185"/>
      <c r="E710" s="35"/>
      <c r="F710" s="209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</row>
    <row r="711" spans="1:33" ht="12.75">
      <c r="A711" s="14"/>
      <c r="B711" s="206"/>
      <c r="C711" s="6"/>
      <c r="D711" s="185"/>
      <c r="E711" s="35"/>
      <c r="F711" s="209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</row>
    <row r="712" spans="1:33" ht="12.75">
      <c r="A712" s="14"/>
      <c r="B712" s="206"/>
      <c r="C712" s="6"/>
      <c r="D712" s="185"/>
      <c r="E712" s="35"/>
      <c r="F712" s="209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</row>
    <row r="713" spans="1:33" ht="12.75">
      <c r="A713" s="14"/>
      <c r="B713" s="206"/>
      <c r="C713" s="6"/>
      <c r="D713" s="185"/>
      <c r="E713" s="35"/>
      <c r="F713" s="209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</row>
    <row r="714" spans="1:33" ht="12.75">
      <c r="A714" s="14"/>
      <c r="B714" s="206"/>
      <c r="C714" s="6"/>
      <c r="D714" s="185"/>
      <c r="E714" s="35"/>
      <c r="F714" s="209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</row>
    <row r="715" spans="1:33" ht="12.75">
      <c r="A715" s="14"/>
      <c r="B715" s="206"/>
      <c r="C715" s="6"/>
      <c r="D715" s="185"/>
      <c r="E715" s="35"/>
      <c r="F715" s="209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</row>
    <row r="716" spans="1:33" ht="12.75">
      <c r="A716" s="14"/>
      <c r="B716" s="206"/>
      <c r="C716" s="6"/>
      <c r="D716" s="185"/>
      <c r="E716" s="35"/>
      <c r="F716" s="209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</row>
    <row r="717" spans="1:33" ht="12.75">
      <c r="A717" s="14"/>
      <c r="B717" s="206"/>
      <c r="C717" s="6"/>
      <c r="D717" s="185"/>
      <c r="E717" s="35"/>
      <c r="F717" s="209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</row>
    <row r="718" spans="1:33" ht="12.75">
      <c r="A718" s="14"/>
      <c r="B718" s="206"/>
      <c r="C718" s="6"/>
      <c r="D718" s="185"/>
      <c r="E718" s="35"/>
      <c r="F718" s="209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</row>
    <row r="719" spans="1:33" ht="12.75">
      <c r="A719" s="14"/>
      <c r="B719" s="206"/>
      <c r="C719" s="6"/>
      <c r="D719" s="185"/>
      <c r="E719" s="35"/>
      <c r="F719" s="209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</row>
    <row r="720" spans="1:33" ht="12.75">
      <c r="A720" s="14"/>
      <c r="B720" s="206"/>
      <c r="C720" s="6"/>
      <c r="D720" s="185"/>
      <c r="E720" s="35"/>
      <c r="F720" s="209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</row>
    <row r="721" spans="1:33" ht="12.75">
      <c r="A721" s="14"/>
      <c r="B721" s="206"/>
      <c r="C721" s="6"/>
      <c r="D721" s="185"/>
      <c r="E721" s="35"/>
      <c r="F721" s="209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</row>
    <row r="722" spans="1:33" ht="12.75">
      <c r="A722" s="14"/>
      <c r="B722" s="206"/>
      <c r="C722" s="6"/>
      <c r="D722" s="185"/>
      <c r="E722" s="35"/>
      <c r="F722" s="209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</row>
    <row r="723" spans="1:33" ht="12.75">
      <c r="A723" s="14"/>
      <c r="B723" s="206"/>
      <c r="C723" s="6"/>
      <c r="D723" s="185"/>
      <c r="E723" s="35"/>
      <c r="F723" s="209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</row>
    <row r="724" spans="1:33" ht="12.75">
      <c r="A724" s="14"/>
      <c r="B724" s="206"/>
      <c r="C724" s="6"/>
      <c r="D724" s="185"/>
      <c r="E724" s="35"/>
      <c r="F724" s="209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</row>
    <row r="725" spans="1:33" ht="12.75">
      <c r="A725" s="14"/>
      <c r="B725" s="206"/>
      <c r="C725" s="6"/>
      <c r="D725" s="185"/>
      <c r="E725" s="35"/>
      <c r="F725" s="209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</row>
    <row r="726" spans="1:33" ht="12.75">
      <c r="A726" s="14"/>
      <c r="B726" s="206"/>
      <c r="C726" s="6"/>
      <c r="D726" s="185"/>
      <c r="E726" s="35"/>
      <c r="F726" s="209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</row>
    <row r="727" spans="1:33" ht="12.75">
      <c r="A727" s="14"/>
      <c r="B727" s="206"/>
      <c r="C727" s="6"/>
      <c r="D727" s="185"/>
      <c r="E727" s="35"/>
      <c r="F727" s="209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</row>
    <row r="728" spans="1:33" ht="12.75">
      <c r="A728" s="14"/>
      <c r="B728" s="206"/>
      <c r="C728" s="6"/>
      <c r="D728" s="185"/>
      <c r="E728" s="35"/>
      <c r="F728" s="209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</row>
    <row r="729" spans="1:33" ht="12.75">
      <c r="A729" s="14"/>
      <c r="B729" s="206"/>
      <c r="C729" s="6"/>
      <c r="D729" s="185"/>
      <c r="E729" s="35"/>
      <c r="F729" s="209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</row>
    <row r="730" spans="1:33" ht="12.75">
      <c r="A730" s="14"/>
      <c r="B730" s="206"/>
      <c r="C730" s="6"/>
      <c r="D730" s="185"/>
      <c r="E730" s="35"/>
      <c r="F730" s="209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</row>
    <row r="731" spans="1:33" ht="12.75">
      <c r="A731" s="14"/>
      <c r="B731" s="206"/>
      <c r="C731" s="6"/>
      <c r="D731" s="185"/>
      <c r="E731" s="35"/>
      <c r="F731" s="209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</row>
    <row r="732" spans="1:33" ht="12.75">
      <c r="A732" s="14"/>
      <c r="B732" s="206"/>
      <c r="C732" s="6"/>
      <c r="D732" s="185"/>
      <c r="E732" s="35"/>
      <c r="F732" s="209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</row>
    <row r="733" spans="1:33" ht="12.75">
      <c r="A733" s="14"/>
      <c r="B733" s="206"/>
      <c r="C733" s="6"/>
      <c r="D733" s="185"/>
      <c r="E733" s="35"/>
      <c r="F733" s="209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</row>
    <row r="734" spans="1:33" ht="12.75">
      <c r="A734" s="14"/>
      <c r="B734" s="206"/>
      <c r="C734" s="6"/>
      <c r="D734" s="185"/>
      <c r="E734" s="35"/>
      <c r="F734" s="209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</row>
    <row r="735" spans="1:33" ht="12.75">
      <c r="A735" s="14"/>
      <c r="B735" s="206"/>
      <c r="C735" s="6"/>
      <c r="D735" s="185"/>
      <c r="E735" s="35"/>
      <c r="F735" s="209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</row>
    <row r="736" spans="1:33" ht="12.75">
      <c r="A736" s="14"/>
      <c r="B736" s="206"/>
      <c r="C736" s="6"/>
      <c r="D736" s="185"/>
      <c r="E736" s="35"/>
      <c r="F736" s="209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</row>
    <row r="737" spans="1:33" ht="12.75">
      <c r="A737" s="14"/>
      <c r="B737" s="206"/>
      <c r="C737" s="6"/>
      <c r="D737" s="185"/>
      <c r="E737" s="35"/>
      <c r="F737" s="209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</row>
    <row r="738" spans="1:33" ht="12.75">
      <c r="A738" s="14"/>
      <c r="B738" s="206"/>
      <c r="C738" s="6"/>
      <c r="D738" s="185"/>
      <c r="E738" s="35"/>
      <c r="F738" s="209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</row>
    <row r="739" spans="1:33" ht="12.75">
      <c r="A739" s="14"/>
      <c r="B739" s="206"/>
      <c r="C739" s="6"/>
      <c r="D739" s="185"/>
      <c r="E739" s="35"/>
      <c r="F739" s="209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</row>
    <row r="740" spans="1:33" ht="12.75">
      <c r="A740" s="14"/>
      <c r="B740" s="206"/>
      <c r="C740" s="6"/>
      <c r="D740" s="185"/>
      <c r="E740" s="35"/>
      <c r="F740" s="209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</row>
    <row r="741" spans="1:33" ht="12.75">
      <c r="A741" s="14"/>
      <c r="B741" s="206"/>
      <c r="C741" s="6"/>
      <c r="D741" s="185"/>
      <c r="E741" s="35"/>
      <c r="F741" s="209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</row>
    <row r="742" spans="1:33" ht="12.75">
      <c r="A742" s="14"/>
      <c r="B742" s="206"/>
      <c r="C742" s="6"/>
      <c r="D742" s="185"/>
      <c r="E742" s="35"/>
      <c r="F742" s="209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</row>
    <row r="743" spans="1:33" ht="12.75">
      <c r="A743" s="14"/>
      <c r="B743" s="206"/>
      <c r="C743" s="6"/>
      <c r="D743" s="185"/>
      <c r="E743" s="35"/>
      <c r="F743" s="209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</row>
    <row r="744" spans="1:33" ht="12.75">
      <c r="A744" s="14"/>
      <c r="B744" s="206"/>
      <c r="C744" s="6"/>
      <c r="D744" s="185"/>
      <c r="E744" s="35"/>
      <c r="F744" s="209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</row>
    <row r="745" spans="1:33" ht="12.75">
      <c r="A745" s="14"/>
      <c r="B745" s="206"/>
      <c r="C745" s="6"/>
      <c r="D745" s="185"/>
      <c r="E745" s="35"/>
      <c r="F745" s="209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</row>
    <row r="746" spans="1:33" ht="12.75">
      <c r="A746" s="14"/>
      <c r="B746" s="206"/>
      <c r="C746" s="6"/>
      <c r="D746" s="185"/>
      <c r="E746" s="35"/>
      <c r="F746" s="209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</row>
    <row r="747" spans="1:33" ht="12.75">
      <c r="A747" s="14"/>
      <c r="B747" s="206"/>
      <c r="C747" s="6"/>
      <c r="D747" s="185"/>
      <c r="E747" s="35"/>
      <c r="F747" s="209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</row>
    <row r="748" spans="1:33" ht="12.75">
      <c r="A748" s="14"/>
      <c r="B748" s="206"/>
      <c r="C748" s="6"/>
      <c r="D748" s="185"/>
      <c r="E748" s="35"/>
      <c r="F748" s="209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</row>
    <row r="749" spans="1:33" ht="12.75">
      <c r="A749" s="14"/>
      <c r="B749" s="206"/>
      <c r="C749" s="6"/>
      <c r="D749" s="185"/>
      <c r="E749" s="35"/>
      <c r="F749" s="209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</row>
    <row r="750" spans="1:33" ht="12.75">
      <c r="A750" s="14"/>
      <c r="B750" s="206"/>
      <c r="C750" s="6"/>
      <c r="D750" s="185"/>
      <c r="E750" s="35"/>
      <c r="F750" s="209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</row>
    <row r="751" spans="1:33" ht="12.75">
      <c r="A751" s="14"/>
      <c r="B751" s="206"/>
      <c r="C751" s="6"/>
      <c r="D751" s="185"/>
      <c r="E751" s="35"/>
      <c r="F751" s="209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</row>
    <row r="752" spans="1:33" ht="12.75">
      <c r="A752" s="14"/>
      <c r="B752" s="206"/>
      <c r="C752" s="6"/>
      <c r="D752" s="185"/>
      <c r="E752" s="35"/>
      <c r="F752" s="209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</row>
    <row r="753" spans="1:33" ht="12.75">
      <c r="A753" s="14"/>
      <c r="B753" s="206"/>
      <c r="C753" s="6"/>
      <c r="D753" s="185"/>
      <c r="E753" s="35"/>
      <c r="F753" s="209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</row>
    <row r="754" spans="1:33" ht="12.75">
      <c r="A754" s="14"/>
      <c r="B754" s="206"/>
      <c r="C754" s="6"/>
      <c r="D754" s="185"/>
      <c r="E754" s="35"/>
      <c r="F754" s="209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</row>
    <row r="755" spans="1:33" ht="12.75">
      <c r="A755" s="14"/>
      <c r="B755" s="206"/>
      <c r="C755" s="6"/>
      <c r="D755" s="185"/>
      <c r="E755" s="35"/>
      <c r="F755" s="209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</row>
    <row r="756" spans="1:33" ht="12.75">
      <c r="A756" s="14"/>
      <c r="B756" s="206"/>
      <c r="C756" s="6"/>
      <c r="D756" s="185"/>
      <c r="E756" s="35"/>
      <c r="F756" s="209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</row>
    <row r="757" spans="1:33" ht="12.75">
      <c r="A757" s="14"/>
      <c r="B757" s="206"/>
      <c r="C757" s="6"/>
      <c r="D757" s="185"/>
      <c r="E757" s="35"/>
      <c r="F757" s="209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</row>
    <row r="758" spans="1:33" ht="12.75">
      <c r="A758" s="14"/>
      <c r="B758" s="206"/>
      <c r="C758" s="6"/>
      <c r="D758" s="185"/>
      <c r="E758" s="35"/>
      <c r="F758" s="209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</row>
    <row r="759" spans="1:33" ht="12.75">
      <c r="A759" s="14"/>
      <c r="B759" s="206"/>
      <c r="C759" s="6"/>
      <c r="D759" s="185"/>
      <c r="E759" s="35"/>
      <c r="F759" s="209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</row>
    <row r="760" spans="1:33" ht="12.75">
      <c r="A760" s="14"/>
      <c r="B760" s="206"/>
      <c r="C760" s="6"/>
      <c r="D760" s="185"/>
      <c r="E760" s="35"/>
      <c r="F760" s="209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</row>
    <row r="761" spans="1:33" ht="12.75">
      <c r="A761" s="14"/>
      <c r="B761" s="206"/>
      <c r="C761" s="6"/>
      <c r="D761" s="185"/>
      <c r="E761" s="35"/>
      <c r="F761" s="209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</row>
    <row r="762" spans="1:33" ht="12.75">
      <c r="A762" s="14"/>
      <c r="B762" s="206"/>
      <c r="C762" s="6"/>
      <c r="D762" s="185"/>
      <c r="E762" s="35"/>
      <c r="F762" s="209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</row>
    <row r="763" spans="1:33" ht="12.75">
      <c r="A763" s="14"/>
      <c r="B763" s="206"/>
      <c r="C763" s="6"/>
      <c r="D763" s="185"/>
      <c r="E763" s="35"/>
      <c r="F763" s="209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</row>
    <row r="764" spans="1:33" ht="12.75">
      <c r="A764" s="14"/>
      <c r="B764" s="206"/>
      <c r="C764" s="6"/>
      <c r="D764" s="185"/>
      <c r="E764" s="35"/>
      <c r="F764" s="209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</row>
    <row r="765" spans="1:33" ht="12.75">
      <c r="A765" s="14"/>
      <c r="B765" s="206"/>
      <c r="C765" s="6"/>
      <c r="D765" s="185"/>
      <c r="E765" s="35"/>
      <c r="F765" s="209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</row>
    <row r="766" spans="1:33" ht="12.75">
      <c r="A766" s="14"/>
      <c r="B766" s="206"/>
      <c r="C766" s="6"/>
      <c r="D766" s="185"/>
      <c r="E766" s="35"/>
      <c r="F766" s="209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</row>
    <row r="767" spans="1:33" ht="12.75">
      <c r="A767" s="14"/>
      <c r="B767" s="206"/>
      <c r="C767" s="6"/>
      <c r="D767" s="185"/>
      <c r="E767" s="35"/>
      <c r="F767" s="209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</row>
    <row r="768" spans="1:33" ht="12.75">
      <c r="A768" s="14"/>
      <c r="B768" s="206"/>
      <c r="C768" s="6"/>
      <c r="D768" s="185"/>
      <c r="E768" s="35"/>
      <c r="F768" s="209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</row>
    <row r="769" spans="1:33" ht="12.75">
      <c r="A769" s="14"/>
      <c r="B769" s="206"/>
      <c r="C769" s="6"/>
      <c r="D769" s="185"/>
      <c r="E769" s="35"/>
      <c r="F769" s="209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</row>
    <row r="770" spans="1:33" ht="12.75">
      <c r="A770" s="14"/>
      <c r="B770" s="206"/>
      <c r="C770" s="6"/>
      <c r="D770" s="185"/>
      <c r="E770" s="35"/>
      <c r="F770" s="209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</row>
    <row r="771" spans="1:33" ht="12.75">
      <c r="A771" s="14"/>
      <c r="B771" s="206"/>
      <c r="C771" s="6"/>
      <c r="D771" s="185"/>
      <c r="E771" s="35"/>
      <c r="F771" s="209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</row>
    <row r="772" spans="1:33" ht="12.75">
      <c r="A772" s="14"/>
      <c r="B772" s="206"/>
      <c r="C772" s="6"/>
      <c r="D772" s="185"/>
      <c r="E772" s="35"/>
      <c r="F772" s="209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</row>
    <row r="773" spans="1:33" ht="12.75">
      <c r="A773" s="14"/>
      <c r="B773" s="206"/>
      <c r="C773" s="6"/>
      <c r="D773" s="185"/>
      <c r="E773" s="35"/>
      <c r="F773" s="209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</row>
    <row r="774" spans="1:33" ht="12.75">
      <c r="A774" s="14"/>
      <c r="B774" s="206"/>
      <c r="C774" s="6"/>
      <c r="D774" s="185"/>
      <c r="E774" s="35"/>
      <c r="F774" s="209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</row>
    <row r="775" spans="1:33" ht="12.75">
      <c r="A775" s="14"/>
      <c r="B775" s="206"/>
      <c r="C775" s="6"/>
      <c r="D775" s="185"/>
      <c r="E775" s="35"/>
      <c r="F775" s="209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</row>
    <row r="776" spans="1:33" ht="12.75">
      <c r="A776" s="14"/>
      <c r="B776" s="206"/>
      <c r="C776" s="6"/>
      <c r="D776" s="185"/>
      <c r="E776" s="35"/>
      <c r="F776" s="209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</row>
    <row r="777" spans="1:33" ht="12.75">
      <c r="A777" s="14"/>
      <c r="B777" s="206"/>
      <c r="C777" s="6"/>
      <c r="D777" s="185"/>
      <c r="E777" s="35"/>
      <c r="F777" s="209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</row>
    <row r="778" spans="1:33" ht="12.75">
      <c r="A778" s="14"/>
      <c r="B778" s="206"/>
      <c r="C778" s="6"/>
      <c r="D778" s="185"/>
      <c r="E778" s="35"/>
      <c r="F778" s="209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</row>
    <row r="779" spans="1:33" ht="12.75">
      <c r="A779" s="14"/>
      <c r="B779" s="206"/>
      <c r="C779" s="6"/>
      <c r="D779" s="185"/>
      <c r="E779" s="35"/>
      <c r="F779" s="209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</row>
    <row r="780" spans="1:33" ht="12.75">
      <c r="A780" s="14"/>
      <c r="B780" s="206"/>
      <c r="C780" s="6"/>
      <c r="D780" s="185"/>
      <c r="E780" s="35"/>
      <c r="F780" s="209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</row>
    <row r="781" spans="1:33" ht="12.75">
      <c r="A781" s="14"/>
      <c r="B781" s="206"/>
      <c r="C781" s="6"/>
      <c r="D781" s="185"/>
      <c r="E781" s="35"/>
      <c r="F781" s="209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</row>
    <row r="782" spans="1:33" ht="12.75">
      <c r="A782" s="14"/>
      <c r="B782" s="206"/>
      <c r="C782" s="6"/>
      <c r="D782" s="185"/>
      <c r="E782" s="35"/>
      <c r="F782" s="209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</row>
    <row r="783" spans="1:33" ht="12.75">
      <c r="A783" s="14"/>
      <c r="B783" s="206"/>
      <c r="C783" s="6"/>
      <c r="D783" s="185"/>
      <c r="E783" s="35"/>
      <c r="F783" s="209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</row>
    <row r="784" spans="1:33" ht="12.75">
      <c r="A784" s="14"/>
      <c r="B784" s="206"/>
      <c r="C784" s="6"/>
      <c r="D784" s="185"/>
      <c r="E784" s="35"/>
      <c r="F784" s="209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</row>
    <row r="785" spans="1:33" ht="12.75">
      <c r="A785" s="14"/>
      <c r="B785" s="206"/>
      <c r="C785" s="6"/>
      <c r="D785" s="185"/>
      <c r="E785" s="35"/>
      <c r="F785" s="209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</row>
    <row r="786" spans="1:33" ht="12.75">
      <c r="A786" s="14"/>
      <c r="B786" s="206"/>
      <c r="C786" s="6"/>
      <c r="D786" s="185"/>
      <c r="E786" s="35"/>
      <c r="F786" s="209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</row>
    <row r="787" spans="1:33" ht="12.75">
      <c r="A787" s="14"/>
      <c r="B787" s="206"/>
      <c r="C787" s="6"/>
      <c r="D787" s="185"/>
      <c r="E787" s="35"/>
      <c r="F787" s="209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</row>
    <row r="788" spans="1:33" ht="12.75">
      <c r="A788" s="14"/>
      <c r="B788" s="206"/>
      <c r="C788" s="6"/>
      <c r="D788" s="185"/>
      <c r="E788" s="35"/>
      <c r="F788" s="209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</row>
    <row r="789" spans="1:33" ht="12.75">
      <c r="A789" s="14"/>
      <c r="B789" s="206"/>
      <c r="C789" s="6"/>
      <c r="D789" s="185"/>
      <c r="E789" s="35"/>
      <c r="F789" s="209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</row>
    <row r="790" spans="1:33" ht="12.75">
      <c r="A790" s="14"/>
      <c r="B790" s="206"/>
      <c r="C790" s="6"/>
      <c r="D790" s="185"/>
      <c r="E790" s="35"/>
      <c r="F790" s="209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</row>
    <row r="791" spans="1:33" ht="12.75">
      <c r="A791" s="14"/>
      <c r="B791" s="206"/>
      <c r="C791" s="6"/>
      <c r="D791" s="185"/>
      <c r="E791" s="35"/>
      <c r="F791" s="209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</row>
    <row r="792" spans="1:33" ht="12.75">
      <c r="A792" s="14"/>
      <c r="B792" s="206"/>
      <c r="C792" s="6"/>
      <c r="D792" s="185"/>
      <c r="E792" s="35"/>
      <c r="F792" s="209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</row>
    <row r="793" spans="1:33" ht="12.75">
      <c r="A793" s="14"/>
      <c r="B793" s="206"/>
      <c r="C793" s="6"/>
      <c r="D793" s="185"/>
      <c r="E793" s="35"/>
      <c r="F793" s="209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</row>
    <row r="794" spans="1:33" ht="12.75">
      <c r="A794" s="14"/>
      <c r="B794" s="206"/>
      <c r="C794" s="6"/>
      <c r="D794" s="185"/>
      <c r="E794" s="35"/>
      <c r="F794" s="209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</row>
    <row r="795" spans="1:33" ht="12.75">
      <c r="A795" s="14"/>
      <c r="B795" s="206"/>
      <c r="C795" s="6"/>
      <c r="D795" s="185"/>
      <c r="E795" s="35"/>
      <c r="F795" s="209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</row>
    <row r="796" spans="1:33" ht="12.75">
      <c r="A796" s="14"/>
      <c r="B796" s="206"/>
      <c r="C796" s="6"/>
      <c r="D796" s="185"/>
      <c r="E796" s="35"/>
      <c r="F796" s="209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</row>
    <row r="797" spans="1:33" ht="12.75">
      <c r="A797" s="14"/>
      <c r="B797" s="206"/>
      <c r="C797" s="6"/>
      <c r="D797" s="185"/>
      <c r="E797" s="35"/>
      <c r="F797" s="209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</row>
    <row r="798" spans="1:33" ht="12.75">
      <c r="A798" s="14"/>
      <c r="B798" s="206"/>
      <c r="C798" s="6"/>
      <c r="D798" s="185"/>
      <c r="E798" s="35"/>
      <c r="F798" s="209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</row>
    <row r="799" spans="1:33" ht="12.75">
      <c r="A799" s="14"/>
      <c r="B799" s="206"/>
      <c r="C799" s="6"/>
      <c r="D799" s="185"/>
      <c r="E799" s="35"/>
      <c r="F799" s="209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</row>
    <row r="800" spans="1:33" ht="12.75">
      <c r="A800" s="14"/>
      <c r="B800" s="206"/>
      <c r="C800" s="6"/>
      <c r="D800" s="185"/>
      <c r="E800" s="35"/>
      <c r="F800" s="209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</row>
    <row r="801" spans="1:33" ht="12.75">
      <c r="A801" s="14"/>
      <c r="B801" s="206"/>
      <c r="C801" s="6"/>
      <c r="D801" s="185"/>
      <c r="E801" s="35"/>
      <c r="F801" s="209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</row>
    <row r="802" spans="1:33" ht="12.75">
      <c r="A802" s="14"/>
      <c r="B802" s="206"/>
      <c r="C802" s="6"/>
      <c r="D802" s="185"/>
      <c r="E802" s="35"/>
      <c r="F802" s="209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</row>
    <row r="803" spans="1:33" ht="12.75">
      <c r="A803" s="14"/>
      <c r="B803" s="206"/>
      <c r="C803" s="6"/>
      <c r="D803" s="185"/>
      <c r="E803" s="35"/>
      <c r="F803" s="209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</row>
    <row r="804" spans="1:33" ht="12.75">
      <c r="A804" s="14"/>
      <c r="B804" s="206"/>
      <c r="C804" s="6"/>
      <c r="D804" s="185"/>
      <c r="E804" s="35"/>
      <c r="F804" s="209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</row>
    <row r="805" spans="1:33" ht="12.75">
      <c r="A805" s="14"/>
      <c r="B805" s="206"/>
      <c r="C805" s="6"/>
      <c r="D805" s="185"/>
      <c r="E805" s="35"/>
      <c r="F805" s="209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</row>
    <row r="806" spans="1:33" ht="12.75">
      <c r="A806" s="14"/>
      <c r="B806" s="206"/>
      <c r="C806" s="6"/>
      <c r="D806" s="185"/>
      <c r="E806" s="35"/>
      <c r="F806" s="209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</row>
    <row r="807" spans="1:33" ht="12.75">
      <c r="A807" s="14"/>
      <c r="B807" s="206"/>
      <c r="C807" s="6"/>
      <c r="D807" s="185"/>
      <c r="E807" s="35"/>
      <c r="F807" s="209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</row>
    <row r="808" spans="1:33" ht="12.75">
      <c r="A808" s="14"/>
      <c r="B808" s="206"/>
      <c r="C808" s="6"/>
      <c r="D808" s="185"/>
      <c r="E808" s="35"/>
      <c r="F808" s="209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</row>
    <row r="809" spans="1:33" ht="12.75">
      <c r="A809" s="14"/>
      <c r="B809" s="206"/>
      <c r="C809" s="6"/>
      <c r="D809" s="185"/>
      <c r="E809" s="35"/>
      <c r="F809" s="209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</row>
    <row r="810" spans="1:33" ht="12.75">
      <c r="A810" s="14"/>
      <c r="B810" s="206"/>
      <c r="C810" s="6"/>
      <c r="D810" s="185"/>
      <c r="E810" s="35"/>
      <c r="F810" s="209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</row>
    <row r="811" spans="1:33" ht="12.75">
      <c r="A811" s="14"/>
      <c r="B811" s="206"/>
      <c r="C811" s="6"/>
      <c r="D811" s="185"/>
      <c r="E811" s="35"/>
      <c r="F811" s="209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</row>
    <row r="812" spans="1:33" ht="12.75">
      <c r="A812" s="14"/>
      <c r="B812" s="206"/>
      <c r="C812" s="6"/>
      <c r="D812" s="185"/>
      <c r="E812" s="35"/>
      <c r="F812" s="209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</row>
    <row r="813" spans="1:33" ht="12.75">
      <c r="A813" s="14"/>
      <c r="B813" s="206"/>
      <c r="C813" s="6"/>
      <c r="D813" s="185"/>
      <c r="E813" s="35"/>
      <c r="F813" s="209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</row>
    <row r="814" spans="1:33" ht="12.75">
      <c r="A814" s="14"/>
      <c r="B814" s="206"/>
      <c r="C814" s="6"/>
      <c r="D814" s="185"/>
      <c r="E814" s="35"/>
      <c r="F814" s="209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</row>
    <row r="815" spans="1:33" ht="12.75">
      <c r="A815" s="14"/>
      <c r="B815" s="206"/>
      <c r="C815" s="6"/>
      <c r="D815" s="185"/>
      <c r="E815" s="35"/>
      <c r="F815" s="209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</row>
    <row r="816" spans="1:33" ht="12.75">
      <c r="A816" s="14"/>
      <c r="B816" s="206"/>
      <c r="C816" s="6"/>
      <c r="D816" s="185"/>
      <c r="E816" s="35"/>
      <c r="F816" s="209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</row>
    <row r="817" spans="1:33" ht="12.75">
      <c r="A817" s="14"/>
      <c r="B817" s="206"/>
      <c r="C817" s="6"/>
      <c r="D817" s="185"/>
      <c r="E817" s="35"/>
      <c r="F817" s="209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</row>
    <row r="818" spans="1:33" ht="12.75">
      <c r="A818" s="14"/>
      <c r="B818" s="206"/>
      <c r="C818" s="6"/>
      <c r="D818" s="185"/>
      <c r="E818" s="35"/>
      <c r="F818" s="209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</row>
    <row r="819" spans="1:33" ht="12.75">
      <c r="A819" s="14"/>
      <c r="B819" s="206"/>
      <c r="C819" s="6"/>
      <c r="D819" s="185"/>
      <c r="E819" s="35"/>
      <c r="F819" s="209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</row>
    <row r="820" spans="1:33" ht="12.75">
      <c r="A820" s="14"/>
      <c r="B820" s="206"/>
      <c r="C820" s="6"/>
      <c r="D820" s="185"/>
      <c r="E820" s="35"/>
      <c r="F820" s="209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</row>
    <row r="821" spans="1:33" ht="12.75">
      <c r="A821" s="14"/>
      <c r="B821" s="206"/>
      <c r="C821" s="6"/>
      <c r="D821" s="185"/>
      <c r="E821" s="35"/>
      <c r="F821" s="209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</row>
    <row r="822" spans="1:33" ht="12.75">
      <c r="A822" s="14"/>
      <c r="B822" s="206"/>
      <c r="C822" s="6"/>
      <c r="D822" s="185"/>
      <c r="E822" s="35"/>
      <c r="F822" s="209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</row>
    <row r="823" spans="1:33" ht="12.75">
      <c r="A823" s="14"/>
      <c r="B823" s="206"/>
      <c r="C823" s="6"/>
      <c r="D823" s="185"/>
      <c r="E823" s="35"/>
      <c r="F823" s="209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</row>
    <row r="824" spans="1:33" ht="12.75">
      <c r="A824" s="14"/>
      <c r="B824" s="206"/>
      <c r="C824" s="6"/>
      <c r="D824" s="185"/>
      <c r="E824" s="35"/>
      <c r="F824" s="209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</row>
    <row r="825" spans="1:33" ht="12.75">
      <c r="A825" s="14"/>
      <c r="B825" s="206"/>
      <c r="C825" s="6"/>
      <c r="D825" s="185"/>
      <c r="E825" s="35"/>
      <c r="F825" s="209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</row>
    <row r="826" spans="1:33" ht="12.75">
      <c r="A826" s="14"/>
      <c r="B826" s="206"/>
      <c r="C826" s="6"/>
      <c r="D826" s="185"/>
      <c r="E826" s="35"/>
      <c r="F826" s="209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</row>
    <row r="827" spans="1:33" ht="12.75">
      <c r="A827" s="14"/>
      <c r="B827" s="206"/>
      <c r="C827" s="6"/>
      <c r="D827" s="185"/>
      <c r="E827" s="35"/>
      <c r="F827" s="209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</row>
    <row r="828" spans="1:33" ht="12.75">
      <c r="A828" s="14"/>
      <c r="B828" s="206"/>
      <c r="C828" s="6"/>
      <c r="D828" s="185"/>
      <c r="E828" s="35"/>
      <c r="F828" s="209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</row>
    <row r="829" spans="1:33" ht="12.75">
      <c r="A829" s="14"/>
      <c r="B829" s="206"/>
      <c r="C829" s="6"/>
      <c r="D829" s="185"/>
      <c r="E829" s="35"/>
      <c r="F829" s="209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</row>
    <row r="830" spans="1:33" ht="12.75">
      <c r="A830" s="14"/>
      <c r="B830" s="206"/>
      <c r="C830" s="6"/>
      <c r="D830" s="185"/>
      <c r="E830" s="35"/>
      <c r="F830" s="209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</row>
    <row r="831" spans="1:33" ht="12.75">
      <c r="A831" s="14"/>
      <c r="B831" s="206"/>
      <c r="C831" s="6"/>
      <c r="D831" s="185"/>
      <c r="E831" s="35"/>
      <c r="F831" s="209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</row>
    <row r="832" spans="1:33" ht="12.75">
      <c r="A832" s="14"/>
      <c r="B832" s="206"/>
      <c r="C832" s="6"/>
      <c r="D832" s="185"/>
      <c r="E832" s="35"/>
      <c r="F832" s="209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</row>
    <row r="833" spans="1:33" ht="12.75">
      <c r="A833" s="14"/>
      <c r="B833" s="206"/>
      <c r="C833" s="6"/>
      <c r="D833" s="185"/>
      <c r="E833" s="35"/>
      <c r="F833" s="209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</row>
    <row r="834" spans="1:33" ht="12.75">
      <c r="A834" s="14"/>
      <c r="B834" s="206"/>
      <c r="C834" s="6"/>
      <c r="D834" s="185"/>
      <c r="E834" s="35"/>
      <c r="F834" s="209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</row>
    <row r="835" spans="1:33" ht="12.75">
      <c r="A835" s="14"/>
      <c r="B835" s="206"/>
      <c r="C835" s="6"/>
      <c r="D835" s="185"/>
      <c r="E835" s="35"/>
      <c r="F835" s="209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</row>
    <row r="836" spans="1:33" ht="12.75">
      <c r="A836" s="14"/>
      <c r="B836" s="206"/>
      <c r="C836" s="6"/>
      <c r="D836" s="185"/>
      <c r="E836" s="35"/>
      <c r="F836" s="209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</row>
    <row r="837" spans="1:33" ht="12.75">
      <c r="A837" s="14"/>
      <c r="B837" s="206"/>
      <c r="C837" s="6"/>
      <c r="D837" s="185"/>
      <c r="E837" s="35"/>
      <c r="F837" s="209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</row>
    <row r="838" spans="1:33" ht="12.75">
      <c r="A838" s="14"/>
      <c r="B838" s="206"/>
      <c r="C838" s="6"/>
      <c r="D838" s="185"/>
      <c r="E838" s="35"/>
      <c r="F838" s="209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</row>
    <row r="839" spans="1:33" ht="12.75">
      <c r="A839" s="14"/>
      <c r="B839" s="206"/>
      <c r="C839" s="6"/>
      <c r="D839" s="185"/>
      <c r="E839" s="35"/>
      <c r="F839" s="209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</row>
    <row r="840" spans="1:33" ht="12.75">
      <c r="A840" s="14"/>
      <c r="B840" s="206"/>
      <c r="C840" s="6"/>
      <c r="D840" s="185"/>
      <c r="E840" s="35"/>
      <c r="F840" s="209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</row>
    <row r="841" spans="1:33" ht="12.75">
      <c r="A841" s="14"/>
      <c r="B841" s="206"/>
      <c r="C841" s="6"/>
      <c r="D841" s="185"/>
      <c r="E841" s="35"/>
      <c r="F841" s="209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</row>
    <row r="842" spans="1:33" ht="12.75">
      <c r="A842" s="14"/>
      <c r="B842" s="206"/>
      <c r="C842" s="6"/>
      <c r="D842" s="185"/>
      <c r="E842" s="35"/>
      <c r="F842" s="209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</row>
    <row r="843" spans="1:33" ht="12.75">
      <c r="A843" s="14"/>
      <c r="B843" s="206"/>
      <c r="C843" s="6"/>
      <c r="D843" s="185"/>
      <c r="E843" s="35"/>
      <c r="F843" s="209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</row>
    <row r="844" spans="1:33" ht="12.75">
      <c r="A844" s="14"/>
      <c r="B844" s="206"/>
      <c r="C844" s="6"/>
      <c r="D844" s="185"/>
      <c r="E844" s="35"/>
      <c r="F844" s="209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</row>
    <row r="845" spans="1:33" ht="12.75">
      <c r="A845" s="14"/>
      <c r="B845" s="206"/>
      <c r="C845" s="6"/>
      <c r="D845" s="185"/>
      <c r="E845" s="35"/>
      <c r="F845" s="209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</row>
    <row r="846" spans="1:33" ht="12.75">
      <c r="A846" s="14"/>
      <c r="B846" s="206"/>
      <c r="C846" s="6"/>
      <c r="D846" s="185"/>
      <c r="E846" s="35"/>
      <c r="F846" s="209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</row>
    <row r="847" spans="1:33" ht="12.75">
      <c r="A847" s="14"/>
      <c r="B847" s="206"/>
      <c r="C847" s="6"/>
      <c r="D847" s="185"/>
      <c r="E847" s="35"/>
      <c r="F847" s="209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</row>
    <row r="848" spans="1:33" ht="12.75">
      <c r="A848" s="14"/>
      <c r="B848" s="206"/>
      <c r="C848" s="6"/>
      <c r="D848" s="185"/>
      <c r="E848" s="35"/>
      <c r="F848" s="209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</row>
    <row r="849" spans="1:33" ht="12.75">
      <c r="A849" s="14"/>
      <c r="B849" s="206"/>
      <c r="C849" s="6"/>
      <c r="D849" s="185"/>
      <c r="E849" s="35"/>
      <c r="F849" s="209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</row>
    <row r="850" spans="1:33" ht="12.75">
      <c r="A850" s="14"/>
      <c r="B850" s="206"/>
      <c r="C850" s="6"/>
      <c r="D850" s="185"/>
      <c r="E850" s="35"/>
      <c r="F850" s="209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</row>
    <row r="851" spans="1:33" ht="12.75">
      <c r="A851" s="14"/>
      <c r="B851" s="206"/>
      <c r="C851" s="6"/>
      <c r="D851" s="185"/>
      <c r="E851" s="35"/>
      <c r="F851" s="209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</row>
    <row r="852" spans="1:33" ht="12.75">
      <c r="A852" s="14"/>
      <c r="B852" s="206"/>
      <c r="C852" s="6"/>
      <c r="D852" s="185"/>
      <c r="E852" s="35"/>
      <c r="F852" s="209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</row>
    <row r="853" spans="1:33" ht="12.75">
      <c r="A853" s="14"/>
      <c r="B853" s="206"/>
      <c r="C853" s="6"/>
      <c r="D853" s="185"/>
      <c r="E853" s="35"/>
      <c r="F853" s="209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</row>
    <row r="854" spans="1:33" ht="12.75">
      <c r="A854" s="14"/>
      <c r="B854" s="206"/>
      <c r="C854" s="6"/>
      <c r="D854" s="185"/>
      <c r="E854" s="35"/>
      <c r="F854" s="209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</row>
    <row r="855" spans="1:33" ht="12.75">
      <c r="A855" s="14"/>
      <c r="B855" s="206"/>
      <c r="C855" s="6"/>
      <c r="D855" s="185"/>
      <c r="E855" s="35"/>
      <c r="F855" s="209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</row>
    <row r="856" spans="1:33" ht="12.75">
      <c r="A856" s="14"/>
      <c r="B856" s="206"/>
      <c r="C856" s="6"/>
      <c r="D856" s="185"/>
      <c r="E856" s="35"/>
      <c r="F856" s="209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</row>
    <row r="857" spans="1:33" ht="12.75">
      <c r="A857" s="14"/>
      <c r="B857" s="206"/>
      <c r="C857" s="6"/>
      <c r="D857" s="185"/>
      <c r="E857" s="35"/>
      <c r="F857" s="209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</row>
    <row r="858" spans="1:33" ht="12.75">
      <c r="A858" s="14"/>
      <c r="B858" s="206"/>
      <c r="C858" s="6"/>
      <c r="D858" s="185"/>
      <c r="E858" s="35"/>
      <c r="F858" s="209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</row>
    <row r="859" spans="1:33" ht="12.75">
      <c r="A859" s="14"/>
      <c r="B859" s="206"/>
      <c r="C859" s="6"/>
      <c r="D859" s="185"/>
      <c r="E859" s="35"/>
      <c r="F859" s="209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</row>
    <row r="860" spans="1:33" ht="12.75">
      <c r="A860" s="14"/>
      <c r="B860" s="206"/>
      <c r="C860" s="6"/>
      <c r="D860" s="185"/>
      <c r="E860" s="35"/>
      <c r="F860" s="209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</row>
    <row r="861" spans="1:33" ht="12.75">
      <c r="A861" s="14"/>
      <c r="B861" s="206"/>
      <c r="C861" s="6"/>
      <c r="D861" s="185"/>
      <c r="E861" s="35"/>
      <c r="F861" s="209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</row>
    <row r="862" spans="1:33" ht="12.75">
      <c r="A862" s="14"/>
      <c r="B862" s="206"/>
      <c r="C862" s="6"/>
      <c r="D862" s="185"/>
      <c r="E862" s="35"/>
      <c r="F862" s="209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</row>
    <row r="863" spans="1:33" ht="12.75">
      <c r="A863" s="14"/>
      <c r="B863" s="206"/>
      <c r="C863" s="6"/>
      <c r="D863" s="185"/>
      <c r="E863" s="35"/>
      <c r="F863" s="209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</row>
    <row r="864" spans="1:33" ht="12.75">
      <c r="A864" s="14"/>
      <c r="B864" s="206"/>
      <c r="C864" s="6"/>
      <c r="D864" s="185"/>
      <c r="E864" s="35"/>
      <c r="F864" s="209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</row>
    <row r="865" spans="1:33" ht="12.75">
      <c r="A865" s="14"/>
      <c r="B865" s="206"/>
      <c r="C865" s="6"/>
      <c r="D865" s="185"/>
      <c r="E865" s="35"/>
      <c r="F865" s="209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</row>
    <row r="866" spans="1:33" ht="12.75">
      <c r="A866" s="14"/>
      <c r="B866" s="206"/>
      <c r="C866" s="6"/>
      <c r="D866" s="185"/>
      <c r="E866" s="35"/>
      <c r="F866" s="209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</row>
    <row r="867" spans="1:33" ht="12.75">
      <c r="A867" s="14"/>
      <c r="B867" s="206"/>
      <c r="C867" s="6"/>
      <c r="D867" s="185"/>
      <c r="E867" s="35"/>
      <c r="F867" s="209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</row>
    <row r="868" spans="1:33" ht="12.75">
      <c r="A868" s="14"/>
      <c r="B868" s="206"/>
      <c r="C868" s="6"/>
      <c r="D868" s="185"/>
      <c r="E868" s="35"/>
      <c r="F868" s="209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</row>
    <row r="869" spans="1:33" ht="12.75">
      <c r="A869" s="14"/>
      <c r="B869" s="206"/>
      <c r="C869" s="6"/>
      <c r="D869" s="185"/>
      <c r="E869" s="35"/>
      <c r="F869" s="209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</row>
    <row r="870" spans="1:33" ht="12.75">
      <c r="A870" s="14"/>
      <c r="B870" s="206"/>
      <c r="C870" s="6"/>
      <c r="D870" s="185"/>
      <c r="E870" s="35"/>
      <c r="F870" s="209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</row>
    <row r="871" spans="1:33" ht="12.75">
      <c r="A871" s="14"/>
      <c r="B871" s="206"/>
      <c r="C871" s="6"/>
      <c r="D871" s="185"/>
      <c r="E871" s="35"/>
      <c r="F871" s="209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</row>
    <row r="872" spans="1:33" ht="12.75">
      <c r="A872" s="14"/>
      <c r="B872" s="206"/>
      <c r="C872" s="6"/>
      <c r="D872" s="185"/>
      <c r="E872" s="35"/>
      <c r="F872" s="209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</row>
    <row r="873" spans="1:33" ht="12.75">
      <c r="A873" s="14"/>
      <c r="B873" s="206"/>
      <c r="C873" s="6"/>
      <c r="D873" s="185"/>
      <c r="E873" s="35"/>
      <c r="F873" s="209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</row>
    <row r="874" spans="1:33" ht="12.75">
      <c r="A874" s="14"/>
      <c r="B874" s="206"/>
      <c r="C874" s="6"/>
      <c r="D874" s="185"/>
      <c r="E874" s="35"/>
      <c r="F874" s="209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</row>
    <row r="875" spans="1:33" ht="12.75">
      <c r="A875" s="14"/>
      <c r="B875" s="206"/>
      <c r="C875" s="6"/>
      <c r="D875" s="185"/>
      <c r="E875" s="35"/>
      <c r="F875" s="209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</row>
    <row r="876" spans="1:33" ht="12.75">
      <c r="A876" s="14"/>
      <c r="B876" s="206"/>
      <c r="C876" s="6"/>
      <c r="D876" s="185"/>
      <c r="E876" s="35"/>
      <c r="F876" s="209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</row>
    <row r="877" spans="1:33" ht="12.75">
      <c r="A877" s="14"/>
      <c r="B877" s="206"/>
      <c r="C877" s="6"/>
      <c r="D877" s="185"/>
      <c r="E877" s="35"/>
      <c r="F877" s="209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</row>
    <row r="878" spans="1:33" ht="12.75">
      <c r="A878" s="14"/>
      <c r="B878" s="206"/>
      <c r="C878" s="6"/>
      <c r="D878" s="185"/>
      <c r="E878" s="35"/>
      <c r="F878" s="209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</row>
    <row r="879" spans="1:33" ht="12.75">
      <c r="A879" s="14"/>
      <c r="B879" s="206"/>
      <c r="C879" s="6"/>
      <c r="D879" s="185"/>
      <c r="E879" s="35"/>
      <c r="F879" s="209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</row>
    <row r="880" spans="1:33" ht="12.75">
      <c r="A880" s="14"/>
      <c r="B880" s="206"/>
      <c r="C880" s="6"/>
      <c r="D880" s="185"/>
      <c r="E880" s="35"/>
      <c r="F880" s="209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</row>
    <row r="881" spans="1:33" ht="12.75">
      <c r="A881" s="14"/>
      <c r="B881" s="206"/>
      <c r="C881" s="6"/>
      <c r="D881" s="185"/>
      <c r="E881" s="35"/>
      <c r="F881" s="209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</row>
    <row r="882" spans="1:33" ht="12.75">
      <c r="A882" s="14"/>
      <c r="B882" s="206"/>
      <c r="C882" s="6"/>
      <c r="D882" s="185"/>
      <c r="E882" s="35"/>
      <c r="F882" s="209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</row>
    <row r="883" spans="1:33" ht="12.75">
      <c r="A883" s="14"/>
      <c r="B883" s="206"/>
      <c r="C883" s="6"/>
      <c r="D883" s="185"/>
      <c r="E883" s="35"/>
      <c r="F883" s="209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</row>
    <row r="884" spans="1:33" ht="12.75">
      <c r="A884" s="14"/>
      <c r="B884" s="206"/>
      <c r="C884" s="6"/>
      <c r="D884" s="185"/>
      <c r="E884" s="35"/>
      <c r="F884" s="209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</row>
    <row r="885" spans="1:33" ht="12.75">
      <c r="A885" s="14"/>
      <c r="B885" s="206"/>
      <c r="C885" s="6"/>
      <c r="D885" s="185"/>
      <c r="E885" s="35"/>
      <c r="F885" s="209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</row>
    <row r="886" spans="1:33" ht="12.75">
      <c r="A886" s="14"/>
      <c r="B886" s="206"/>
      <c r="C886" s="6"/>
      <c r="D886" s="185"/>
      <c r="E886" s="35"/>
      <c r="F886" s="209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</row>
    <row r="887" spans="1:33" ht="12.75">
      <c r="A887" s="14"/>
      <c r="B887" s="206"/>
      <c r="C887" s="6"/>
      <c r="D887" s="185"/>
      <c r="E887" s="35"/>
      <c r="F887" s="209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</row>
    <row r="888" spans="1:33" ht="12.75">
      <c r="A888" s="14"/>
      <c r="B888" s="206"/>
      <c r="C888" s="6"/>
      <c r="D888" s="185"/>
      <c r="E888" s="35"/>
      <c r="F888" s="209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</row>
    <row r="889" spans="1:33" ht="12.75">
      <c r="A889" s="14"/>
      <c r="B889" s="206"/>
      <c r="C889" s="6"/>
      <c r="D889" s="185"/>
      <c r="E889" s="35"/>
      <c r="F889" s="209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</row>
    <row r="890" spans="1:33" ht="12.75">
      <c r="A890" s="14"/>
      <c r="B890" s="206"/>
      <c r="C890" s="6"/>
      <c r="D890" s="185"/>
      <c r="E890" s="35"/>
      <c r="F890" s="209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</row>
    <row r="891" spans="1:33" ht="12.75">
      <c r="A891" s="14"/>
      <c r="B891" s="206"/>
      <c r="C891" s="6"/>
      <c r="D891" s="185"/>
      <c r="E891" s="35"/>
      <c r="F891" s="209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</row>
    <row r="892" spans="1:33" ht="12.75">
      <c r="A892" s="14"/>
      <c r="B892" s="206"/>
      <c r="C892" s="6"/>
      <c r="D892" s="185"/>
      <c r="E892" s="35"/>
      <c r="F892" s="209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</row>
    <row r="893" spans="1:33" ht="12.75">
      <c r="A893" s="14"/>
      <c r="B893" s="206"/>
      <c r="C893" s="6"/>
      <c r="D893" s="185"/>
      <c r="E893" s="35"/>
      <c r="F893" s="209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</row>
    <row r="894" spans="1:33" ht="12.75">
      <c r="A894" s="14"/>
      <c r="B894" s="206"/>
      <c r="C894" s="6"/>
      <c r="D894" s="185"/>
      <c r="E894" s="35"/>
      <c r="F894" s="209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</row>
    <row r="895" spans="1:33" ht="12.75">
      <c r="A895" s="14"/>
      <c r="B895" s="206"/>
      <c r="C895" s="6"/>
      <c r="D895" s="185"/>
      <c r="E895" s="35"/>
      <c r="F895" s="209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</row>
    <row r="896" spans="1:33" ht="12.75">
      <c r="A896" s="14"/>
      <c r="B896" s="206"/>
      <c r="C896" s="6"/>
      <c r="D896" s="185"/>
      <c r="E896" s="35"/>
      <c r="F896" s="209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</row>
    <row r="897" spans="1:33" ht="12.75">
      <c r="A897" s="14"/>
      <c r="B897" s="206"/>
      <c r="C897" s="6"/>
      <c r="D897" s="185"/>
      <c r="E897" s="35"/>
      <c r="F897" s="209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</row>
    <row r="898" spans="1:33" ht="12.75">
      <c r="A898" s="14"/>
      <c r="B898" s="206"/>
      <c r="C898" s="6"/>
      <c r="D898" s="185"/>
      <c r="E898" s="35"/>
      <c r="F898" s="209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</row>
    <row r="899" spans="1:33" ht="12.75">
      <c r="A899" s="14"/>
      <c r="B899" s="206"/>
      <c r="C899" s="6"/>
      <c r="D899" s="185"/>
      <c r="E899" s="35"/>
      <c r="F899" s="209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</row>
    <row r="900" spans="1:33" ht="12.75">
      <c r="A900" s="14"/>
      <c r="B900" s="206"/>
      <c r="C900" s="6"/>
      <c r="D900" s="185"/>
      <c r="E900" s="35"/>
      <c r="F900" s="209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</row>
    <row r="901" spans="1:33" ht="12.75">
      <c r="A901" s="14"/>
      <c r="B901" s="206"/>
      <c r="C901" s="6"/>
      <c r="D901" s="185"/>
      <c r="E901" s="35"/>
      <c r="F901" s="209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</row>
    <row r="902" spans="1:33" ht="12.75">
      <c r="A902" s="14"/>
      <c r="B902" s="206"/>
      <c r="C902" s="6"/>
      <c r="D902" s="185"/>
      <c r="E902" s="35"/>
      <c r="F902" s="209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</row>
    <row r="903" spans="1:33" ht="12.75">
      <c r="A903" s="14"/>
      <c r="B903" s="206"/>
      <c r="C903" s="6"/>
      <c r="D903" s="185"/>
      <c r="E903" s="35"/>
      <c r="F903" s="209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</row>
    <row r="904" spans="1:33" ht="12.75">
      <c r="A904" s="14"/>
      <c r="B904" s="206"/>
      <c r="C904" s="6"/>
      <c r="D904" s="185"/>
      <c r="E904" s="35"/>
      <c r="F904" s="209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</row>
    <row r="905" spans="1:33" ht="12.75">
      <c r="A905" s="14"/>
      <c r="B905" s="206"/>
      <c r="C905" s="6"/>
      <c r="D905" s="185"/>
      <c r="E905" s="35"/>
      <c r="F905" s="209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</row>
    <row r="906" spans="1:33" ht="12.75">
      <c r="A906" s="14"/>
      <c r="B906" s="206"/>
      <c r="C906" s="6"/>
      <c r="D906" s="185"/>
      <c r="E906" s="35"/>
      <c r="F906" s="209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</row>
    <row r="907" spans="1:33" ht="12.75">
      <c r="A907" s="14"/>
      <c r="B907" s="206"/>
      <c r="C907" s="6"/>
      <c r="D907" s="185"/>
      <c r="E907" s="35"/>
      <c r="F907" s="209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</row>
    <row r="908" spans="1:33" ht="12.75">
      <c r="A908" s="14"/>
      <c r="B908" s="206"/>
      <c r="C908" s="6"/>
      <c r="D908" s="185"/>
      <c r="E908" s="35"/>
      <c r="F908" s="209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</row>
    <row r="909" spans="1:33" ht="12.75">
      <c r="A909" s="14"/>
      <c r="B909" s="206"/>
      <c r="C909" s="6"/>
      <c r="D909" s="185"/>
      <c r="E909" s="35"/>
      <c r="F909" s="209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</row>
    <row r="910" spans="1:33" ht="12.75">
      <c r="A910" s="14"/>
      <c r="B910" s="206"/>
      <c r="C910" s="6"/>
      <c r="D910" s="185"/>
      <c r="E910" s="35"/>
      <c r="F910" s="209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</row>
    <row r="911" spans="1:33" ht="12.75">
      <c r="A911" s="14"/>
      <c r="B911" s="206"/>
      <c r="C911" s="6"/>
      <c r="D911" s="185"/>
      <c r="E911" s="35"/>
      <c r="F911" s="209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</row>
    <row r="912" spans="1:33" ht="12.75">
      <c r="A912" s="14"/>
      <c r="B912" s="206"/>
      <c r="C912" s="6"/>
      <c r="D912" s="185"/>
      <c r="E912" s="35"/>
      <c r="F912" s="209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</row>
    <row r="913" spans="1:33" ht="12.75">
      <c r="A913" s="14"/>
      <c r="B913" s="206"/>
      <c r="C913" s="6"/>
      <c r="D913" s="185"/>
      <c r="E913" s="35"/>
      <c r="F913" s="209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</row>
    <row r="914" spans="1:33" ht="12.75">
      <c r="A914" s="14"/>
      <c r="B914" s="206"/>
      <c r="C914" s="6"/>
      <c r="D914" s="185"/>
      <c r="E914" s="35"/>
      <c r="F914" s="209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</row>
    <row r="915" spans="1:33" ht="12.75">
      <c r="A915" s="14"/>
      <c r="B915" s="206"/>
      <c r="C915" s="6"/>
      <c r="D915" s="185"/>
      <c r="E915" s="35"/>
      <c r="F915" s="209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</row>
    <row r="916" spans="1:33" ht="12.75">
      <c r="A916" s="14"/>
      <c r="B916" s="206"/>
      <c r="C916" s="6"/>
      <c r="D916" s="185"/>
      <c r="E916" s="35"/>
      <c r="F916" s="209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</row>
    <row r="917" spans="1:33" ht="12.75">
      <c r="A917" s="14"/>
      <c r="B917" s="206"/>
      <c r="C917" s="6"/>
      <c r="D917" s="185"/>
      <c r="E917" s="35"/>
      <c r="F917" s="209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</row>
    <row r="918" spans="1:33" ht="12.75">
      <c r="A918" s="14"/>
      <c r="B918" s="206"/>
      <c r="C918" s="6"/>
      <c r="D918" s="185"/>
      <c r="E918" s="35"/>
      <c r="F918" s="209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</row>
    <row r="919" spans="1:33" ht="12.75">
      <c r="A919" s="14"/>
      <c r="B919" s="206"/>
      <c r="C919" s="6"/>
      <c r="D919" s="185"/>
      <c r="E919" s="35"/>
      <c r="F919" s="209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</row>
    <row r="920" spans="1:33" ht="12.75">
      <c r="A920" s="14"/>
      <c r="B920" s="206"/>
      <c r="C920" s="6"/>
      <c r="D920" s="185"/>
      <c r="E920" s="35"/>
      <c r="F920" s="209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</row>
    <row r="921" spans="1:33" ht="12.75">
      <c r="A921" s="14"/>
      <c r="B921" s="206"/>
      <c r="C921" s="6"/>
      <c r="D921" s="185"/>
      <c r="E921" s="35"/>
      <c r="F921" s="209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</row>
    <row r="922" spans="1:33" ht="12.75">
      <c r="A922" s="14"/>
      <c r="B922" s="206"/>
      <c r="C922" s="6"/>
      <c r="D922" s="185"/>
      <c r="E922" s="35"/>
      <c r="F922" s="209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</row>
    <row r="923" spans="1:33" ht="12.75">
      <c r="A923" s="14"/>
      <c r="B923" s="206"/>
      <c r="C923" s="6"/>
      <c r="D923" s="185"/>
      <c r="E923" s="35"/>
      <c r="F923" s="209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</row>
    <row r="924" spans="1:33" ht="12.75">
      <c r="A924" s="14"/>
      <c r="B924" s="206"/>
      <c r="C924" s="6"/>
      <c r="D924" s="185"/>
      <c r="E924" s="35"/>
      <c r="F924" s="209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</row>
    <row r="925" spans="1:33" ht="12.75">
      <c r="A925" s="14"/>
      <c r="B925" s="206"/>
      <c r="C925" s="6"/>
      <c r="D925" s="185"/>
      <c r="E925" s="35"/>
      <c r="F925" s="209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</row>
    <row r="926" spans="1:33" ht="12.75">
      <c r="A926" s="14"/>
      <c r="B926" s="206"/>
      <c r="C926" s="6"/>
      <c r="D926" s="185"/>
      <c r="E926" s="35"/>
      <c r="F926" s="209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</row>
    <row r="927" spans="1:33" ht="12.75">
      <c r="A927" s="14"/>
      <c r="B927" s="206"/>
      <c r="C927" s="6"/>
      <c r="D927" s="185"/>
      <c r="E927" s="35"/>
      <c r="F927" s="209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</row>
    <row r="928" spans="1:33" ht="12.75">
      <c r="A928" s="14"/>
      <c r="B928" s="206"/>
      <c r="C928" s="6"/>
      <c r="D928" s="185"/>
      <c r="E928" s="35"/>
      <c r="F928" s="209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</row>
    <row r="929" spans="1:33" ht="12.75">
      <c r="A929" s="14"/>
      <c r="B929" s="206"/>
      <c r="C929" s="6"/>
      <c r="D929" s="185"/>
      <c r="E929" s="35"/>
      <c r="F929" s="209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</row>
    <row r="930" spans="1:33" ht="12.75">
      <c r="A930" s="14"/>
      <c r="B930" s="206"/>
      <c r="C930" s="6"/>
      <c r="D930" s="185"/>
      <c r="E930" s="35"/>
      <c r="F930" s="209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</row>
    <row r="931" spans="1:33" ht="12.75">
      <c r="A931" s="14"/>
      <c r="B931" s="206"/>
      <c r="C931" s="6"/>
      <c r="D931" s="185"/>
      <c r="E931" s="35"/>
      <c r="F931" s="209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</row>
    <row r="932" spans="1:33" ht="12.75">
      <c r="A932" s="14"/>
      <c r="B932" s="206"/>
      <c r="C932" s="6"/>
      <c r="D932" s="185"/>
      <c r="E932" s="35"/>
      <c r="F932" s="209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</row>
    <row r="933" spans="1:33" ht="12.75">
      <c r="A933" s="14"/>
      <c r="B933" s="206"/>
      <c r="C933" s="6"/>
      <c r="D933" s="185"/>
      <c r="E933" s="35"/>
      <c r="F933" s="209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</row>
    <row r="934" spans="1:33" ht="12.75">
      <c r="A934" s="14"/>
      <c r="B934" s="206"/>
      <c r="C934" s="6"/>
      <c r="D934" s="185"/>
      <c r="E934" s="35"/>
      <c r="F934" s="209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</row>
    <row r="935" spans="1:33" ht="12.75">
      <c r="A935" s="14"/>
      <c r="B935" s="183"/>
      <c r="C935" s="208"/>
      <c r="D935" s="185"/>
      <c r="E935" s="35"/>
      <c r="F935" s="209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</row>
    <row r="936" spans="1:33" ht="12.75">
      <c r="A936" s="14"/>
      <c r="B936" s="183"/>
      <c r="C936" s="208"/>
      <c r="D936" s="185"/>
      <c r="E936" s="35"/>
      <c r="F936" s="209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</row>
    <row r="937" spans="1:33" ht="12.75">
      <c r="A937" s="14"/>
      <c r="B937" s="183"/>
      <c r="C937" s="208"/>
      <c r="D937" s="185"/>
      <c r="E937" s="35"/>
      <c r="F937" s="209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</row>
    <row r="938" spans="1:33" ht="12.75">
      <c r="A938" s="14"/>
      <c r="B938" s="183"/>
      <c r="C938" s="208"/>
      <c r="D938" s="185"/>
      <c r="E938" s="35"/>
      <c r="F938" s="209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</row>
    <row r="939" spans="1:33" ht="12.75">
      <c r="A939" s="14"/>
      <c r="B939" s="183"/>
      <c r="C939" s="208"/>
      <c r="D939" s="185"/>
      <c r="E939" s="35"/>
      <c r="F939" s="209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</row>
    <row r="940" spans="1:33" ht="12.75">
      <c r="A940" s="14"/>
      <c r="B940" s="183"/>
      <c r="C940" s="208"/>
      <c r="D940" s="185"/>
      <c r="E940" s="35"/>
      <c r="F940" s="209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</row>
    <row r="941" spans="1:33" ht="12.75">
      <c r="A941" s="14"/>
      <c r="B941" s="183"/>
      <c r="C941" s="208"/>
      <c r="D941" s="185"/>
      <c r="E941" s="35"/>
      <c r="F941" s="209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</row>
    <row r="942" spans="1:33" ht="12.75">
      <c r="A942" s="14"/>
      <c r="B942" s="183"/>
      <c r="C942" s="208"/>
      <c r="D942" s="185"/>
      <c r="E942" s="35"/>
      <c r="F942" s="209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</row>
    <row r="943" spans="1:33" ht="12.75">
      <c r="F943" s="286"/>
    </row>
    <row r="944" spans="1:33" ht="12.75">
      <c r="F944" s="286"/>
    </row>
    <row r="945" spans="6:6" ht="12.75">
      <c r="F945" s="286"/>
    </row>
    <row r="946" spans="6:6" ht="12.75">
      <c r="F946" s="286"/>
    </row>
    <row r="947" spans="6:6" ht="12.75">
      <c r="F947" s="286"/>
    </row>
    <row r="948" spans="6:6" ht="12.75">
      <c r="F948" s="286"/>
    </row>
    <row r="949" spans="6:6" ht="12.75">
      <c r="F949" s="286"/>
    </row>
    <row r="950" spans="6:6" ht="12.75">
      <c r="F950" s="286"/>
    </row>
    <row r="951" spans="6:6" ht="12.75">
      <c r="F951" s="286"/>
    </row>
    <row r="952" spans="6:6" ht="12.75">
      <c r="F952" s="286"/>
    </row>
    <row r="953" spans="6:6" ht="12.75">
      <c r="F953" s="286"/>
    </row>
    <row r="954" spans="6:6" ht="12.75">
      <c r="F954" s="286"/>
    </row>
    <row r="955" spans="6:6" ht="12.75">
      <c r="F955" s="286"/>
    </row>
    <row r="956" spans="6:6" ht="12.75">
      <c r="F956" s="286"/>
    </row>
    <row r="957" spans="6:6" ht="12.75">
      <c r="F957" s="286"/>
    </row>
    <row r="958" spans="6:6" ht="12.75">
      <c r="F958" s="286"/>
    </row>
    <row r="959" spans="6:6" ht="12.75">
      <c r="F959" s="286"/>
    </row>
    <row r="960" spans="6:6" ht="12.75">
      <c r="F960" s="286"/>
    </row>
    <row r="961" spans="6:6" ht="12.75">
      <c r="F961" s="286"/>
    </row>
    <row r="962" spans="6:6" ht="12.75">
      <c r="F962" s="286"/>
    </row>
    <row r="963" spans="6:6" ht="12.75">
      <c r="F963" s="286"/>
    </row>
    <row r="964" spans="6:6" ht="12.75">
      <c r="F964" s="286"/>
    </row>
    <row r="965" spans="6:6" ht="12.75">
      <c r="F965" s="286"/>
    </row>
    <row r="966" spans="6:6" ht="12.75">
      <c r="F966" s="286"/>
    </row>
    <row r="967" spans="6:6" ht="12.75">
      <c r="F967" s="286"/>
    </row>
    <row r="968" spans="6:6" ht="12.75">
      <c r="F968" s="286"/>
    </row>
    <row r="969" spans="6:6" ht="12.75">
      <c r="F969" s="286"/>
    </row>
    <row r="970" spans="6:6" ht="12.75">
      <c r="F970" s="286"/>
    </row>
    <row r="971" spans="6:6" ht="12.75">
      <c r="F971" s="286"/>
    </row>
  </sheetData>
  <printOptions horizontalCentered="1" gridLines="1"/>
  <pageMargins left="0.25" right="0.25" top="0.75" bottom="0.75" header="0" footer="0"/>
  <pageSetup paperSize="9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P1009"/>
  <sheetViews>
    <sheetView workbookViewId="0"/>
  </sheetViews>
  <sheetFormatPr defaultColWidth="12.5703125" defaultRowHeight="15.75" customHeight="1"/>
  <cols>
    <col min="1" max="1" width="9.28515625" customWidth="1"/>
    <col min="2" max="2" width="28.42578125" customWidth="1"/>
    <col min="4" max="4" width="19.28515625" customWidth="1"/>
    <col min="10" max="10" width="16.5703125" customWidth="1"/>
    <col min="11" max="11" width="26.7109375" customWidth="1"/>
    <col min="13" max="13" width="14.42578125" customWidth="1"/>
    <col min="14" max="14" width="17.42578125" customWidth="1"/>
  </cols>
  <sheetData>
    <row r="1" spans="1:16" ht="12.75">
      <c r="M1" s="287"/>
      <c r="N1" s="287"/>
    </row>
    <row r="2" spans="1:16" ht="12.75">
      <c r="M2" s="1202" t="s">
        <v>242</v>
      </c>
      <c r="N2" s="1203"/>
      <c r="O2" s="1203"/>
      <c r="P2" s="1203"/>
    </row>
    <row r="3" spans="1:16" ht="63.75">
      <c r="A3" s="18" t="s">
        <v>5</v>
      </c>
      <c r="B3" s="20" t="s">
        <v>7</v>
      </c>
      <c r="C3" s="217" t="s">
        <v>159</v>
      </c>
      <c r="D3" s="24" t="s">
        <v>10</v>
      </c>
      <c r="E3" s="288" t="s">
        <v>243</v>
      </c>
      <c r="F3" s="289" t="s">
        <v>244</v>
      </c>
      <c r="G3" s="290" t="s">
        <v>245</v>
      </c>
      <c r="H3" s="291" t="s">
        <v>246</v>
      </c>
      <c r="I3" s="22" t="s">
        <v>13</v>
      </c>
      <c r="J3" s="134" t="s">
        <v>162</v>
      </c>
      <c r="K3" s="14"/>
      <c r="M3" s="292"/>
      <c r="N3" s="293" t="s">
        <v>247</v>
      </c>
      <c r="O3" s="293" t="s">
        <v>244</v>
      </c>
      <c r="P3" s="294" t="s">
        <v>246</v>
      </c>
    </row>
    <row r="4" spans="1:16" ht="12.75">
      <c r="A4" s="219">
        <v>1</v>
      </c>
      <c r="B4" s="4" t="s">
        <v>248</v>
      </c>
      <c r="C4" s="59">
        <v>7</v>
      </c>
      <c r="D4" s="45" t="s">
        <v>209</v>
      </c>
      <c r="E4" s="11"/>
      <c r="F4" s="220"/>
      <c r="G4" s="220"/>
      <c r="H4" s="220"/>
      <c r="I4" s="223"/>
      <c r="J4" s="295" t="s">
        <v>118</v>
      </c>
      <c r="K4" s="33"/>
      <c r="M4" s="296">
        <v>1</v>
      </c>
      <c r="N4" s="297" t="s">
        <v>249</v>
      </c>
      <c r="O4" s="298">
        <v>15</v>
      </c>
      <c r="P4" s="297">
        <v>10000</v>
      </c>
    </row>
    <row r="5" spans="1:16" ht="12.75">
      <c r="A5" s="269">
        <v>2</v>
      </c>
      <c r="B5" s="29" t="s">
        <v>23</v>
      </c>
      <c r="C5" s="6">
        <v>10</v>
      </c>
      <c r="D5" s="45" t="s">
        <v>209</v>
      </c>
      <c r="E5" s="47">
        <v>31</v>
      </c>
      <c r="F5" s="222">
        <v>31</v>
      </c>
      <c r="G5" s="222">
        <v>30000</v>
      </c>
      <c r="H5" s="221">
        <f t="shared" ref="H5:H11" si="0">G5/E5*F5</f>
        <v>30000</v>
      </c>
      <c r="I5" s="221"/>
      <c r="J5" s="228" t="s">
        <v>210</v>
      </c>
      <c r="K5" s="14"/>
      <c r="M5" s="296">
        <v>2</v>
      </c>
      <c r="N5" s="231" t="s">
        <v>226</v>
      </c>
      <c r="O5" s="297"/>
      <c r="P5" s="297" t="s">
        <v>118</v>
      </c>
    </row>
    <row r="6" spans="1:16" ht="12.75">
      <c r="A6" s="219">
        <v>4</v>
      </c>
      <c r="B6" s="4" t="s">
        <v>26</v>
      </c>
      <c r="C6" s="6">
        <v>10</v>
      </c>
      <c r="D6" s="45" t="s">
        <v>209</v>
      </c>
      <c r="E6" s="47">
        <v>31</v>
      </c>
      <c r="F6" s="223">
        <v>31</v>
      </c>
      <c r="G6" s="223">
        <v>14000</v>
      </c>
      <c r="H6" s="221">
        <f t="shared" si="0"/>
        <v>14000</v>
      </c>
      <c r="I6" s="220"/>
      <c r="J6" s="228" t="s">
        <v>210</v>
      </c>
      <c r="K6" s="14"/>
      <c r="M6" s="296">
        <v>4</v>
      </c>
      <c r="N6" s="297" t="s">
        <v>250</v>
      </c>
      <c r="O6" s="299"/>
      <c r="P6" s="297" t="s">
        <v>118</v>
      </c>
    </row>
    <row r="7" spans="1:16" ht="12.75">
      <c r="A7" s="269">
        <v>5</v>
      </c>
      <c r="B7" s="29" t="s">
        <v>29</v>
      </c>
      <c r="C7" s="6">
        <v>10</v>
      </c>
      <c r="D7" s="45" t="s">
        <v>209</v>
      </c>
      <c r="E7" s="47">
        <v>31</v>
      </c>
      <c r="F7" s="222">
        <v>31</v>
      </c>
      <c r="G7" s="222">
        <v>32000</v>
      </c>
      <c r="H7" s="221">
        <f t="shared" si="0"/>
        <v>32000</v>
      </c>
      <c r="I7" s="220"/>
      <c r="J7" s="100"/>
      <c r="K7" s="14"/>
      <c r="M7" s="296">
        <v>5</v>
      </c>
      <c r="N7" s="299"/>
      <c r="O7" s="299"/>
      <c r="P7" s="299"/>
    </row>
    <row r="8" spans="1:16" ht="12.75">
      <c r="A8" s="219">
        <v>6</v>
      </c>
      <c r="B8" s="4" t="s">
        <v>251</v>
      </c>
      <c r="C8" s="59">
        <v>7</v>
      </c>
      <c r="D8" s="45" t="s">
        <v>252</v>
      </c>
      <c r="E8" s="47">
        <v>31</v>
      </c>
      <c r="F8" s="222">
        <v>31</v>
      </c>
      <c r="G8" s="222">
        <v>25000</v>
      </c>
      <c r="H8" s="221">
        <f t="shared" si="0"/>
        <v>25000</v>
      </c>
      <c r="I8" s="220"/>
      <c r="J8" s="228" t="s">
        <v>210</v>
      </c>
      <c r="K8" s="14"/>
      <c r="M8" s="296">
        <v>6</v>
      </c>
      <c r="N8" s="299"/>
      <c r="O8" s="299"/>
      <c r="P8" s="299"/>
    </row>
    <row r="9" spans="1:16" ht="12.75">
      <c r="A9" s="269">
        <v>7</v>
      </c>
      <c r="B9" s="253" t="s">
        <v>253</v>
      </c>
      <c r="C9" s="153">
        <v>7</v>
      </c>
      <c r="D9" s="154" t="s">
        <v>254</v>
      </c>
      <c r="E9" s="47">
        <v>31</v>
      </c>
      <c r="F9" s="300">
        <v>31</v>
      </c>
      <c r="G9" s="300">
        <v>29000</v>
      </c>
      <c r="H9" s="221">
        <f t="shared" si="0"/>
        <v>29000</v>
      </c>
      <c r="I9" s="227"/>
      <c r="J9" s="228" t="s">
        <v>210</v>
      </c>
      <c r="K9" s="14"/>
      <c r="M9" s="296">
        <v>8</v>
      </c>
      <c r="N9" s="299"/>
      <c r="O9" s="299"/>
      <c r="P9" s="299"/>
    </row>
    <row r="10" spans="1:16" ht="12.75">
      <c r="A10" s="269">
        <v>8</v>
      </c>
      <c r="B10" s="231" t="s">
        <v>255</v>
      </c>
      <c r="C10" s="98">
        <v>7</v>
      </c>
      <c r="D10" s="105" t="s">
        <v>256</v>
      </c>
      <c r="E10" s="47">
        <v>31</v>
      </c>
      <c r="F10" s="273">
        <v>31</v>
      </c>
      <c r="G10" s="273">
        <v>20000</v>
      </c>
      <c r="H10" s="221">
        <f t="shared" si="0"/>
        <v>20000</v>
      </c>
      <c r="I10" s="301"/>
      <c r="J10" s="302"/>
      <c r="K10" s="303"/>
      <c r="L10" s="304"/>
      <c r="M10" s="296">
        <v>11</v>
      </c>
      <c r="N10" s="299"/>
      <c r="O10" s="299"/>
      <c r="P10" s="299"/>
    </row>
    <row r="11" spans="1:16" ht="12.75">
      <c r="A11" s="276">
        <v>9</v>
      </c>
      <c r="B11" s="305" t="s">
        <v>257</v>
      </c>
      <c r="C11" s="98">
        <v>7</v>
      </c>
      <c r="D11" s="105" t="s">
        <v>258</v>
      </c>
      <c r="E11" s="200">
        <v>31</v>
      </c>
      <c r="F11" s="281">
        <v>31</v>
      </c>
      <c r="G11" s="281">
        <v>10000</v>
      </c>
      <c r="H11" s="306">
        <f t="shared" si="0"/>
        <v>10000</v>
      </c>
      <c r="I11" s="306"/>
      <c r="J11" s="307"/>
      <c r="K11" s="33"/>
      <c r="M11" s="296">
        <v>13</v>
      </c>
      <c r="N11" s="299"/>
      <c r="O11" s="299"/>
      <c r="P11" s="299"/>
    </row>
    <row r="12" spans="1:16" ht="12.75">
      <c r="A12" s="276">
        <v>10</v>
      </c>
      <c r="B12" s="236" t="s">
        <v>259</v>
      </c>
      <c r="C12" s="59">
        <v>7</v>
      </c>
      <c r="D12" s="45" t="s">
        <v>260</v>
      </c>
      <c r="E12" s="47"/>
      <c r="F12" s="222"/>
      <c r="G12" s="222">
        <v>17500</v>
      </c>
      <c r="H12" s="222">
        <v>17500</v>
      </c>
      <c r="I12" s="221"/>
      <c r="J12" s="295"/>
      <c r="M12" s="296"/>
      <c r="N12" s="299"/>
      <c r="O12" s="299"/>
      <c r="P12" s="299"/>
    </row>
    <row r="13" spans="1:16" ht="12.75">
      <c r="A13" s="276">
        <v>11</v>
      </c>
      <c r="B13" s="308" t="s">
        <v>261</v>
      </c>
      <c r="C13" s="251">
        <v>7</v>
      </c>
      <c r="D13" s="51" t="s">
        <v>262</v>
      </c>
      <c r="E13" s="52"/>
      <c r="F13" s="222"/>
      <c r="G13" s="222">
        <v>17500</v>
      </c>
      <c r="H13" s="222">
        <v>17500</v>
      </c>
      <c r="I13" s="221"/>
      <c r="J13" s="309"/>
      <c r="M13" s="296"/>
      <c r="N13" s="299"/>
      <c r="O13" s="299"/>
      <c r="P13" s="299"/>
    </row>
    <row r="14" spans="1:16" ht="12.75">
      <c r="A14" s="276">
        <v>12</v>
      </c>
      <c r="B14" s="310" t="s">
        <v>263</v>
      </c>
      <c r="C14" s="311">
        <v>7</v>
      </c>
      <c r="D14" s="312" t="s">
        <v>262</v>
      </c>
      <c r="E14" s="313"/>
      <c r="F14" s="314"/>
      <c r="G14" s="314">
        <v>17500</v>
      </c>
      <c r="H14" s="314">
        <v>17500</v>
      </c>
      <c r="I14" s="315"/>
      <c r="J14" s="268" t="s">
        <v>264</v>
      </c>
      <c r="M14" s="296"/>
      <c r="N14" s="299"/>
      <c r="O14" s="299"/>
      <c r="P14" s="299"/>
    </row>
    <row r="15" spans="1:16" ht="12.75">
      <c r="A15" s="269">
        <v>13</v>
      </c>
      <c r="B15" s="236" t="s">
        <v>265</v>
      </c>
      <c r="C15" s="59">
        <v>7</v>
      </c>
      <c r="D15" s="8"/>
      <c r="E15" s="47">
        <v>31</v>
      </c>
      <c r="F15" s="222">
        <v>31</v>
      </c>
      <c r="G15" s="221"/>
      <c r="H15" s="221">
        <f>G15/E15*F15</f>
        <v>0</v>
      </c>
      <c r="I15" s="221"/>
      <c r="J15" s="295" t="s">
        <v>118</v>
      </c>
      <c r="M15" s="296">
        <v>12</v>
      </c>
      <c r="N15" s="299"/>
      <c r="O15" s="299"/>
      <c r="P15" s="299"/>
    </row>
    <row r="16" spans="1:16" ht="12.75">
      <c r="A16" s="114"/>
      <c r="B16" s="236" t="s">
        <v>177</v>
      </c>
      <c r="C16" s="100">
        <f>SUM(C4:C15)</f>
        <v>93</v>
      </c>
      <c r="D16" s="109"/>
      <c r="E16" s="110"/>
      <c r="F16" s="237"/>
      <c r="G16" s="237">
        <f t="shared" ref="G16:I16" si="1">SUM(G4:G15)</f>
        <v>212500</v>
      </c>
      <c r="H16" s="237">
        <f t="shared" si="1"/>
        <v>212500</v>
      </c>
      <c r="I16" s="237">
        <f t="shared" si="1"/>
        <v>0</v>
      </c>
      <c r="J16" s="238">
        <f>H16+I16</f>
        <v>212500</v>
      </c>
      <c r="K16" s="14"/>
      <c r="M16" s="296">
        <v>15</v>
      </c>
      <c r="N16" s="299"/>
      <c r="O16" s="299"/>
      <c r="P16" s="299"/>
    </row>
    <row r="17" spans="1:16" ht="12.75">
      <c r="A17" s="114"/>
      <c r="B17" s="29"/>
      <c r="C17" s="6"/>
      <c r="D17" s="118"/>
      <c r="E17" s="120"/>
      <c r="F17" s="239"/>
      <c r="G17" s="239"/>
      <c r="H17" s="114"/>
      <c r="I17" s="114"/>
      <c r="J17" s="100"/>
      <c r="K17" s="14"/>
      <c r="M17" s="296">
        <v>16</v>
      </c>
      <c r="N17" s="299"/>
      <c r="O17" s="299"/>
      <c r="P17" s="299"/>
    </row>
    <row r="18" spans="1:16" ht="12.75">
      <c r="A18" s="316">
        <v>1</v>
      </c>
      <c r="B18" s="97" t="s">
        <v>222</v>
      </c>
      <c r="C18" s="98"/>
      <c r="D18" s="105" t="s">
        <v>223</v>
      </c>
      <c r="E18" s="200">
        <v>30</v>
      </c>
      <c r="F18" s="273">
        <v>3</v>
      </c>
      <c r="G18" s="273">
        <v>20000</v>
      </c>
      <c r="H18" s="227"/>
      <c r="I18" s="227"/>
      <c r="J18" s="228" t="s">
        <v>210</v>
      </c>
      <c r="K18" s="33"/>
      <c r="M18" s="296">
        <v>17</v>
      </c>
      <c r="N18" s="299"/>
      <c r="O18" s="299"/>
      <c r="P18" s="299"/>
    </row>
    <row r="19" spans="1:16" ht="12.75">
      <c r="A19" s="317"/>
      <c r="B19" s="318" t="s">
        <v>213</v>
      </c>
      <c r="C19" s="98"/>
      <c r="D19" s="105" t="s">
        <v>214</v>
      </c>
      <c r="E19" s="200">
        <v>31</v>
      </c>
      <c r="F19" s="273">
        <v>13</v>
      </c>
      <c r="G19" s="273">
        <v>17500</v>
      </c>
      <c r="H19" s="221">
        <f t="shared" ref="H19:H23" si="2">G19/E19*F19</f>
        <v>7338.7096774193542</v>
      </c>
      <c r="I19" s="223"/>
      <c r="J19" s="228" t="s">
        <v>210</v>
      </c>
      <c r="K19" s="33"/>
      <c r="M19" s="296">
        <v>18</v>
      </c>
      <c r="N19" s="299"/>
      <c r="O19" s="299"/>
      <c r="P19" s="299"/>
    </row>
    <row r="20" spans="1:16" ht="12.75">
      <c r="A20" s="317"/>
      <c r="B20" s="305" t="s">
        <v>211</v>
      </c>
      <c r="C20" s="192"/>
      <c r="D20" s="102" t="s">
        <v>268</v>
      </c>
      <c r="E20" s="47">
        <v>31</v>
      </c>
      <c r="F20" s="319">
        <v>31</v>
      </c>
      <c r="G20" s="319">
        <v>20000</v>
      </c>
      <c r="H20" s="221">
        <f t="shared" si="2"/>
        <v>20000</v>
      </c>
      <c r="I20" s="320"/>
      <c r="J20" s="228" t="s">
        <v>210</v>
      </c>
      <c r="K20" s="33"/>
      <c r="M20" s="296"/>
      <c r="N20" s="299"/>
      <c r="O20" s="299"/>
      <c r="P20" s="299"/>
    </row>
    <row r="21" spans="1:16" ht="12.75">
      <c r="A21" s="317"/>
      <c r="B21" s="305" t="s">
        <v>270</v>
      </c>
      <c r="C21" s="98">
        <v>7</v>
      </c>
      <c r="D21" s="105" t="s">
        <v>271</v>
      </c>
      <c r="E21" s="200">
        <v>31</v>
      </c>
      <c r="F21" s="281">
        <v>31</v>
      </c>
      <c r="G21" s="281">
        <v>10000</v>
      </c>
      <c r="H21" s="306">
        <f t="shared" si="2"/>
        <v>10000</v>
      </c>
      <c r="I21" s="306"/>
      <c r="J21" s="228" t="s">
        <v>210</v>
      </c>
      <c r="K21" s="33"/>
      <c r="M21" s="296"/>
      <c r="N21" s="299"/>
      <c r="O21" s="299"/>
      <c r="P21" s="299"/>
    </row>
    <row r="22" spans="1:16" ht="12.75">
      <c r="A22" s="317"/>
      <c r="B22" s="97" t="s">
        <v>251</v>
      </c>
      <c r="C22" s="98">
        <v>7</v>
      </c>
      <c r="D22" s="105" t="s">
        <v>272</v>
      </c>
      <c r="E22" s="200">
        <v>31</v>
      </c>
      <c r="F22" s="281">
        <v>31</v>
      </c>
      <c r="G22" s="281">
        <v>25000</v>
      </c>
      <c r="H22" s="306">
        <f t="shared" si="2"/>
        <v>25000</v>
      </c>
      <c r="I22" s="301"/>
      <c r="J22" s="302" t="s">
        <v>210</v>
      </c>
      <c r="K22" s="33"/>
      <c r="M22" s="296"/>
      <c r="N22" s="299"/>
      <c r="O22" s="299"/>
      <c r="P22" s="299"/>
    </row>
    <row r="23" spans="1:16" ht="12.75">
      <c r="A23" s="317"/>
      <c r="B23" s="231" t="s">
        <v>273</v>
      </c>
      <c r="C23" s="98"/>
      <c r="D23" s="105" t="s">
        <v>274</v>
      </c>
      <c r="E23" s="47">
        <v>31</v>
      </c>
      <c r="F23" s="225">
        <v>15</v>
      </c>
      <c r="G23" s="225"/>
      <c r="H23" s="221">
        <f t="shared" si="2"/>
        <v>0</v>
      </c>
      <c r="I23" s="225">
        <v>18500</v>
      </c>
      <c r="J23" s="192" t="s">
        <v>275</v>
      </c>
      <c r="K23" s="33"/>
      <c r="M23" s="296">
        <v>19</v>
      </c>
      <c r="N23" s="299"/>
      <c r="O23" s="299"/>
      <c r="P23" s="299"/>
    </row>
    <row r="24" spans="1:16" ht="12.75">
      <c r="M24" s="321"/>
      <c r="N24" s="321"/>
      <c r="O24" s="236" t="s">
        <v>177</v>
      </c>
      <c r="P24" s="321">
        <f>SUM(P4:P23)</f>
        <v>10000</v>
      </c>
    </row>
    <row r="25" spans="1:16" ht="12.75">
      <c r="A25" s="2"/>
      <c r="B25" s="4"/>
      <c r="C25" s="6"/>
      <c r="D25" s="8"/>
      <c r="E25" s="11"/>
      <c r="F25" s="220"/>
      <c r="G25" s="220"/>
      <c r="H25" s="6"/>
      <c r="I25" s="6"/>
      <c r="J25" s="100"/>
      <c r="K25" s="14"/>
      <c r="M25" s="287"/>
      <c r="N25" s="287"/>
    </row>
    <row r="26" spans="1:16" ht="63.75">
      <c r="A26" s="219" t="s">
        <v>5</v>
      </c>
      <c r="B26" s="125" t="s">
        <v>74</v>
      </c>
      <c r="C26" s="217" t="s">
        <v>159</v>
      </c>
      <c r="D26" s="129" t="s">
        <v>10</v>
      </c>
      <c r="E26" s="288" t="s">
        <v>243</v>
      </c>
      <c r="F26" s="289" t="s">
        <v>244</v>
      </c>
      <c r="G26" s="290" t="s">
        <v>245</v>
      </c>
      <c r="H26" s="291" t="s">
        <v>246</v>
      </c>
      <c r="I26" s="22" t="s">
        <v>13</v>
      </c>
      <c r="J26" s="240" t="s">
        <v>162</v>
      </c>
      <c r="K26" s="14"/>
      <c r="M26" s="287"/>
      <c r="N26" s="287"/>
    </row>
    <row r="27" spans="1:16" ht="12.75">
      <c r="A27" s="269">
        <v>1</v>
      </c>
      <c r="B27" s="271" t="s">
        <v>277</v>
      </c>
      <c r="C27" s="59">
        <v>7</v>
      </c>
      <c r="D27" s="45" t="s">
        <v>209</v>
      </c>
      <c r="E27" s="47"/>
      <c r="F27" s="223"/>
      <c r="G27" s="223"/>
      <c r="H27" s="6"/>
      <c r="I27" s="6"/>
      <c r="J27" s="295" t="s">
        <v>118</v>
      </c>
      <c r="K27" s="324"/>
      <c r="M27" s="325" t="s">
        <v>199</v>
      </c>
      <c r="N27" s="287"/>
    </row>
    <row r="28" spans="1:16" ht="16.5" customHeight="1">
      <c r="A28" s="269">
        <v>2</v>
      </c>
      <c r="B28" s="275" t="s">
        <v>278</v>
      </c>
      <c r="C28" s="59">
        <v>7</v>
      </c>
      <c r="D28" s="45" t="s">
        <v>252</v>
      </c>
      <c r="E28" s="47">
        <v>31</v>
      </c>
      <c r="F28" s="223">
        <v>31</v>
      </c>
      <c r="G28" s="223">
        <v>35000</v>
      </c>
      <c r="H28" s="221">
        <f t="shared" ref="H28:H31" si="3">G28/E28*F28</f>
        <v>35000</v>
      </c>
      <c r="I28" s="6"/>
      <c r="J28" s="144" t="s">
        <v>210</v>
      </c>
      <c r="K28" s="14"/>
      <c r="M28" s="287"/>
      <c r="N28" s="287"/>
    </row>
    <row r="29" spans="1:16" ht="12.75">
      <c r="A29" s="269">
        <v>4</v>
      </c>
      <c r="B29" s="29" t="s">
        <v>29</v>
      </c>
      <c r="C29" s="6">
        <v>10</v>
      </c>
      <c r="D29" s="45" t="s">
        <v>209</v>
      </c>
      <c r="E29" s="47">
        <v>31</v>
      </c>
      <c r="F29" s="223">
        <v>31</v>
      </c>
      <c r="G29" s="223">
        <v>32000</v>
      </c>
      <c r="H29" s="221">
        <f t="shared" si="3"/>
        <v>32000</v>
      </c>
      <c r="I29" s="6"/>
      <c r="J29" s="144"/>
      <c r="K29" s="14"/>
      <c r="M29" s="287"/>
      <c r="N29" s="287"/>
    </row>
    <row r="30" spans="1:16" ht="16.5" customHeight="1">
      <c r="A30" s="269">
        <v>5</v>
      </c>
      <c r="B30" s="29" t="s">
        <v>26</v>
      </c>
      <c r="C30" s="59">
        <v>7</v>
      </c>
      <c r="D30" s="45" t="s">
        <v>215</v>
      </c>
      <c r="E30" s="47">
        <v>31</v>
      </c>
      <c r="F30" s="223">
        <v>31</v>
      </c>
      <c r="G30" s="223">
        <v>14000</v>
      </c>
      <c r="H30" s="221">
        <f t="shared" si="3"/>
        <v>14000</v>
      </c>
      <c r="I30" s="6"/>
      <c r="J30" s="144" t="s">
        <v>210</v>
      </c>
      <c r="K30" s="14"/>
      <c r="M30" s="287"/>
      <c r="N30" s="287"/>
    </row>
    <row r="31" spans="1:16" ht="12.75">
      <c r="A31" s="269">
        <v>8</v>
      </c>
      <c r="B31" s="253" t="s">
        <v>280</v>
      </c>
      <c r="C31" s="98">
        <v>7</v>
      </c>
      <c r="D31" s="105"/>
      <c r="E31" s="200">
        <v>31</v>
      </c>
      <c r="F31" s="225"/>
      <c r="G31" s="229"/>
      <c r="H31" s="221">
        <f t="shared" si="3"/>
        <v>0</v>
      </c>
      <c r="I31" s="6"/>
      <c r="J31" s="295" t="s">
        <v>118</v>
      </c>
      <c r="K31" s="324"/>
      <c r="M31" s="287"/>
      <c r="N31" s="287"/>
    </row>
    <row r="32" spans="1:16" ht="12.75">
      <c r="A32" s="269">
        <v>10</v>
      </c>
      <c r="B32" s="231" t="s">
        <v>257</v>
      </c>
      <c r="C32" s="192">
        <v>7</v>
      </c>
      <c r="D32" s="105" t="s">
        <v>258</v>
      </c>
      <c r="E32" s="326">
        <v>31</v>
      </c>
      <c r="F32" s="273"/>
      <c r="G32" s="273">
        <v>35000</v>
      </c>
      <c r="H32" s="273">
        <v>35000</v>
      </c>
      <c r="I32" s="301"/>
      <c r="J32" s="302"/>
      <c r="K32" s="14"/>
      <c r="M32" s="287"/>
      <c r="N32" s="287"/>
    </row>
    <row r="33" spans="1:14" ht="12.75">
      <c r="A33" s="327">
        <v>12</v>
      </c>
      <c r="B33" s="236" t="s">
        <v>259</v>
      </c>
      <c r="C33" s="59">
        <v>7</v>
      </c>
      <c r="D33" s="45" t="s">
        <v>260</v>
      </c>
      <c r="E33" s="47"/>
      <c r="F33" s="222"/>
      <c r="G33" s="222">
        <v>17500</v>
      </c>
      <c r="H33" s="222">
        <v>17500</v>
      </c>
      <c r="I33" s="6"/>
      <c r="J33" s="144"/>
      <c r="K33" s="324"/>
      <c r="M33" s="287"/>
      <c r="N33" s="287"/>
    </row>
    <row r="34" spans="1:14" ht="12.75">
      <c r="A34" s="269">
        <v>13</v>
      </c>
      <c r="B34" s="308" t="s">
        <v>261</v>
      </c>
      <c r="C34" s="251">
        <v>7</v>
      </c>
      <c r="D34" s="51" t="s">
        <v>262</v>
      </c>
      <c r="E34" s="52"/>
      <c r="F34" s="222"/>
      <c r="G34" s="222">
        <v>17500</v>
      </c>
      <c r="H34" s="222">
        <v>17500</v>
      </c>
      <c r="I34" s="49"/>
      <c r="J34" s="309"/>
      <c r="M34" s="287"/>
      <c r="N34" s="287"/>
    </row>
    <row r="35" spans="1:14" ht="12.75">
      <c r="A35" s="269">
        <v>14</v>
      </c>
      <c r="B35" s="328" t="s">
        <v>263</v>
      </c>
      <c r="C35" s="329">
        <v>7</v>
      </c>
      <c r="D35" s="312" t="s">
        <v>262</v>
      </c>
      <c r="E35" s="313"/>
      <c r="F35" s="314"/>
      <c r="G35" s="314">
        <v>17500</v>
      </c>
      <c r="H35" s="314">
        <v>17500</v>
      </c>
      <c r="I35" s="315"/>
      <c r="J35" s="268" t="s">
        <v>264</v>
      </c>
      <c r="K35" s="324"/>
      <c r="M35" s="287"/>
      <c r="N35" s="287"/>
    </row>
    <row r="36" spans="1:14" ht="12.75">
      <c r="A36" s="327">
        <v>15</v>
      </c>
      <c r="B36" s="29"/>
      <c r="C36" s="192"/>
      <c r="D36" s="8"/>
      <c r="E36" s="326">
        <v>31</v>
      </c>
      <c r="F36" s="220"/>
      <c r="G36" s="220"/>
      <c r="H36" s="221">
        <f>G36/E36*F36</f>
        <v>0</v>
      </c>
      <c r="I36" s="220"/>
      <c r="J36" s="150"/>
      <c r="K36" s="33"/>
      <c r="M36" s="287"/>
      <c r="N36" s="287"/>
    </row>
    <row r="37" spans="1:14" ht="12.75">
      <c r="A37" s="2"/>
      <c r="B37" s="236" t="s">
        <v>177</v>
      </c>
      <c r="C37" s="6">
        <f>SUM(C27:C36)</f>
        <v>66</v>
      </c>
      <c r="D37" s="8"/>
      <c r="E37" s="11">
        <f>SUM(E27:E36)</f>
        <v>186</v>
      </c>
      <c r="F37" s="220"/>
      <c r="G37" s="220">
        <f t="shared" ref="G37:I37" si="4">SUM(G27:G36)</f>
        <v>168500</v>
      </c>
      <c r="H37" s="220">
        <f t="shared" si="4"/>
        <v>168500</v>
      </c>
      <c r="I37" s="220">
        <f t="shared" si="4"/>
        <v>0</v>
      </c>
      <c r="J37" s="238">
        <f>H37+I37</f>
        <v>168500</v>
      </c>
      <c r="K37" s="14"/>
      <c r="M37" s="287"/>
      <c r="N37" s="287"/>
    </row>
    <row r="38" spans="1:14" ht="12.75">
      <c r="A38" s="116"/>
      <c r="B38" s="29"/>
      <c r="C38" s="6"/>
      <c r="D38" s="118"/>
      <c r="E38" s="120"/>
      <c r="F38" s="255"/>
      <c r="G38" s="255"/>
      <c r="H38" s="116"/>
      <c r="I38" s="116"/>
      <c r="J38" s="100"/>
      <c r="K38" s="14"/>
      <c r="M38" s="287"/>
      <c r="N38" s="287"/>
    </row>
    <row r="39" spans="1:14" ht="12.75">
      <c r="A39" s="317"/>
      <c r="B39" s="231" t="s">
        <v>213</v>
      </c>
      <c r="C39" s="98"/>
      <c r="D39" s="105" t="s">
        <v>214</v>
      </c>
      <c r="E39" s="200">
        <v>31</v>
      </c>
      <c r="F39" s="225">
        <v>13</v>
      </c>
      <c r="G39" s="229">
        <v>17500</v>
      </c>
      <c r="H39" s="221">
        <f t="shared" ref="H39:H42" si="5">G39/E39*F39</f>
        <v>7338.7096774193542</v>
      </c>
      <c r="I39" s="92"/>
      <c r="J39" s="144" t="s">
        <v>210</v>
      </c>
      <c r="K39" s="14"/>
      <c r="M39" s="287"/>
      <c r="N39" s="287"/>
    </row>
    <row r="40" spans="1:14" ht="12.75">
      <c r="A40" s="317"/>
      <c r="B40" s="305" t="s">
        <v>211</v>
      </c>
      <c r="C40" s="192"/>
      <c r="D40" s="102" t="s">
        <v>268</v>
      </c>
      <c r="E40" s="326">
        <v>31</v>
      </c>
      <c r="F40" s="319">
        <v>31</v>
      </c>
      <c r="G40" s="319">
        <v>20000</v>
      </c>
      <c r="H40" s="221">
        <f t="shared" si="5"/>
        <v>20000</v>
      </c>
      <c r="I40" s="273"/>
      <c r="J40" s="144" t="s">
        <v>210</v>
      </c>
      <c r="K40" s="14"/>
      <c r="M40" s="287"/>
      <c r="N40" s="287"/>
    </row>
    <row r="41" spans="1:14" ht="12.75">
      <c r="A41" s="317"/>
      <c r="B41" s="305" t="s">
        <v>270</v>
      </c>
      <c r="C41" s="98"/>
      <c r="D41" s="105" t="s">
        <v>271</v>
      </c>
      <c r="E41" s="200">
        <v>31</v>
      </c>
      <c r="F41" s="281">
        <v>31</v>
      </c>
      <c r="G41" s="281">
        <v>10000</v>
      </c>
      <c r="H41" s="306">
        <f t="shared" si="5"/>
        <v>10000</v>
      </c>
      <c r="I41" s="333"/>
      <c r="J41" s="192"/>
      <c r="K41" s="14"/>
      <c r="M41" s="287"/>
      <c r="N41" s="287"/>
    </row>
    <row r="42" spans="1:14" ht="12.75">
      <c r="A42" s="317"/>
      <c r="B42" s="231" t="s">
        <v>273</v>
      </c>
      <c r="C42" s="98"/>
      <c r="D42" s="105" t="s">
        <v>274</v>
      </c>
      <c r="E42" s="326">
        <v>15</v>
      </c>
      <c r="F42" s="334">
        <v>15</v>
      </c>
      <c r="G42" s="334"/>
      <c r="H42" s="221">
        <f t="shared" si="5"/>
        <v>0</v>
      </c>
      <c r="I42" s="273">
        <v>18500</v>
      </c>
      <c r="J42" s="192" t="s">
        <v>275</v>
      </c>
      <c r="K42" s="14"/>
      <c r="M42" s="287"/>
      <c r="N42" s="287"/>
    </row>
    <row r="43" spans="1:14" ht="12.75">
      <c r="A43" s="2"/>
      <c r="B43" s="29"/>
      <c r="C43" s="6"/>
      <c r="D43" s="8"/>
      <c r="E43" s="11"/>
      <c r="F43" s="220"/>
      <c r="G43" s="220"/>
      <c r="H43" s="6"/>
      <c r="I43" s="6"/>
      <c r="J43" s="100"/>
      <c r="K43" s="14"/>
      <c r="M43" s="287"/>
      <c r="N43" s="287"/>
    </row>
    <row r="44" spans="1:14" ht="63.75">
      <c r="A44" s="219" t="s">
        <v>5</v>
      </c>
      <c r="B44" s="335" t="s">
        <v>281</v>
      </c>
      <c r="C44" s="217"/>
      <c r="D44" s="129" t="s">
        <v>10</v>
      </c>
      <c r="E44" s="288" t="s">
        <v>243</v>
      </c>
      <c r="F44" s="289" t="s">
        <v>244</v>
      </c>
      <c r="G44" s="290" t="s">
        <v>245</v>
      </c>
      <c r="H44" s="291" t="s">
        <v>246</v>
      </c>
      <c r="I44" s="22" t="s">
        <v>13</v>
      </c>
      <c r="J44" s="240" t="s">
        <v>162</v>
      </c>
      <c r="K44" s="14"/>
      <c r="M44" s="287"/>
      <c r="N44" s="287"/>
    </row>
    <row r="45" spans="1:14" ht="25.5">
      <c r="A45" s="2">
        <v>1</v>
      </c>
      <c r="B45" s="4" t="s">
        <v>101</v>
      </c>
      <c r="C45" s="59"/>
      <c r="D45" s="8"/>
      <c r="E45" s="47">
        <v>31</v>
      </c>
      <c r="F45" s="223">
        <v>31</v>
      </c>
      <c r="G45" s="223">
        <v>22000</v>
      </c>
      <c r="H45" s="221">
        <f>G45/E45*F45</f>
        <v>22000</v>
      </c>
      <c r="I45" s="6"/>
      <c r="J45" s="144" t="s">
        <v>210</v>
      </c>
      <c r="K45" s="151" t="s">
        <v>282</v>
      </c>
      <c r="L45" s="1" t="s">
        <v>283</v>
      </c>
      <c r="M45" s="287"/>
      <c r="N45" s="287"/>
    </row>
    <row r="46" spans="1:14" ht="12.75">
      <c r="A46" s="116"/>
      <c r="B46" s="172"/>
      <c r="C46" s="116"/>
      <c r="D46" s="118"/>
      <c r="E46" s="120"/>
      <c r="F46" s="255"/>
      <c r="G46" s="236" t="s">
        <v>177</v>
      </c>
      <c r="H46" s="336">
        <f>SUM(H45:I45)</f>
        <v>22000</v>
      </c>
      <c r="I46" s="116"/>
      <c r="J46" s="100"/>
      <c r="K46" s="14"/>
      <c r="L46" s="1" t="s">
        <v>284</v>
      </c>
      <c r="M46" s="287"/>
      <c r="N46" s="287"/>
    </row>
    <row r="47" spans="1:14" ht="63.75">
      <c r="A47" s="219" t="s">
        <v>5</v>
      </c>
      <c r="B47" s="177" t="s">
        <v>106</v>
      </c>
      <c r="C47" s="217"/>
      <c r="D47" s="129" t="s">
        <v>10</v>
      </c>
      <c r="E47" s="288" t="s">
        <v>243</v>
      </c>
      <c r="F47" s="289" t="s">
        <v>244</v>
      </c>
      <c r="G47" s="290" t="s">
        <v>245</v>
      </c>
      <c r="H47" s="291" t="s">
        <v>246</v>
      </c>
      <c r="I47" s="22" t="s">
        <v>13</v>
      </c>
      <c r="J47" s="240" t="s">
        <v>162</v>
      </c>
      <c r="K47" s="14"/>
      <c r="M47" s="287"/>
      <c r="N47" s="287"/>
    </row>
    <row r="48" spans="1:14" ht="25.5">
      <c r="A48" s="100">
        <v>1</v>
      </c>
      <c r="B48" s="181" t="s">
        <v>101</v>
      </c>
      <c r="C48" s="144"/>
      <c r="D48" s="109"/>
      <c r="E48" s="103">
        <v>31</v>
      </c>
      <c r="F48" s="258">
        <v>31</v>
      </c>
      <c r="G48" s="258">
        <v>15000</v>
      </c>
      <c r="H48" s="221">
        <f>G48/E48*F48</f>
        <v>15000</v>
      </c>
      <c r="I48" s="100"/>
      <c r="J48" s="144" t="s">
        <v>210</v>
      </c>
      <c r="K48" s="151" t="s">
        <v>282</v>
      </c>
      <c r="M48" s="287"/>
      <c r="N48" s="287"/>
    </row>
    <row r="49" spans="1:14" ht="12.75">
      <c r="A49" s="14"/>
      <c r="B49" s="183"/>
      <c r="C49" s="14"/>
      <c r="D49" s="185"/>
      <c r="E49" s="35"/>
      <c r="F49" s="209"/>
      <c r="G49" s="236" t="s">
        <v>177</v>
      </c>
      <c r="H49" s="336">
        <f>SUM(H48:I48)</f>
        <v>15000</v>
      </c>
      <c r="I49" s="14"/>
      <c r="J49" s="100"/>
      <c r="K49" s="14"/>
      <c r="M49" s="287"/>
      <c r="N49" s="287"/>
    </row>
    <row r="50" spans="1:14" ht="63.75">
      <c r="A50" s="219" t="s">
        <v>5</v>
      </c>
      <c r="B50" s="191" t="s">
        <v>122</v>
      </c>
      <c r="C50" s="189"/>
      <c r="D50" s="129" t="s">
        <v>10</v>
      </c>
      <c r="E50" s="288" t="s">
        <v>243</v>
      </c>
      <c r="F50" s="289" t="s">
        <v>244</v>
      </c>
      <c r="G50" s="290" t="s">
        <v>245</v>
      </c>
      <c r="H50" s="291" t="s">
        <v>246</v>
      </c>
      <c r="I50" s="22" t="s">
        <v>13</v>
      </c>
      <c r="J50" s="240" t="s">
        <v>162</v>
      </c>
      <c r="K50" s="14"/>
      <c r="M50" s="287"/>
      <c r="N50" s="287"/>
    </row>
    <row r="51" spans="1:14" ht="12.75">
      <c r="A51" s="2" t="s">
        <v>114</v>
      </c>
      <c r="B51" s="4" t="s">
        <v>128</v>
      </c>
      <c r="C51" s="59"/>
      <c r="D51" s="45" t="s">
        <v>148</v>
      </c>
      <c r="E51" s="47">
        <v>31</v>
      </c>
      <c r="F51" s="47">
        <v>31</v>
      </c>
      <c r="G51" s="223">
        <v>25000</v>
      </c>
      <c r="H51" s="221">
        <f t="shared" ref="H51:H55" si="6">G51/E51*F51</f>
        <v>25000</v>
      </c>
      <c r="I51" s="6"/>
      <c r="J51" s="100"/>
      <c r="K51" s="14"/>
      <c r="M51" s="287"/>
      <c r="N51" s="287"/>
    </row>
    <row r="52" spans="1:14" ht="12.75">
      <c r="A52" s="59" t="s">
        <v>151</v>
      </c>
      <c r="B52" s="4" t="s">
        <v>191</v>
      </c>
      <c r="C52" s="59"/>
      <c r="D52" s="45" t="s">
        <v>193</v>
      </c>
      <c r="E52" s="47">
        <v>31</v>
      </c>
      <c r="F52" s="47">
        <v>31</v>
      </c>
      <c r="G52" s="223">
        <v>21250</v>
      </c>
      <c r="H52" s="221">
        <f t="shared" si="6"/>
        <v>21250</v>
      </c>
      <c r="I52" s="6"/>
      <c r="J52" s="144" t="s">
        <v>210</v>
      </c>
      <c r="K52" s="14"/>
      <c r="M52" s="287"/>
      <c r="N52" s="287"/>
    </row>
    <row r="53" spans="1:14" ht="12.75">
      <c r="A53" s="59" t="s">
        <v>152</v>
      </c>
      <c r="B53" s="4" t="s">
        <v>194</v>
      </c>
      <c r="C53" s="59"/>
      <c r="D53" s="45" t="s">
        <v>193</v>
      </c>
      <c r="E53" s="47">
        <v>31</v>
      </c>
      <c r="F53" s="47">
        <v>31</v>
      </c>
      <c r="G53" s="223">
        <v>21250</v>
      </c>
      <c r="H53" s="221">
        <f t="shared" si="6"/>
        <v>21250</v>
      </c>
      <c r="I53" s="6"/>
      <c r="J53" s="100"/>
      <c r="K53" s="14"/>
      <c r="M53" s="287"/>
      <c r="N53" s="287"/>
    </row>
    <row r="54" spans="1:14" ht="12.75">
      <c r="A54" s="59" t="s">
        <v>153</v>
      </c>
      <c r="B54" s="283" t="s">
        <v>237</v>
      </c>
      <c r="C54" s="59"/>
      <c r="D54" s="45" t="s">
        <v>238</v>
      </c>
      <c r="E54" s="47">
        <v>31</v>
      </c>
      <c r="F54" s="47">
        <v>31</v>
      </c>
      <c r="G54" s="223">
        <v>21250</v>
      </c>
      <c r="H54" s="221">
        <f t="shared" si="6"/>
        <v>21250</v>
      </c>
      <c r="I54" s="6"/>
      <c r="J54" s="100"/>
      <c r="K54" s="14"/>
      <c r="M54" s="287"/>
      <c r="N54" s="287"/>
    </row>
    <row r="55" spans="1:14" ht="12.75">
      <c r="A55" s="59" t="s">
        <v>132</v>
      </c>
      <c r="B55" s="253" t="s">
        <v>197</v>
      </c>
      <c r="C55" s="59"/>
      <c r="D55" s="45" t="s">
        <v>198</v>
      </c>
      <c r="E55" s="47">
        <v>31</v>
      </c>
      <c r="F55" s="47">
        <v>31</v>
      </c>
      <c r="G55" s="223">
        <v>16000</v>
      </c>
      <c r="H55" s="221">
        <f t="shared" si="6"/>
        <v>16000</v>
      </c>
      <c r="I55" s="6"/>
      <c r="J55" s="144" t="s">
        <v>210</v>
      </c>
      <c r="K55" s="14"/>
      <c r="M55" s="287"/>
      <c r="N55" s="287"/>
    </row>
    <row r="56" spans="1:14" ht="12.75">
      <c r="A56" s="14"/>
      <c r="B56" s="183"/>
      <c r="C56" s="14"/>
      <c r="D56" s="185"/>
      <c r="E56" s="35"/>
      <c r="F56" s="209"/>
      <c r="G56" s="236" t="s">
        <v>177</v>
      </c>
      <c r="H56" s="264">
        <f>SUM(H51:I55)</f>
        <v>104750</v>
      </c>
      <c r="I56" s="14"/>
      <c r="J56" s="100"/>
      <c r="K56" s="14"/>
      <c r="M56" s="287"/>
      <c r="N56" s="287"/>
    </row>
    <row r="57" spans="1:14" ht="63.75">
      <c r="A57" s="219" t="s">
        <v>5</v>
      </c>
      <c r="B57" s="196" t="s">
        <v>111</v>
      </c>
      <c r="C57" s="189"/>
      <c r="D57" s="129" t="s">
        <v>10</v>
      </c>
      <c r="E57" s="288" t="s">
        <v>243</v>
      </c>
      <c r="F57" s="289" t="s">
        <v>244</v>
      </c>
      <c r="G57" s="290" t="s">
        <v>245</v>
      </c>
      <c r="H57" s="291" t="s">
        <v>246</v>
      </c>
      <c r="I57" s="22" t="s">
        <v>13</v>
      </c>
      <c r="J57" s="240" t="s">
        <v>162</v>
      </c>
      <c r="K57" s="14"/>
      <c r="M57" s="287"/>
      <c r="N57" s="287"/>
    </row>
    <row r="58" spans="1:14" ht="12.75">
      <c r="A58" s="2" t="s">
        <v>114</v>
      </c>
      <c r="B58" s="339" t="s">
        <v>289</v>
      </c>
      <c r="C58" s="59"/>
      <c r="D58" s="45" t="s">
        <v>148</v>
      </c>
      <c r="E58" s="47">
        <v>31</v>
      </c>
      <c r="F58" s="47">
        <v>31</v>
      </c>
      <c r="G58" s="223">
        <v>7500</v>
      </c>
      <c r="H58" s="221">
        <f t="shared" ref="H58:H59" si="7">G58/E58*F58</f>
        <v>7500</v>
      </c>
      <c r="I58" s="6"/>
      <c r="J58" s="144" t="s">
        <v>210</v>
      </c>
      <c r="K58" s="14"/>
      <c r="M58" s="287"/>
      <c r="N58" s="287"/>
    </row>
    <row r="59" spans="1:14" ht="12.75">
      <c r="A59" s="6" t="s">
        <v>119</v>
      </c>
      <c r="B59" s="339" t="s">
        <v>289</v>
      </c>
      <c r="C59" s="59"/>
      <c r="D59" s="45" t="s">
        <v>148</v>
      </c>
      <c r="E59" s="47">
        <v>31</v>
      </c>
      <c r="F59" s="47">
        <v>31</v>
      </c>
      <c r="G59" s="223">
        <v>6500</v>
      </c>
      <c r="H59" s="221">
        <f t="shared" si="7"/>
        <v>6500</v>
      </c>
      <c r="I59" s="6"/>
      <c r="J59" s="144" t="s">
        <v>210</v>
      </c>
      <c r="K59" s="14"/>
      <c r="M59" s="287"/>
      <c r="N59" s="287"/>
    </row>
    <row r="60" spans="1:14" ht="12.75">
      <c r="A60" s="116"/>
      <c r="B60" s="172"/>
      <c r="C60" s="116"/>
      <c r="D60" s="118"/>
      <c r="E60" s="120"/>
      <c r="F60" s="255"/>
      <c r="G60" s="236" t="s">
        <v>177</v>
      </c>
      <c r="H60" s="264">
        <f>SUM(H58:I59)</f>
        <v>14000</v>
      </c>
      <c r="I60" s="116"/>
      <c r="J60" s="150"/>
      <c r="K60" s="14"/>
      <c r="M60" s="287"/>
      <c r="N60" s="287"/>
    </row>
    <row r="61" spans="1:14" ht="63.75">
      <c r="A61" s="219" t="s">
        <v>5</v>
      </c>
      <c r="B61" s="186" t="s">
        <v>123</v>
      </c>
      <c r="C61" s="187"/>
      <c r="D61" s="129" t="s">
        <v>10</v>
      </c>
      <c r="E61" s="288" t="s">
        <v>243</v>
      </c>
      <c r="F61" s="289" t="s">
        <v>244</v>
      </c>
      <c r="G61" s="290" t="s">
        <v>245</v>
      </c>
      <c r="H61" s="291" t="s">
        <v>246</v>
      </c>
      <c r="I61" s="22" t="s">
        <v>13</v>
      </c>
      <c r="J61" s="240" t="s">
        <v>162</v>
      </c>
      <c r="K61" s="14"/>
      <c r="M61" s="287"/>
      <c r="N61" s="287"/>
    </row>
    <row r="62" spans="1:14" ht="12.75">
      <c r="A62" s="2" t="s">
        <v>114</v>
      </c>
      <c r="B62" s="29" t="s">
        <v>125</v>
      </c>
      <c r="C62" s="59"/>
      <c r="D62" s="51"/>
      <c r="E62" s="47">
        <v>31</v>
      </c>
      <c r="F62" s="47">
        <v>31</v>
      </c>
      <c r="G62" s="223">
        <v>10000</v>
      </c>
      <c r="H62" s="221">
        <f t="shared" ref="H62:H63" si="8">G62/E62*F62</f>
        <v>10000</v>
      </c>
      <c r="I62" s="6"/>
      <c r="J62" s="100"/>
      <c r="K62" s="14"/>
      <c r="M62" s="287"/>
      <c r="N62" s="287"/>
    </row>
    <row r="63" spans="1:14" ht="12.75">
      <c r="A63" s="2" t="s">
        <v>119</v>
      </c>
      <c r="B63" s="4" t="s">
        <v>239</v>
      </c>
      <c r="C63" s="59"/>
      <c r="D63" s="59" t="s">
        <v>202</v>
      </c>
      <c r="E63" s="47">
        <v>31</v>
      </c>
      <c r="F63" s="47">
        <v>31</v>
      </c>
      <c r="G63" s="223">
        <v>15000</v>
      </c>
      <c r="H63" s="221">
        <f t="shared" si="8"/>
        <v>15000</v>
      </c>
      <c r="I63" s="6"/>
      <c r="J63" s="100"/>
      <c r="K63" s="14"/>
      <c r="M63" s="287"/>
      <c r="N63" s="287"/>
    </row>
    <row r="64" spans="1:14" ht="12.75">
      <c r="A64" s="132"/>
      <c r="B64" s="29"/>
      <c r="C64" s="6"/>
      <c r="D64" s="8"/>
      <c r="E64" s="52"/>
      <c r="F64" s="221"/>
      <c r="G64" s="236" t="s">
        <v>177</v>
      </c>
      <c r="H64" s="264">
        <f>SUM(H62:I63)</f>
        <v>25000</v>
      </c>
      <c r="I64" s="59"/>
      <c r="J64" s="260"/>
      <c r="K64" s="341"/>
      <c r="M64" s="287"/>
      <c r="N64" s="287"/>
    </row>
    <row r="65" spans="1:14" ht="63.75">
      <c r="A65" s="219" t="s">
        <v>5</v>
      </c>
      <c r="B65" s="342" t="s">
        <v>299</v>
      </c>
      <c r="C65" s="187"/>
      <c r="D65" s="129" t="s">
        <v>10</v>
      </c>
      <c r="E65" s="288" t="s">
        <v>243</v>
      </c>
      <c r="F65" s="289" t="s">
        <v>244</v>
      </c>
      <c r="G65" s="290" t="s">
        <v>245</v>
      </c>
      <c r="H65" s="291" t="s">
        <v>246</v>
      </c>
      <c r="I65" s="22" t="s">
        <v>13</v>
      </c>
      <c r="J65" s="240" t="s">
        <v>162</v>
      </c>
      <c r="K65" s="341"/>
      <c r="M65" s="287"/>
      <c r="N65" s="287"/>
    </row>
    <row r="66" spans="1:14" ht="12.75">
      <c r="A66" s="144" t="s">
        <v>114</v>
      </c>
      <c r="B66" s="181"/>
      <c r="C66" s="100"/>
      <c r="D66" s="109"/>
      <c r="E66" s="262"/>
      <c r="F66" s="237"/>
      <c r="G66" s="237"/>
      <c r="H66" s="100"/>
      <c r="I66" s="144"/>
      <c r="J66" s="260" t="s">
        <v>203</v>
      </c>
      <c r="K66" s="260" t="s">
        <v>203</v>
      </c>
      <c r="M66" s="287"/>
      <c r="N66" s="287"/>
    </row>
    <row r="67" spans="1:14" ht="12.75">
      <c r="A67" s="144" t="s">
        <v>204</v>
      </c>
      <c r="B67" s="284" t="s">
        <v>239</v>
      </c>
      <c r="C67" s="144"/>
      <c r="D67" s="203" t="s">
        <v>240</v>
      </c>
      <c r="E67" s="262"/>
      <c r="F67" s="270"/>
      <c r="G67" s="270"/>
      <c r="H67" s="100"/>
      <c r="I67" s="144"/>
      <c r="J67" s="260"/>
      <c r="K67" s="260"/>
      <c r="L67" s="1" t="s">
        <v>302</v>
      </c>
      <c r="M67" s="287"/>
      <c r="N67" s="287"/>
    </row>
    <row r="68" spans="1:14" ht="12.75">
      <c r="A68" s="144" t="s">
        <v>132</v>
      </c>
      <c r="B68" s="181"/>
      <c r="C68" s="100"/>
      <c r="D68" s="109"/>
      <c r="E68" s="262"/>
      <c r="F68" s="237"/>
      <c r="G68" s="237"/>
      <c r="H68" s="100"/>
      <c r="I68" s="100"/>
      <c r="J68" s="260" t="s">
        <v>206</v>
      </c>
      <c r="K68" s="260" t="s">
        <v>206</v>
      </c>
      <c r="M68" s="287"/>
      <c r="N68" s="287"/>
    </row>
    <row r="69" spans="1:14" ht="12.75">
      <c r="A69" s="100"/>
      <c r="B69" s="181"/>
      <c r="C69" s="100"/>
      <c r="D69" s="109"/>
      <c r="E69" s="262"/>
      <c r="F69" s="237"/>
      <c r="G69" s="237"/>
      <c r="H69" s="100"/>
      <c r="I69" s="100"/>
      <c r="J69" s="150"/>
      <c r="K69" s="150"/>
      <c r="M69" s="287"/>
      <c r="N69" s="287"/>
    </row>
    <row r="70" spans="1:14" ht="12.75">
      <c r="A70" s="14"/>
      <c r="G70" s="236" t="s">
        <v>177</v>
      </c>
      <c r="H70" s="343">
        <f>SUM(H66:I68)</f>
        <v>0</v>
      </c>
      <c r="M70" s="287"/>
      <c r="N70" s="287"/>
    </row>
    <row r="71" spans="1:14" ht="12.75">
      <c r="A71" s="14"/>
      <c r="F71" s="286"/>
      <c r="G71" s="286"/>
      <c r="I71" s="266" t="s">
        <v>207</v>
      </c>
      <c r="J71" s="264">
        <f>J16+J37+H46+H49+H56+H60+H64+H70+P24</f>
        <v>571750</v>
      </c>
      <c r="M71" s="287"/>
      <c r="N71" s="287"/>
    </row>
    <row r="72" spans="1:14" ht="12.75">
      <c r="A72" s="14"/>
      <c r="B72" s="183"/>
      <c r="C72" s="14"/>
      <c r="D72" s="185"/>
      <c r="E72" s="35"/>
      <c r="F72" s="209"/>
      <c r="G72" s="209"/>
      <c r="H72" s="14"/>
      <c r="I72" s="14"/>
      <c r="J72" s="14"/>
      <c r="K72" s="14"/>
      <c r="M72" s="287"/>
      <c r="N72" s="287"/>
    </row>
    <row r="73" spans="1:14" ht="12.75">
      <c r="K73" s="287"/>
      <c r="L73" s="287"/>
    </row>
    <row r="74" spans="1:14" ht="12.75">
      <c r="C74" s="1" t="s">
        <v>304</v>
      </c>
      <c r="J74" s="287"/>
      <c r="K74" s="287"/>
    </row>
    <row r="75" spans="1:14" ht="51">
      <c r="B75" s="344" t="s">
        <v>305</v>
      </c>
      <c r="C75" s="344" t="s">
        <v>306</v>
      </c>
      <c r="D75" s="344" t="s">
        <v>307</v>
      </c>
      <c r="E75" s="344" t="s">
        <v>308</v>
      </c>
      <c r="F75" s="344" t="s">
        <v>309</v>
      </c>
      <c r="G75" s="344" t="s">
        <v>310</v>
      </c>
      <c r="J75" s="287"/>
      <c r="K75" s="287"/>
    </row>
    <row r="76" spans="1:14" ht="77.25">
      <c r="B76" s="345"/>
      <c r="C76" s="346"/>
      <c r="D76" s="347"/>
      <c r="E76" s="348"/>
      <c r="F76" s="349"/>
      <c r="G76" s="350" t="s">
        <v>311</v>
      </c>
      <c r="J76" s="287"/>
      <c r="K76" s="287"/>
    </row>
    <row r="77" spans="1:14" ht="12.75">
      <c r="J77" s="287"/>
      <c r="K77" s="287"/>
    </row>
    <row r="78" spans="1:14" ht="12.75">
      <c r="M78" s="287"/>
      <c r="N78" s="287"/>
    </row>
    <row r="79" spans="1:14" ht="12.75">
      <c r="M79" s="287"/>
      <c r="N79" s="287"/>
    </row>
    <row r="80" spans="1:14" ht="12.75">
      <c r="M80" s="287"/>
      <c r="N80" s="287"/>
    </row>
    <row r="81" spans="13:14" ht="12.75">
      <c r="M81" s="287"/>
      <c r="N81" s="287"/>
    </row>
    <row r="82" spans="13:14" ht="12.75">
      <c r="M82" s="287"/>
      <c r="N82" s="287"/>
    </row>
    <row r="83" spans="13:14" ht="12.75">
      <c r="M83" s="287"/>
      <c r="N83" s="287"/>
    </row>
    <row r="84" spans="13:14" ht="12.75">
      <c r="M84" s="287"/>
      <c r="N84" s="287"/>
    </row>
    <row r="85" spans="13:14" ht="12.75">
      <c r="M85" s="287"/>
      <c r="N85" s="287"/>
    </row>
    <row r="86" spans="13:14" ht="12.75">
      <c r="M86" s="287"/>
      <c r="N86" s="287"/>
    </row>
    <row r="87" spans="13:14" ht="12.75">
      <c r="M87" s="287"/>
      <c r="N87" s="287"/>
    </row>
    <row r="88" spans="13:14" ht="12.75">
      <c r="M88" s="287"/>
      <c r="N88" s="287"/>
    </row>
    <row r="89" spans="13:14" ht="12.75">
      <c r="M89" s="287"/>
      <c r="N89" s="287"/>
    </row>
    <row r="90" spans="13:14" ht="12.75">
      <c r="M90" s="287"/>
      <c r="N90" s="287"/>
    </row>
    <row r="91" spans="13:14" ht="12.75">
      <c r="M91" s="287"/>
      <c r="N91" s="287"/>
    </row>
    <row r="92" spans="13:14" ht="12.75">
      <c r="M92" s="287"/>
      <c r="N92" s="287"/>
    </row>
    <row r="93" spans="13:14" ht="12.75">
      <c r="M93" s="287"/>
      <c r="N93" s="287"/>
    </row>
    <row r="94" spans="13:14" ht="12.75">
      <c r="M94" s="287"/>
      <c r="N94" s="287"/>
    </row>
    <row r="95" spans="13:14" ht="12.75">
      <c r="M95" s="287"/>
      <c r="N95" s="287"/>
    </row>
    <row r="96" spans="13:14" ht="12.75">
      <c r="M96" s="287"/>
      <c r="N96" s="287"/>
    </row>
    <row r="97" spans="13:14" ht="12.75">
      <c r="M97" s="287"/>
      <c r="N97" s="287"/>
    </row>
    <row r="98" spans="13:14" ht="12.75">
      <c r="M98" s="287"/>
      <c r="N98" s="287"/>
    </row>
    <row r="99" spans="13:14" ht="12.75">
      <c r="M99" s="287"/>
      <c r="N99" s="287"/>
    </row>
    <row r="100" spans="13:14" ht="12.75">
      <c r="M100" s="287"/>
      <c r="N100" s="287"/>
    </row>
    <row r="101" spans="13:14" ht="12.75">
      <c r="M101" s="287"/>
      <c r="N101" s="287"/>
    </row>
    <row r="102" spans="13:14" ht="12.75">
      <c r="M102" s="287"/>
      <c r="N102" s="287"/>
    </row>
    <row r="103" spans="13:14" ht="12.75">
      <c r="M103" s="287"/>
      <c r="N103" s="287"/>
    </row>
    <row r="104" spans="13:14" ht="12.75">
      <c r="M104" s="287"/>
      <c r="N104" s="287"/>
    </row>
    <row r="105" spans="13:14" ht="12.75">
      <c r="M105" s="287"/>
      <c r="N105" s="287"/>
    </row>
    <row r="106" spans="13:14" ht="12.75">
      <c r="M106" s="287"/>
      <c r="N106" s="287"/>
    </row>
    <row r="107" spans="13:14" ht="12.75">
      <c r="M107" s="287"/>
      <c r="N107" s="287"/>
    </row>
    <row r="108" spans="13:14" ht="12.75">
      <c r="M108" s="287"/>
      <c r="N108" s="287"/>
    </row>
    <row r="109" spans="13:14" ht="12.75">
      <c r="M109" s="287"/>
      <c r="N109" s="287"/>
    </row>
    <row r="110" spans="13:14" ht="12.75">
      <c r="M110" s="287"/>
      <c r="N110" s="287"/>
    </row>
    <row r="111" spans="13:14" ht="12.75">
      <c r="M111" s="287"/>
      <c r="N111" s="287"/>
    </row>
    <row r="112" spans="13:14" ht="12.75">
      <c r="M112" s="287"/>
      <c r="N112" s="287"/>
    </row>
    <row r="113" spans="13:14" ht="12.75">
      <c r="M113" s="287"/>
      <c r="N113" s="287"/>
    </row>
    <row r="114" spans="13:14" ht="12.75">
      <c r="M114" s="287"/>
      <c r="N114" s="287"/>
    </row>
    <row r="115" spans="13:14" ht="12.75">
      <c r="M115" s="287"/>
      <c r="N115" s="287"/>
    </row>
    <row r="116" spans="13:14" ht="12.75">
      <c r="M116" s="287"/>
      <c r="N116" s="287"/>
    </row>
    <row r="117" spans="13:14" ht="12.75">
      <c r="M117" s="287"/>
      <c r="N117" s="287"/>
    </row>
    <row r="118" spans="13:14" ht="12.75">
      <c r="M118" s="287"/>
      <c r="N118" s="287"/>
    </row>
    <row r="119" spans="13:14" ht="12.75">
      <c r="M119" s="287"/>
      <c r="N119" s="287"/>
    </row>
    <row r="120" spans="13:14" ht="12.75">
      <c r="M120" s="287"/>
      <c r="N120" s="287"/>
    </row>
    <row r="121" spans="13:14" ht="12.75">
      <c r="M121" s="287"/>
      <c r="N121" s="287"/>
    </row>
    <row r="122" spans="13:14" ht="12.75">
      <c r="M122" s="287"/>
      <c r="N122" s="287"/>
    </row>
    <row r="123" spans="13:14" ht="12.75">
      <c r="M123" s="287"/>
      <c r="N123" s="287"/>
    </row>
    <row r="124" spans="13:14" ht="12.75">
      <c r="M124" s="287"/>
      <c r="N124" s="287"/>
    </row>
    <row r="125" spans="13:14" ht="12.75">
      <c r="M125" s="287"/>
      <c r="N125" s="287"/>
    </row>
    <row r="126" spans="13:14" ht="12.75">
      <c r="M126" s="287"/>
      <c r="N126" s="287"/>
    </row>
    <row r="127" spans="13:14" ht="12.75">
      <c r="M127" s="287"/>
      <c r="N127" s="287"/>
    </row>
    <row r="128" spans="13:14" ht="12.75">
      <c r="M128" s="287"/>
      <c r="N128" s="287"/>
    </row>
    <row r="129" spans="13:14" ht="12.75">
      <c r="M129" s="287"/>
      <c r="N129" s="287"/>
    </row>
    <row r="130" spans="13:14" ht="12.75">
      <c r="M130" s="287"/>
      <c r="N130" s="287"/>
    </row>
    <row r="131" spans="13:14" ht="12.75">
      <c r="M131" s="287"/>
      <c r="N131" s="287"/>
    </row>
    <row r="132" spans="13:14" ht="12.75">
      <c r="M132" s="287"/>
      <c r="N132" s="287"/>
    </row>
    <row r="133" spans="13:14" ht="12.75">
      <c r="M133" s="287"/>
      <c r="N133" s="287"/>
    </row>
    <row r="134" spans="13:14" ht="12.75">
      <c r="M134" s="287"/>
      <c r="N134" s="287"/>
    </row>
    <row r="135" spans="13:14" ht="12.75">
      <c r="M135" s="287"/>
      <c r="N135" s="287"/>
    </row>
    <row r="136" spans="13:14" ht="12.75">
      <c r="M136" s="287"/>
      <c r="N136" s="287"/>
    </row>
    <row r="137" spans="13:14" ht="12.75">
      <c r="M137" s="287"/>
      <c r="N137" s="287"/>
    </row>
    <row r="138" spans="13:14" ht="12.75">
      <c r="M138" s="287"/>
      <c r="N138" s="287"/>
    </row>
    <row r="139" spans="13:14" ht="12.75">
      <c r="M139" s="287"/>
      <c r="N139" s="287"/>
    </row>
    <row r="140" spans="13:14" ht="12.75">
      <c r="M140" s="287"/>
      <c r="N140" s="287"/>
    </row>
    <row r="141" spans="13:14" ht="12.75">
      <c r="M141" s="287"/>
      <c r="N141" s="287"/>
    </row>
    <row r="142" spans="13:14" ht="12.75">
      <c r="M142" s="287"/>
      <c r="N142" s="287"/>
    </row>
    <row r="143" spans="13:14" ht="12.75">
      <c r="M143" s="287"/>
      <c r="N143" s="287"/>
    </row>
    <row r="144" spans="13:14" ht="12.75">
      <c r="M144" s="287"/>
      <c r="N144" s="287"/>
    </row>
    <row r="145" spans="13:14" ht="12.75">
      <c r="M145" s="287"/>
      <c r="N145" s="287"/>
    </row>
    <row r="146" spans="13:14" ht="12.75">
      <c r="M146" s="287"/>
      <c r="N146" s="287"/>
    </row>
    <row r="147" spans="13:14" ht="12.75">
      <c r="M147" s="287"/>
      <c r="N147" s="287"/>
    </row>
    <row r="148" spans="13:14" ht="12.75">
      <c r="M148" s="287"/>
      <c r="N148" s="287"/>
    </row>
    <row r="149" spans="13:14" ht="12.75">
      <c r="M149" s="287"/>
      <c r="N149" s="287"/>
    </row>
    <row r="150" spans="13:14" ht="12.75">
      <c r="M150" s="287"/>
      <c r="N150" s="287"/>
    </row>
    <row r="151" spans="13:14" ht="12.75">
      <c r="M151" s="287"/>
      <c r="N151" s="287"/>
    </row>
    <row r="152" spans="13:14" ht="12.75">
      <c r="M152" s="287"/>
      <c r="N152" s="287"/>
    </row>
    <row r="153" spans="13:14" ht="12.75">
      <c r="M153" s="287"/>
      <c r="N153" s="287"/>
    </row>
    <row r="154" spans="13:14" ht="12.75">
      <c r="M154" s="287"/>
      <c r="N154" s="287"/>
    </row>
    <row r="155" spans="13:14" ht="12.75">
      <c r="M155" s="287"/>
      <c r="N155" s="287"/>
    </row>
    <row r="156" spans="13:14" ht="12.75">
      <c r="M156" s="287"/>
      <c r="N156" s="287"/>
    </row>
    <row r="157" spans="13:14" ht="12.75">
      <c r="M157" s="287"/>
      <c r="N157" s="287"/>
    </row>
    <row r="158" spans="13:14" ht="12.75">
      <c r="M158" s="287"/>
      <c r="N158" s="287"/>
    </row>
    <row r="159" spans="13:14" ht="12.75">
      <c r="M159" s="287"/>
      <c r="N159" s="287"/>
    </row>
    <row r="160" spans="13:14" ht="12.75">
      <c r="M160" s="287"/>
      <c r="N160" s="287"/>
    </row>
    <row r="161" spans="13:14" ht="12.75">
      <c r="M161" s="287"/>
      <c r="N161" s="287"/>
    </row>
    <row r="162" spans="13:14" ht="12.75">
      <c r="M162" s="287"/>
      <c r="N162" s="287"/>
    </row>
    <row r="163" spans="13:14" ht="12.75">
      <c r="M163" s="287"/>
      <c r="N163" s="287"/>
    </row>
    <row r="164" spans="13:14" ht="12.75">
      <c r="M164" s="287"/>
      <c r="N164" s="287"/>
    </row>
    <row r="165" spans="13:14" ht="12.75">
      <c r="M165" s="287"/>
      <c r="N165" s="287"/>
    </row>
    <row r="166" spans="13:14" ht="12.75">
      <c r="M166" s="287"/>
      <c r="N166" s="287"/>
    </row>
    <row r="167" spans="13:14" ht="12.75">
      <c r="M167" s="287"/>
      <c r="N167" s="287"/>
    </row>
    <row r="168" spans="13:14" ht="12.75">
      <c r="M168" s="287"/>
      <c r="N168" s="287"/>
    </row>
    <row r="169" spans="13:14" ht="12.75">
      <c r="M169" s="287"/>
      <c r="N169" s="287"/>
    </row>
    <row r="170" spans="13:14" ht="12.75">
      <c r="M170" s="287"/>
      <c r="N170" s="287"/>
    </row>
    <row r="171" spans="13:14" ht="12.75">
      <c r="M171" s="287"/>
      <c r="N171" s="287"/>
    </row>
    <row r="172" spans="13:14" ht="12.75">
      <c r="M172" s="287"/>
      <c r="N172" s="287"/>
    </row>
    <row r="173" spans="13:14" ht="12.75">
      <c r="M173" s="287"/>
      <c r="N173" s="287"/>
    </row>
    <row r="174" spans="13:14" ht="12.75">
      <c r="M174" s="287"/>
      <c r="N174" s="287"/>
    </row>
    <row r="175" spans="13:14" ht="12.75">
      <c r="M175" s="287"/>
      <c r="N175" s="287"/>
    </row>
    <row r="176" spans="13:14" ht="12.75">
      <c r="M176" s="287"/>
      <c r="N176" s="287"/>
    </row>
    <row r="177" spans="13:14" ht="12.75">
      <c r="M177" s="287"/>
      <c r="N177" s="287"/>
    </row>
    <row r="178" spans="13:14" ht="12.75">
      <c r="M178" s="287"/>
      <c r="N178" s="287"/>
    </row>
    <row r="179" spans="13:14" ht="12.75">
      <c r="M179" s="287"/>
      <c r="N179" s="287"/>
    </row>
    <row r="180" spans="13:14" ht="12.75">
      <c r="M180" s="287"/>
      <c r="N180" s="287"/>
    </row>
    <row r="181" spans="13:14" ht="12.75">
      <c r="M181" s="287"/>
      <c r="N181" s="287"/>
    </row>
    <row r="182" spans="13:14" ht="12.75">
      <c r="M182" s="287"/>
      <c r="N182" s="287"/>
    </row>
    <row r="183" spans="13:14" ht="12.75">
      <c r="M183" s="287"/>
      <c r="N183" s="287"/>
    </row>
    <row r="184" spans="13:14" ht="12.75">
      <c r="M184" s="287"/>
      <c r="N184" s="287"/>
    </row>
    <row r="185" spans="13:14" ht="12.75">
      <c r="M185" s="287"/>
      <c r="N185" s="287"/>
    </row>
    <row r="186" spans="13:14" ht="12.75">
      <c r="M186" s="287"/>
      <c r="N186" s="287"/>
    </row>
    <row r="187" spans="13:14" ht="12.75">
      <c r="M187" s="287"/>
      <c r="N187" s="287"/>
    </row>
    <row r="188" spans="13:14" ht="12.75">
      <c r="M188" s="287"/>
      <c r="N188" s="287"/>
    </row>
    <row r="189" spans="13:14" ht="12.75">
      <c r="M189" s="287"/>
      <c r="N189" s="287"/>
    </row>
    <row r="190" spans="13:14" ht="12.75">
      <c r="M190" s="287"/>
      <c r="N190" s="287"/>
    </row>
    <row r="191" spans="13:14" ht="12.75">
      <c r="M191" s="287"/>
      <c r="N191" s="287"/>
    </row>
    <row r="192" spans="13:14" ht="12.75">
      <c r="M192" s="287"/>
      <c r="N192" s="287"/>
    </row>
    <row r="193" spans="13:14" ht="12.75">
      <c r="M193" s="287"/>
      <c r="N193" s="287"/>
    </row>
    <row r="194" spans="13:14" ht="12.75">
      <c r="M194" s="287"/>
      <c r="N194" s="287"/>
    </row>
    <row r="195" spans="13:14" ht="12.75">
      <c r="M195" s="287"/>
      <c r="N195" s="287"/>
    </row>
    <row r="196" spans="13:14" ht="12.75">
      <c r="M196" s="287"/>
      <c r="N196" s="287"/>
    </row>
    <row r="197" spans="13:14" ht="12.75">
      <c r="M197" s="287"/>
      <c r="N197" s="287"/>
    </row>
    <row r="198" spans="13:14" ht="12.75">
      <c r="M198" s="287"/>
      <c r="N198" s="287"/>
    </row>
    <row r="199" spans="13:14" ht="12.75">
      <c r="M199" s="287"/>
      <c r="N199" s="287"/>
    </row>
    <row r="200" spans="13:14" ht="12.75">
      <c r="M200" s="287"/>
      <c r="N200" s="287"/>
    </row>
    <row r="201" spans="13:14" ht="12.75">
      <c r="M201" s="287"/>
      <c r="N201" s="287"/>
    </row>
    <row r="202" spans="13:14" ht="12.75">
      <c r="M202" s="287"/>
      <c r="N202" s="287"/>
    </row>
    <row r="203" spans="13:14" ht="12.75">
      <c r="M203" s="287"/>
      <c r="N203" s="287"/>
    </row>
    <row r="204" spans="13:14" ht="12.75">
      <c r="M204" s="287"/>
      <c r="N204" s="287"/>
    </row>
    <row r="205" spans="13:14" ht="12.75">
      <c r="M205" s="287"/>
      <c r="N205" s="287"/>
    </row>
    <row r="206" spans="13:14" ht="12.75">
      <c r="M206" s="287"/>
      <c r="N206" s="287"/>
    </row>
    <row r="207" spans="13:14" ht="12.75">
      <c r="M207" s="287"/>
      <c r="N207" s="287"/>
    </row>
    <row r="208" spans="13:14" ht="12.75">
      <c r="M208" s="287"/>
      <c r="N208" s="287"/>
    </row>
    <row r="209" spans="13:14" ht="12.75">
      <c r="M209" s="287"/>
      <c r="N209" s="287"/>
    </row>
    <row r="210" spans="13:14" ht="12.75">
      <c r="M210" s="287"/>
      <c r="N210" s="287"/>
    </row>
    <row r="211" spans="13:14" ht="12.75">
      <c r="M211" s="287"/>
      <c r="N211" s="287"/>
    </row>
    <row r="212" spans="13:14" ht="12.75">
      <c r="M212" s="287"/>
      <c r="N212" s="287"/>
    </row>
    <row r="213" spans="13:14" ht="12.75">
      <c r="M213" s="287"/>
      <c r="N213" s="287"/>
    </row>
    <row r="214" spans="13:14" ht="12.75">
      <c r="M214" s="287"/>
      <c r="N214" s="287"/>
    </row>
    <row r="215" spans="13:14" ht="12.75">
      <c r="M215" s="287"/>
      <c r="N215" s="287"/>
    </row>
    <row r="216" spans="13:14" ht="12.75">
      <c r="M216" s="287"/>
      <c r="N216" s="287"/>
    </row>
    <row r="217" spans="13:14" ht="12.75">
      <c r="M217" s="287"/>
      <c r="N217" s="287"/>
    </row>
    <row r="218" spans="13:14" ht="12.75">
      <c r="M218" s="287"/>
      <c r="N218" s="287"/>
    </row>
    <row r="219" spans="13:14" ht="12.75">
      <c r="M219" s="287"/>
      <c r="N219" s="287"/>
    </row>
    <row r="220" spans="13:14" ht="12.75">
      <c r="M220" s="287"/>
      <c r="N220" s="287"/>
    </row>
    <row r="221" spans="13:14" ht="12.75">
      <c r="M221" s="287"/>
      <c r="N221" s="287"/>
    </row>
    <row r="222" spans="13:14" ht="12.75">
      <c r="M222" s="287"/>
      <c r="N222" s="287"/>
    </row>
    <row r="223" spans="13:14" ht="12.75">
      <c r="M223" s="287"/>
      <c r="N223" s="287"/>
    </row>
    <row r="224" spans="13:14" ht="12.75">
      <c r="M224" s="287"/>
      <c r="N224" s="287"/>
    </row>
    <row r="225" spans="13:14" ht="12.75">
      <c r="M225" s="287"/>
      <c r="N225" s="287"/>
    </row>
    <row r="226" spans="13:14" ht="12.75">
      <c r="M226" s="287"/>
      <c r="N226" s="287"/>
    </row>
    <row r="227" spans="13:14" ht="12.75">
      <c r="M227" s="287"/>
      <c r="N227" s="287"/>
    </row>
    <row r="228" spans="13:14" ht="12.75">
      <c r="M228" s="287"/>
      <c r="N228" s="287"/>
    </row>
    <row r="229" spans="13:14" ht="12.75">
      <c r="M229" s="287"/>
      <c r="N229" s="287"/>
    </row>
    <row r="230" spans="13:14" ht="12.75">
      <c r="M230" s="287"/>
      <c r="N230" s="287"/>
    </row>
    <row r="231" spans="13:14" ht="12.75">
      <c r="M231" s="287"/>
      <c r="N231" s="287"/>
    </row>
    <row r="232" spans="13:14" ht="12.75">
      <c r="M232" s="287"/>
      <c r="N232" s="287"/>
    </row>
    <row r="233" spans="13:14" ht="12.75">
      <c r="M233" s="287"/>
      <c r="N233" s="287"/>
    </row>
    <row r="234" spans="13:14" ht="12.75">
      <c r="M234" s="287"/>
      <c r="N234" s="287"/>
    </row>
    <row r="235" spans="13:14" ht="12.75">
      <c r="M235" s="287"/>
      <c r="N235" s="287"/>
    </row>
    <row r="236" spans="13:14" ht="12.75">
      <c r="M236" s="287"/>
      <c r="N236" s="287"/>
    </row>
    <row r="237" spans="13:14" ht="12.75">
      <c r="M237" s="287"/>
      <c r="N237" s="287"/>
    </row>
    <row r="238" spans="13:14" ht="12.75">
      <c r="M238" s="287"/>
      <c r="N238" s="287"/>
    </row>
    <row r="239" spans="13:14" ht="12.75">
      <c r="M239" s="287"/>
      <c r="N239" s="287"/>
    </row>
    <row r="240" spans="13:14" ht="12.75">
      <c r="M240" s="287"/>
      <c r="N240" s="287"/>
    </row>
    <row r="241" spans="13:14" ht="12.75">
      <c r="M241" s="287"/>
      <c r="N241" s="287"/>
    </row>
    <row r="242" spans="13:14" ht="12.75">
      <c r="M242" s="287"/>
      <c r="N242" s="287"/>
    </row>
    <row r="243" spans="13:14" ht="12.75">
      <c r="M243" s="287"/>
      <c r="N243" s="287"/>
    </row>
    <row r="244" spans="13:14" ht="12.75">
      <c r="M244" s="287"/>
      <c r="N244" s="287"/>
    </row>
    <row r="245" spans="13:14" ht="12.75">
      <c r="M245" s="287"/>
      <c r="N245" s="287"/>
    </row>
    <row r="246" spans="13:14" ht="12.75">
      <c r="M246" s="287"/>
      <c r="N246" s="287"/>
    </row>
    <row r="247" spans="13:14" ht="12.75">
      <c r="M247" s="287"/>
      <c r="N247" s="287"/>
    </row>
    <row r="248" spans="13:14" ht="12.75">
      <c r="M248" s="287"/>
      <c r="N248" s="287"/>
    </row>
    <row r="249" spans="13:14" ht="12.75">
      <c r="M249" s="287"/>
      <c r="N249" s="287"/>
    </row>
    <row r="250" spans="13:14" ht="12.75">
      <c r="M250" s="287"/>
      <c r="N250" s="287"/>
    </row>
    <row r="251" spans="13:14" ht="12.75">
      <c r="M251" s="287"/>
      <c r="N251" s="287"/>
    </row>
    <row r="252" spans="13:14" ht="12.75">
      <c r="M252" s="287"/>
      <c r="N252" s="287"/>
    </row>
    <row r="253" spans="13:14" ht="12.75">
      <c r="M253" s="287"/>
      <c r="N253" s="287"/>
    </row>
    <row r="254" spans="13:14" ht="12.75">
      <c r="M254" s="287"/>
      <c r="N254" s="287"/>
    </row>
    <row r="255" spans="13:14" ht="12.75">
      <c r="M255" s="287"/>
      <c r="N255" s="287"/>
    </row>
    <row r="256" spans="13:14" ht="12.75">
      <c r="M256" s="287"/>
      <c r="N256" s="287"/>
    </row>
    <row r="257" spans="13:14" ht="12.75">
      <c r="M257" s="287"/>
      <c r="N257" s="287"/>
    </row>
    <row r="258" spans="13:14" ht="12.75">
      <c r="M258" s="287"/>
      <c r="N258" s="287"/>
    </row>
    <row r="259" spans="13:14" ht="12.75">
      <c r="M259" s="287"/>
      <c r="N259" s="287"/>
    </row>
    <row r="260" spans="13:14" ht="12.75">
      <c r="M260" s="287"/>
      <c r="N260" s="287"/>
    </row>
    <row r="261" spans="13:14" ht="12.75">
      <c r="M261" s="287"/>
      <c r="N261" s="287"/>
    </row>
    <row r="262" spans="13:14" ht="12.75">
      <c r="M262" s="287"/>
      <c r="N262" s="287"/>
    </row>
    <row r="263" spans="13:14" ht="12.75">
      <c r="M263" s="287"/>
      <c r="N263" s="287"/>
    </row>
    <row r="264" spans="13:14" ht="12.75">
      <c r="M264" s="287"/>
      <c r="N264" s="287"/>
    </row>
    <row r="265" spans="13:14" ht="12.75">
      <c r="M265" s="287"/>
      <c r="N265" s="287"/>
    </row>
    <row r="266" spans="13:14" ht="12.75">
      <c r="M266" s="287"/>
      <c r="N266" s="287"/>
    </row>
    <row r="267" spans="13:14" ht="12.75">
      <c r="M267" s="287"/>
      <c r="N267" s="287"/>
    </row>
    <row r="268" spans="13:14" ht="12.75">
      <c r="M268" s="287"/>
      <c r="N268" s="287"/>
    </row>
    <row r="269" spans="13:14" ht="12.75">
      <c r="M269" s="287"/>
      <c r="N269" s="287"/>
    </row>
    <row r="270" spans="13:14" ht="12.75">
      <c r="M270" s="287"/>
      <c r="N270" s="287"/>
    </row>
    <row r="271" spans="13:14" ht="12.75">
      <c r="M271" s="287"/>
      <c r="N271" s="287"/>
    </row>
    <row r="272" spans="13:14" ht="12.75">
      <c r="M272" s="287"/>
      <c r="N272" s="287"/>
    </row>
    <row r="273" spans="13:14" ht="12.75">
      <c r="M273" s="287"/>
      <c r="N273" s="287"/>
    </row>
    <row r="274" spans="13:14" ht="12.75">
      <c r="M274" s="287"/>
      <c r="N274" s="287"/>
    </row>
    <row r="275" spans="13:14" ht="12.75">
      <c r="M275" s="287"/>
      <c r="N275" s="287"/>
    </row>
    <row r="276" spans="13:14" ht="12.75">
      <c r="M276" s="287"/>
      <c r="N276" s="287"/>
    </row>
    <row r="277" spans="13:14" ht="12.75">
      <c r="M277" s="287"/>
      <c r="N277" s="287"/>
    </row>
    <row r="278" spans="13:14" ht="12.75">
      <c r="M278" s="287"/>
      <c r="N278" s="287"/>
    </row>
    <row r="279" spans="13:14" ht="12.75">
      <c r="M279" s="287"/>
      <c r="N279" s="287"/>
    </row>
    <row r="280" spans="13:14" ht="12.75">
      <c r="M280" s="287"/>
      <c r="N280" s="287"/>
    </row>
    <row r="281" spans="13:14" ht="12.75">
      <c r="M281" s="287"/>
      <c r="N281" s="287"/>
    </row>
    <row r="282" spans="13:14" ht="12.75">
      <c r="M282" s="287"/>
      <c r="N282" s="287"/>
    </row>
    <row r="283" spans="13:14" ht="12.75">
      <c r="M283" s="287"/>
      <c r="N283" s="287"/>
    </row>
    <row r="284" spans="13:14" ht="12.75">
      <c r="M284" s="287"/>
      <c r="N284" s="287"/>
    </row>
    <row r="285" spans="13:14" ht="12.75">
      <c r="M285" s="287"/>
      <c r="N285" s="287"/>
    </row>
    <row r="286" spans="13:14" ht="12.75">
      <c r="M286" s="287"/>
      <c r="N286" s="287"/>
    </row>
    <row r="287" spans="13:14" ht="12.75">
      <c r="M287" s="287"/>
      <c r="N287" s="287"/>
    </row>
    <row r="288" spans="13:14" ht="12.75">
      <c r="M288" s="287"/>
      <c r="N288" s="287"/>
    </row>
    <row r="289" spans="13:14" ht="12.75">
      <c r="M289" s="287"/>
      <c r="N289" s="287"/>
    </row>
    <row r="290" spans="13:14" ht="12.75">
      <c r="M290" s="287"/>
      <c r="N290" s="287"/>
    </row>
    <row r="291" spans="13:14" ht="12.75">
      <c r="M291" s="287"/>
      <c r="N291" s="287"/>
    </row>
    <row r="292" spans="13:14" ht="12.75">
      <c r="M292" s="287"/>
      <c r="N292" s="287"/>
    </row>
    <row r="293" spans="13:14" ht="12.75">
      <c r="M293" s="287"/>
      <c r="N293" s="287"/>
    </row>
    <row r="294" spans="13:14" ht="12.75">
      <c r="M294" s="287"/>
      <c r="N294" s="287"/>
    </row>
    <row r="295" spans="13:14" ht="12.75">
      <c r="M295" s="287"/>
      <c r="N295" s="287"/>
    </row>
    <row r="296" spans="13:14" ht="12.75">
      <c r="M296" s="287"/>
      <c r="N296" s="287"/>
    </row>
    <row r="297" spans="13:14" ht="12.75">
      <c r="M297" s="287"/>
      <c r="N297" s="287"/>
    </row>
    <row r="298" spans="13:14" ht="12.75">
      <c r="M298" s="287"/>
      <c r="N298" s="287"/>
    </row>
    <row r="299" spans="13:14" ht="12.75">
      <c r="M299" s="287"/>
      <c r="N299" s="287"/>
    </row>
    <row r="300" spans="13:14" ht="12.75">
      <c r="M300" s="287"/>
      <c r="N300" s="287"/>
    </row>
    <row r="301" spans="13:14" ht="12.75">
      <c r="M301" s="287"/>
      <c r="N301" s="287"/>
    </row>
    <row r="302" spans="13:14" ht="12.75">
      <c r="M302" s="287"/>
      <c r="N302" s="287"/>
    </row>
    <row r="303" spans="13:14" ht="12.75">
      <c r="M303" s="287"/>
      <c r="N303" s="287"/>
    </row>
    <row r="304" spans="13:14" ht="12.75">
      <c r="M304" s="287"/>
      <c r="N304" s="287"/>
    </row>
    <row r="305" spans="13:14" ht="12.75">
      <c r="M305" s="287"/>
      <c r="N305" s="287"/>
    </row>
    <row r="306" spans="13:14" ht="12.75">
      <c r="M306" s="287"/>
      <c r="N306" s="287"/>
    </row>
    <row r="307" spans="13:14" ht="12.75">
      <c r="M307" s="287"/>
      <c r="N307" s="287"/>
    </row>
    <row r="308" spans="13:14" ht="12.75">
      <c r="M308" s="287"/>
      <c r="N308" s="287"/>
    </row>
    <row r="309" spans="13:14" ht="12.75">
      <c r="M309" s="287"/>
      <c r="N309" s="287"/>
    </row>
    <row r="310" spans="13:14" ht="12.75">
      <c r="M310" s="287"/>
      <c r="N310" s="287"/>
    </row>
    <row r="311" spans="13:14" ht="12.75">
      <c r="M311" s="287"/>
      <c r="N311" s="287"/>
    </row>
    <row r="312" spans="13:14" ht="12.75">
      <c r="M312" s="287"/>
      <c r="N312" s="287"/>
    </row>
    <row r="313" spans="13:14" ht="12.75">
      <c r="M313" s="287"/>
      <c r="N313" s="287"/>
    </row>
    <row r="314" spans="13:14" ht="12.75">
      <c r="M314" s="287"/>
      <c r="N314" s="287"/>
    </row>
    <row r="315" spans="13:14" ht="12.75">
      <c r="M315" s="287"/>
      <c r="N315" s="287"/>
    </row>
    <row r="316" spans="13:14" ht="12.75">
      <c r="M316" s="287"/>
      <c r="N316" s="287"/>
    </row>
    <row r="317" spans="13:14" ht="12.75">
      <c r="M317" s="287"/>
      <c r="N317" s="287"/>
    </row>
    <row r="318" spans="13:14" ht="12.75">
      <c r="M318" s="287"/>
      <c r="N318" s="287"/>
    </row>
    <row r="319" spans="13:14" ht="12.75">
      <c r="M319" s="287"/>
      <c r="N319" s="287"/>
    </row>
    <row r="320" spans="13:14" ht="12.75">
      <c r="M320" s="287"/>
      <c r="N320" s="287"/>
    </row>
    <row r="321" spans="13:14" ht="12.75">
      <c r="M321" s="287"/>
      <c r="N321" s="287"/>
    </row>
    <row r="322" spans="13:14" ht="12.75">
      <c r="M322" s="287"/>
      <c r="N322" s="287"/>
    </row>
    <row r="323" spans="13:14" ht="12.75">
      <c r="M323" s="287"/>
      <c r="N323" s="287"/>
    </row>
    <row r="324" spans="13:14" ht="12.75">
      <c r="M324" s="287"/>
      <c r="N324" s="287"/>
    </row>
    <row r="325" spans="13:14" ht="12.75">
      <c r="M325" s="287"/>
      <c r="N325" s="287"/>
    </row>
    <row r="326" spans="13:14" ht="12.75">
      <c r="M326" s="287"/>
      <c r="N326" s="287"/>
    </row>
    <row r="327" spans="13:14" ht="12.75">
      <c r="M327" s="287"/>
      <c r="N327" s="287"/>
    </row>
    <row r="328" spans="13:14" ht="12.75">
      <c r="M328" s="287"/>
      <c r="N328" s="287"/>
    </row>
    <row r="329" spans="13:14" ht="12.75">
      <c r="M329" s="287"/>
      <c r="N329" s="287"/>
    </row>
    <row r="330" spans="13:14" ht="12.75">
      <c r="M330" s="287"/>
      <c r="N330" s="287"/>
    </row>
    <row r="331" spans="13:14" ht="12.75">
      <c r="M331" s="287"/>
      <c r="N331" s="287"/>
    </row>
    <row r="332" spans="13:14" ht="12.75">
      <c r="M332" s="287"/>
      <c r="N332" s="287"/>
    </row>
    <row r="333" spans="13:14" ht="12.75">
      <c r="M333" s="287"/>
      <c r="N333" s="287"/>
    </row>
    <row r="334" spans="13:14" ht="12.75">
      <c r="M334" s="287"/>
      <c r="N334" s="287"/>
    </row>
    <row r="335" spans="13:14" ht="12.75">
      <c r="M335" s="287"/>
      <c r="N335" s="287"/>
    </row>
    <row r="336" spans="13:14" ht="12.75">
      <c r="M336" s="287"/>
      <c r="N336" s="287"/>
    </row>
    <row r="337" spans="13:14" ht="12.75">
      <c r="M337" s="287"/>
      <c r="N337" s="287"/>
    </row>
    <row r="338" spans="13:14" ht="12.75">
      <c r="M338" s="287"/>
      <c r="N338" s="287"/>
    </row>
    <row r="339" spans="13:14" ht="12.75">
      <c r="M339" s="287"/>
      <c r="N339" s="287"/>
    </row>
    <row r="340" spans="13:14" ht="12.75">
      <c r="M340" s="287"/>
      <c r="N340" s="287"/>
    </row>
    <row r="341" spans="13:14" ht="12.75">
      <c r="M341" s="287"/>
      <c r="N341" s="287"/>
    </row>
    <row r="342" spans="13:14" ht="12.75">
      <c r="M342" s="287"/>
      <c r="N342" s="287"/>
    </row>
    <row r="343" spans="13:14" ht="12.75">
      <c r="M343" s="287"/>
      <c r="N343" s="287"/>
    </row>
    <row r="344" spans="13:14" ht="12.75">
      <c r="M344" s="287"/>
      <c r="N344" s="287"/>
    </row>
    <row r="345" spans="13:14" ht="12.75">
      <c r="M345" s="287"/>
      <c r="N345" s="287"/>
    </row>
    <row r="346" spans="13:14" ht="12.75">
      <c r="M346" s="287"/>
      <c r="N346" s="287"/>
    </row>
    <row r="347" spans="13:14" ht="12.75">
      <c r="M347" s="287"/>
      <c r="N347" s="287"/>
    </row>
    <row r="348" spans="13:14" ht="12.75">
      <c r="M348" s="287"/>
      <c r="N348" s="287"/>
    </row>
    <row r="349" spans="13:14" ht="12.75">
      <c r="M349" s="287"/>
      <c r="N349" s="287"/>
    </row>
    <row r="350" spans="13:14" ht="12.75">
      <c r="M350" s="287"/>
      <c r="N350" s="287"/>
    </row>
    <row r="351" spans="13:14" ht="12.75">
      <c r="M351" s="287"/>
      <c r="N351" s="287"/>
    </row>
    <row r="352" spans="13:14" ht="12.75">
      <c r="M352" s="287"/>
      <c r="N352" s="287"/>
    </row>
    <row r="353" spans="13:14" ht="12.75">
      <c r="M353" s="287"/>
      <c r="N353" s="287"/>
    </row>
    <row r="354" spans="13:14" ht="12.75">
      <c r="M354" s="287"/>
      <c r="N354" s="287"/>
    </row>
    <row r="355" spans="13:14" ht="12.75">
      <c r="M355" s="287"/>
      <c r="N355" s="287"/>
    </row>
    <row r="356" spans="13:14" ht="12.75">
      <c r="M356" s="287"/>
      <c r="N356" s="287"/>
    </row>
    <row r="357" spans="13:14" ht="12.75">
      <c r="M357" s="287"/>
      <c r="N357" s="287"/>
    </row>
    <row r="358" spans="13:14" ht="12.75">
      <c r="M358" s="287"/>
      <c r="N358" s="287"/>
    </row>
    <row r="359" spans="13:14" ht="12.75">
      <c r="M359" s="287"/>
      <c r="N359" s="287"/>
    </row>
    <row r="360" spans="13:14" ht="12.75">
      <c r="M360" s="287"/>
      <c r="N360" s="287"/>
    </row>
    <row r="361" spans="13:14" ht="12.75">
      <c r="M361" s="287"/>
      <c r="N361" s="287"/>
    </row>
    <row r="362" spans="13:14" ht="12.75">
      <c r="M362" s="287"/>
      <c r="N362" s="287"/>
    </row>
    <row r="363" spans="13:14" ht="12.75">
      <c r="M363" s="287"/>
      <c r="N363" s="287"/>
    </row>
    <row r="364" spans="13:14" ht="12.75">
      <c r="M364" s="287"/>
      <c r="N364" s="287"/>
    </row>
    <row r="365" spans="13:14" ht="12.75">
      <c r="M365" s="287"/>
      <c r="N365" s="287"/>
    </row>
    <row r="366" spans="13:14" ht="12.75">
      <c r="M366" s="287"/>
      <c r="N366" s="287"/>
    </row>
    <row r="367" spans="13:14" ht="12.75">
      <c r="M367" s="287"/>
      <c r="N367" s="287"/>
    </row>
    <row r="368" spans="13:14" ht="12.75">
      <c r="M368" s="287"/>
      <c r="N368" s="287"/>
    </row>
    <row r="369" spans="13:14" ht="12.75">
      <c r="M369" s="287"/>
      <c r="N369" s="287"/>
    </row>
    <row r="370" spans="13:14" ht="12.75">
      <c r="M370" s="287"/>
      <c r="N370" s="287"/>
    </row>
    <row r="371" spans="13:14" ht="12.75">
      <c r="M371" s="287"/>
      <c r="N371" s="287"/>
    </row>
    <row r="372" spans="13:14" ht="12.75">
      <c r="M372" s="287"/>
      <c r="N372" s="287"/>
    </row>
    <row r="373" spans="13:14" ht="12.75">
      <c r="M373" s="287"/>
      <c r="N373" s="287"/>
    </row>
    <row r="374" spans="13:14" ht="12.75">
      <c r="M374" s="287"/>
      <c r="N374" s="287"/>
    </row>
    <row r="375" spans="13:14" ht="12.75">
      <c r="M375" s="287"/>
      <c r="N375" s="287"/>
    </row>
    <row r="376" spans="13:14" ht="12.75">
      <c r="M376" s="287"/>
      <c r="N376" s="287"/>
    </row>
    <row r="377" spans="13:14" ht="12.75">
      <c r="M377" s="287"/>
      <c r="N377" s="287"/>
    </row>
    <row r="378" spans="13:14" ht="12.75">
      <c r="M378" s="287"/>
      <c r="N378" s="287"/>
    </row>
    <row r="379" spans="13:14" ht="12.75">
      <c r="M379" s="287"/>
      <c r="N379" s="287"/>
    </row>
    <row r="380" spans="13:14" ht="12.75">
      <c r="M380" s="287"/>
      <c r="N380" s="287"/>
    </row>
    <row r="381" spans="13:14" ht="12.75">
      <c r="M381" s="287"/>
      <c r="N381" s="287"/>
    </row>
    <row r="382" spans="13:14" ht="12.75">
      <c r="M382" s="287"/>
      <c r="N382" s="287"/>
    </row>
    <row r="383" spans="13:14" ht="12.75">
      <c r="M383" s="287"/>
      <c r="N383" s="287"/>
    </row>
    <row r="384" spans="13:14" ht="12.75">
      <c r="M384" s="287"/>
      <c r="N384" s="287"/>
    </row>
    <row r="385" spans="13:14" ht="12.75">
      <c r="M385" s="287"/>
      <c r="N385" s="287"/>
    </row>
    <row r="386" spans="13:14" ht="12.75">
      <c r="M386" s="287"/>
      <c r="N386" s="287"/>
    </row>
    <row r="387" spans="13:14" ht="12.75">
      <c r="M387" s="287"/>
      <c r="N387" s="287"/>
    </row>
    <row r="388" spans="13:14" ht="12.75">
      <c r="M388" s="287"/>
      <c r="N388" s="287"/>
    </row>
    <row r="389" spans="13:14" ht="12.75">
      <c r="M389" s="287"/>
      <c r="N389" s="287"/>
    </row>
    <row r="390" spans="13:14" ht="12.75">
      <c r="M390" s="287"/>
      <c r="N390" s="287"/>
    </row>
    <row r="391" spans="13:14" ht="12.75">
      <c r="M391" s="287"/>
      <c r="N391" s="287"/>
    </row>
    <row r="392" spans="13:14" ht="12.75">
      <c r="M392" s="287"/>
      <c r="N392" s="287"/>
    </row>
    <row r="393" spans="13:14" ht="12.75">
      <c r="M393" s="287"/>
      <c r="N393" s="287"/>
    </row>
    <row r="394" spans="13:14" ht="12.75">
      <c r="M394" s="287"/>
      <c r="N394" s="287"/>
    </row>
    <row r="395" spans="13:14" ht="12.75">
      <c r="M395" s="287"/>
      <c r="N395" s="287"/>
    </row>
    <row r="396" spans="13:14" ht="12.75">
      <c r="M396" s="287"/>
      <c r="N396" s="287"/>
    </row>
    <row r="397" spans="13:14" ht="12.75">
      <c r="M397" s="287"/>
      <c r="N397" s="287"/>
    </row>
    <row r="398" spans="13:14" ht="12.75">
      <c r="M398" s="287"/>
      <c r="N398" s="287"/>
    </row>
    <row r="399" spans="13:14" ht="12.75">
      <c r="M399" s="287"/>
      <c r="N399" s="287"/>
    </row>
    <row r="400" spans="13:14" ht="12.75">
      <c r="M400" s="287"/>
      <c r="N400" s="287"/>
    </row>
    <row r="401" spans="13:14" ht="12.75">
      <c r="M401" s="287"/>
      <c r="N401" s="287"/>
    </row>
    <row r="402" spans="13:14" ht="12.75">
      <c r="M402" s="287"/>
      <c r="N402" s="287"/>
    </row>
    <row r="403" spans="13:14" ht="12.75">
      <c r="M403" s="287"/>
      <c r="N403" s="287"/>
    </row>
    <row r="404" spans="13:14" ht="12.75">
      <c r="M404" s="287"/>
      <c r="N404" s="287"/>
    </row>
    <row r="405" spans="13:14" ht="12.75">
      <c r="M405" s="287"/>
      <c r="N405" s="287"/>
    </row>
    <row r="406" spans="13:14" ht="12.75">
      <c r="M406" s="287"/>
      <c r="N406" s="287"/>
    </row>
    <row r="407" spans="13:14" ht="12.75">
      <c r="M407" s="287"/>
      <c r="N407" s="287"/>
    </row>
    <row r="408" spans="13:14" ht="12.75">
      <c r="M408" s="287"/>
      <c r="N408" s="287"/>
    </row>
    <row r="409" spans="13:14" ht="12.75">
      <c r="M409" s="287"/>
      <c r="N409" s="287"/>
    </row>
    <row r="410" spans="13:14" ht="12.75">
      <c r="M410" s="287"/>
      <c r="N410" s="287"/>
    </row>
    <row r="411" spans="13:14" ht="12.75">
      <c r="M411" s="287"/>
      <c r="N411" s="287"/>
    </row>
    <row r="412" spans="13:14" ht="12.75">
      <c r="M412" s="287"/>
      <c r="N412" s="287"/>
    </row>
    <row r="413" spans="13:14" ht="12.75">
      <c r="M413" s="287"/>
      <c r="N413" s="287"/>
    </row>
    <row r="414" spans="13:14" ht="12.75">
      <c r="M414" s="287"/>
      <c r="N414" s="287"/>
    </row>
    <row r="415" spans="13:14" ht="12.75">
      <c r="M415" s="287"/>
      <c r="N415" s="287"/>
    </row>
    <row r="416" spans="13:14" ht="12.75">
      <c r="M416" s="287"/>
      <c r="N416" s="287"/>
    </row>
    <row r="417" spans="13:14" ht="12.75">
      <c r="M417" s="287"/>
      <c r="N417" s="287"/>
    </row>
    <row r="418" spans="13:14" ht="12.75">
      <c r="M418" s="287"/>
      <c r="N418" s="287"/>
    </row>
    <row r="419" spans="13:14" ht="12.75">
      <c r="M419" s="287"/>
      <c r="N419" s="287"/>
    </row>
    <row r="420" spans="13:14" ht="12.75">
      <c r="M420" s="287"/>
      <c r="N420" s="287"/>
    </row>
    <row r="421" spans="13:14" ht="12.75">
      <c r="M421" s="287"/>
      <c r="N421" s="287"/>
    </row>
    <row r="422" spans="13:14" ht="12.75">
      <c r="M422" s="287"/>
      <c r="N422" s="287"/>
    </row>
    <row r="423" spans="13:14" ht="12.75">
      <c r="M423" s="287"/>
      <c r="N423" s="287"/>
    </row>
    <row r="424" spans="13:14" ht="12.75">
      <c r="M424" s="287"/>
      <c r="N424" s="287"/>
    </row>
    <row r="425" spans="13:14" ht="12.75">
      <c r="M425" s="287"/>
      <c r="N425" s="287"/>
    </row>
    <row r="426" spans="13:14" ht="12.75">
      <c r="M426" s="287"/>
      <c r="N426" s="287"/>
    </row>
    <row r="427" spans="13:14" ht="12.75">
      <c r="M427" s="287"/>
      <c r="N427" s="287"/>
    </row>
    <row r="428" spans="13:14" ht="12.75">
      <c r="M428" s="287"/>
      <c r="N428" s="287"/>
    </row>
    <row r="429" spans="13:14" ht="12.75">
      <c r="M429" s="287"/>
      <c r="N429" s="287"/>
    </row>
    <row r="430" spans="13:14" ht="12.75">
      <c r="M430" s="287"/>
      <c r="N430" s="287"/>
    </row>
    <row r="431" spans="13:14" ht="12.75">
      <c r="M431" s="287"/>
      <c r="N431" s="287"/>
    </row>
    <row r="432" spans="13:14" ht="12.75">
      <c r="M432" s="287"/>
      <c r="N432" s="287"/>
    </row>
    <row r="433" spans="13:14" ht="12.75">
      <c r="M433" s="287"/>
      <c r="N433" s="287"/>
    </row>
    <row r="434" spans="13:14" ht="12.75">
      <c r="M434" s="287"/>
      <c r="N434" s="287"/>
    </row>
    <row r="435" spans="13:14" ht="12.75">
      <c r="M435" s="287"/>
      <c r="N435" s="287"/>
    </row>
    <row r="436" spans="13:14" ht="12.75">
      <c r="M436" s="287"/>
      <c r="N436" s="287"/>
    </row>
    <row r="437" spans="13:14" ht="12.75">
      <c r="M437" s="287"/>
      <c r="N437" s="287"/>
    </row>
    <row r="438" spans="13:14" ht="12.75">
      <c r="M438" s="287"/>
      <c r="N438" s="287"/>
    </row>
    <row r="439" spans="13:14" ht="12.75">
      <c r="M439" s="287"/>
      <c r="N439" s="287"/>
    </row>
    <row r="440" spans="13:14" ht="12.75">
      <c r="M440" s="287"/>
      <c r="N440" s="287"/>
    </row>
    <row r="441" spans="13:14" ht="12.75">
      <c r="M441" s="287"/>
      <c r="N441" s="287"/>
    </row>
    <row r="442" spans="13:14" ht="12.75">
      <c r="M442" s="287"/>
      <c r="N442" s="287"/>
    </row>
    <row r="443" spans="13:14" ht="12.75">
      <c r="M443" s="287"/>
      <c r="N443" s="287"/>
    </row>
    <row r="444" spans="13:14" ht="12.75">
      <c r="M444" s="287"/>
      <c r="N444" s="287"/>
    </row>
    <row r="445" spans="13:14" ht="12.75">
      <c r="M445" s="287"/>
      <c r="N445" s="287"/>
    </row>
    <row r="446" spans="13:14" ht="12.75">
      <c r="M446" s="287"/>
      <c r="N446" s="287"/>
    </row>
    <row r="447" spans="13:14" ht="12.75">
      <c r="M447" s="287"/>
      <c r="N447" s="287"/>
    </row>
    <row r="448" spans="13:14" ht="12.75">
      <c r="M448" s="287"/>
      <c r="N448" s="287"/>
    </row>
    <row r="449" spans="13:14" ht="12.75">
      <c r="M449" s="287"/>
      <c r="N449" s="287"/>
    </row>
    <row r="450" spans="13:14" ht="12.75">
      <c r="M450" s="287"/>
      <c r="N450" s="287"/>
    </row>
    <row r="451" spans="13:14" ht="12.75">
      <c r="M451" s="287"/>
      <c r="N451" s="287"/>
    </row>
    <row r="452" spans="13:14" ht="12.75">
      <c r="M452" s="287"/>
      <c r="N452" s="287"/>
    </row>
    <row r="453" spans="13:14" ht="12.75">
      <c r="M453" s="287"/>
      <c r="N453" s="287"/>
    </row>
    <row r="454" spans="13:14" ht="12.75">
      <c r="M454" s="287"/>
      <c r="N454" s="287"/>
    </row>
    <row r="455" spans="13:14" ht="12.75">
      <c r="M455" s="287"/>
      <c r="N455" s="287"/>
    </row>
    <row r="456" spans="13:14" ht="12.75">
      <c r="M456" s="287"/>
      <c r="N456" s="287"/>
    </row>
    <row r="457" spans="13:14" ht="12.75">
      <c r="M457" s="287"/>
      <c r="N457" s="287"/>
    </row>
    <row r="458" spans="13:14" ht="12.75">
      <c r="M458" s="287"/>
      <c r="N458" s="287"/>
    </row>
    <row r="459" spans="13:14" ht="12.75">
      <c r="M459" s="287"/>
      <c r="N459" s="287"/>
    </row>
    <row r="460" spans="13:14" ht="12.75">
      <c r="M460" s="287"/>
      <c r="N460" s="287"/>
    </row>
    <row r="461" spans="13:14" ht="12.75">
      <c r="M461" s="287"/>
      <c r="N461" s="287"/>
    </row>
    <row r="462" spans="13:14" ht="12.75">
      <c r="M462" s="287"/>
      <c r="N462" s="287"/>
    </row>
    <row r="463" spans="13:14" ht="12.75">
      <c r="M463" s="287"/>
      <c r="N463" s="287"/>
    </row>
    <row r="464" spans="13:14" ht="12.75">
      <c r="M464" s="287"/>
      <c r="N464" s="287"/>
    </row>
    <row r="465" spans="13:14" ht="12.75">
      <c r="M465" s="287"/>
      <c r="N465" s="287"/>
    </row>
    <row r="466" spans="13:14" ht="12.75">
      <c r="M466" s="287"/>
      <c r="N466" s="287"/>
    </row>
    <row r="467" spans="13:14" ht="12.75">
      <c r="M467" s="287"/>
      <c r="N467" s="287"/>
    </row>
    <row r="468" spans="13:14" ht="12.75">
      <c r="M468" s="287"/>
      <c r="N468" s="287"/>
    </row>
    <row r="469" spans="13:14" ht="12.75">
      <c r="M469" s="287"/>
      <c r="N469" s="287"/>
    </row>
    <row r="470" spans="13:14" ht="12.75">
      <c r="M470" s="287"/>
      <c r="N470" s="287"/>
    </row>
    <row r="471" spans="13:14" ht="12.75">
      <c r="M471" s="287"/>
      <c r="N471" s="287"/>
    </row>
    <row r="472" spans="13:14" ht="12.75">
      <c r="M472" s="287"/>
      <c r="N472" s="287"/>
    </row>
    <row r="473" spans="13:14" ht="12.75">
      <c r="M473" s="287"/>
      <c r="N473" s="287"/>
    </row>
    <row r="474" spans="13:14" ht="12.75">
      <c r="M474" s="287"/>
      <c r="N474" s="287"/>
    </row>
    <row r="475" spans="13:14" ht="12.75">
      <c r="M475" s="287"/>
      <c r="N475" s="287"/>
    </row>
    <row r="476" spans="13:14" ht="12.75">
      <c r="M476" s="287"/>
      <c r="N476" s="287"/>
    </row>
    <row r="477" spans="13:14" ht="12.75">
      <c r="M477" s="287"/>
      <c r="N477" s="287"/>
    </row>
    <row r="478" spans="13:14" ht="12.75">
      <c r="M478" s="287"/>
      <c r="N478" s="287"/>
    </row>
    <row r="479" spans="13:14" ht="12.75">
      <c r="M479" s="287"/>
      <c r="N479" s="287"/>
    </row>
    <row r="480" spans="13:14" ht="12.75">
      <c r="M480" s="287"/>
      <c r="N480" s="287"/>
    </row>
    <row r="481" spans="13:14" ht="12.75">
      <c r="M481" s="287"/>
      <c r="N481" s="287"/>
    </row>
    <row r="482" spans="13:14" ht="12.75">
      <c r="M482" s="287"/>
      <c r="N482" s="287"/>
    </row>
    <row r="483" spans="13:14" ht="12.75">
      <c r="M483" s="287"/>
      <c r="N483" s="287"/>
    </row>
    <row r="484" spans="13:14" ht="12.75">
      <c r="M484" s="287"/>
      <c r="N484" s="287"/>
    </row>
    <row r="485" spans="13:14" ht="12.75">
      <c r="M485" s="287"/>
      <c r="N485" s="287"/>
    </row>
    <row r="486" spans="13:14" ht="12.75">
      <c r="M486" s="287"/>
      <c r="N486" s="287"/>
    </row>
    <row r="487" spans="13:14" ht="12.75">
      <c r="M487" s="287"/>
      <c r="N487" s="287"/>
    </row>
    <row r="488" spans="13:14" ht="12.75">
      <c r="M488" s="287"/>
      <c r="N488" s="287"/>
    </row>
    <row r="489" spans="13:14" ht="12.75">
      <c r="M489" s="287"/>
      <c r="N489" s="287"/>
    </row>
    <row r="490" spans="13:14" ht="12.75">
      <c r="M490" s="287"/>
      <c r="N490" s="287"/>
    </row>
    <row r="491" spans="13:14" ht="12.75">
      <c r="M491" s="287"/>
      <c r="N491" s="287"/>
    </row>
    <row r="492" spans="13:14" ht="12.75">
      <c r="M492" s="287"/>
      <c r="N492" s="287"/>
    </row>
    <row r="493" spans="13:14" ht="12.75">
      <c r="M493" s="287"/>
      <c r="N493" s="287"/>
    </row>
    <row r="494" spans="13:14" ht="12.75">
      <c r="M494" s="287"/>
      <c r="N494" s="287"/>
    </row>
    <row r="495" spans="13:14" ht="12.75">
      <c r="M495" s="287"/>
      <c r="N495" s="287"/>
    </row>
    <row r="496" spans="13:14" ht="12.75">
      <c r="M496" s="287"/>
      <c r="N496" s="287"/>
    </row>
    <row r="497" spans="13:14" ht="12.75">
      <c r="M497" s="287"/>
      <c r="N497" s="287"/>
    </row>
    <row r="498" spans="13:14" ht="12.75">
      <c r="M498" s="287"/>
      <c r="N498" s="287"/>
    </row>
    <row r="499" spans="13:14" ht="12.75">
      <c r="M499" s="287"/>
      <c r="N499" s="287"/>
    </row>
    <row r="500" spans="13:14" ht="12.75">
      <c r="M500" s="287"/>
      <c r="N500" s="287"/>
    </row>
    <row r="501" spans="13:14" ht="12.75">
      <c r="M501" s="287"/>
      <c r="N501" s="287"/>
    </row>
    <row r="502" spans="13:14" ht="12.75">
      <c r="M502" s="287"/>
      <c r="N502" s="287"/>
    </row>
    <row r="503" spans="13:14" ht="12.75">
      <c r="M503" s="287"/>
      <c r="N503" s="287"/>
    </row>
    <row r="504" spans="13:14" ht="12.75">
      <c r="M504" s="287"/>
      <c r="N504" s="287"/>
    </row>
    <row r="505" spans="13:14" ht="12.75">
      <c r="M505" s="287"/>
      <c r="N505" s="287"/>
    </row>
    <row r="506" spans="13:14" ht="12.75">
      <c r="M506" s="287"/>
      <c r="N506" s="287"/>
    </row>
    <row r="507" spans="13:14" ht="12.75">
      <c r="M507" s="287"/>
      <c r="N507" s="287"/>
    </row>
    <row r="508" spans="13:14" ht="12.75">
      <c r="M508" s="287"/>
      <c r="N508" s="287"/>
    </row>
    <row r="509" spans="13:14" ht="12.75">
      <c r="M509" s="287"/>
      <c r="N509" s="287"/>
    </row>
    <row r="510" spans="13:14" ht="12.75">
      <c r="M510" s="287"/>
      <c r="N510" s="287"/>
    </row>
    <row r="511" spans="13:14" ht="12.75">
      <c r="M511" s="287"/>
      <c r="N511" s="287"/>
    </row>
    <row r="512" spans="13:14" ht="12.75">
      <c r="M512" s="287"/>
      <c r="N512" s="287"/>
    </row>
    <row r="513" spans="13:14" ht="12.75">
      <c r="M513" s="287"/>
      <c r="N513" s="287"/>
    </row>
    <row r="514" spans="13:14" ht="12.75">
      <c r="M514" s="287"/>
      <c r="N514" s="287"/>
    </row>
    <row r="515" spans="13:14" ht="12.75">
      <c r="M515" s="287"/>
      <c r="N515" s="287"/>
    </row>
    <row r="516" spans="13:14" ht="12.75">
      <c r="M516" s="287"/>
      <c r="N516" s="287"/>
    </row>
    <row r="517" spans="13:14" ht="12.75">
      <c r="M517" s="287"/>
      <c r="N517" s="287"/>
    </row>
    <row r="518" spans="13:14" ht="12.75">
      <c r="M518" s="287"/>
      <c r="N518" s="287"/>
    </row>
    <row r="519" spans="13:14" ht="12.75">
      <c r="M519" s="287"/>
      <c r="N519" s="287"/>
    </row>
    <row r="520" spans="13:14" ht="12.75">
      <c r="M520" s="287"/>
      <c r="N520" s="287"/>
    </row>
    <row r="521" spans="13:14" ht="12.75">
      <c r="M521" s="287"/>
      <c r="N521" s="287"/>
    </row>
    <row r="522" spans="13:14" ht="12.75">
      <c r="M522" s="287"/>
      <c r="N522" s="287"/>
    </row>
    <row r="523" spans="13:14" ht="12.75">
      <c r="M523" s="287"/>
      <c r="N523" s="287"/>
    </row>
    <row r="524" spans="13:14" ht="12.75">
      <c r="M524" s="287"/>
      <c r="N524" s="287"/>
    </row>
    <row r="525" spans="13:14" ht="12.75">
      <c r="M525" s="287"/>
      <c r="N525" s="287"/>
    </row>
    <row r="526" spans="13:14" ht="12.75">
      <c r="M526" s="287"/>
      <c r="N526" s="287"/>
    </row>
    <row r="527" spans="13:14" ht="12.75">
      <c r="M527" s="287"/>
      <c r="N527" s="287"/>
    </row>
    <row r="528" spans="13:14" ht="12.75">
      <c r="M528" s="287"/>
      <c r="N528" s="287"/>
    </row>
    <row r="529" spans="13:14" ht="12.75">
      <c r="M529" s="287"/>
      <c r="N529" s="287"/>
    </row>
    <row r="530" spans="13:14" ht="12.75">
      <c r="M530" s="287"/>
      <c r="N530" s="287"/>
    </row>
    <row r="531" spans="13:14" ht="12.75">
      <c r="M531" s="287"/>
      <c r="N531" s="287"/>
    </row>
    <row r="532" spans="13:14" ht="12.75">
      <c r="M532" s="287"/>
      <c r="N532" s="287"/>
    </row>
    <row r="533" spans="13:14" ht="12.75">
      <c r="M533" s="287"/>
      <c r="N533" s="287"/>
    </row>
    <row r="534" spans="13:14" ht="12.75">
      <c r="M534" s="287"/>
      <c r="N534" s="287"/>
    </row>
    <row r="535" spans="13:14" ht="12.75">
      <c r="M535" s="287"/>
      <c r="N535" s="287"/>
    </row>
    <row r="536" spans="13:14" ht="12.75">
      <c r="M536" s="287"/>
      <c r="N536" s="287"/>
    </row>
    <row r="537" spans="13:14" ht="12.75">
      <c r="M537" s="287"/>
      <c r="N537" s="287"/>
    </row>
    <row r="538" spans="13:14" ht="12.75">
      <c r="M538" s="287"/>
      <c r="N538" s="287"/>
    </row>
    <row r="539" spans="13:14" ht="12.75">
      <c r="M539" s="287"/>
      <c r="N539" s="287"/>
    </row>
    <row r="540" spans="13:14" ht="12.75">
      <c r="M540" s="287"/>
      <c r="N540" s="287"/>
    </row>
    <row r="541" spans="13:14" ht="12.75">
      <c r="M541" s="287"/>
      <c r="N541" s="287"/>
    </row>
    <row r="542" spans="13:14" ht="12.75">
      <c r="M542" s="287"/>
      <c r="N542" s="287"/>
    </row>
    <row r="543" spans="13:14" ht="12.75">
      <c r="M543" s="287"/>
      <c r="N543" s="287"/>
    </row>
    <row r="544" spans="13:14" ht="12.75">
      <c r="M544" s="287"/>
      <c r="N544" s="287"/>
    </row>
    <row r="545" spans="13:14" ht="12.75">
      <c r="M545" s="287"/>
      <c r="N545" s="287"/>
    </row>
    <row r="546" spans="13:14" ht="12.75">
      <c r="M546" s="287"/>
      <c r="N546" s="287"/>
    </row>
    <row r="547" spans="13:14" ht="12.75">
      <c r="M547" s="287"/>
      <c r="N547" s="287"/>
    </row>
    <row r="548" spans="13:14" ht="12.75">
      <c r="M548" s="287"/>
      <c r="N548" s="287"/>
    </row>
    <row r="549" spans="13:14" ht="12.75">
      <c r="M549" s="287"/>
      <c r="N549" s="287"/>
    </row>
    <row r="550" spans="13:14" ht="12.75">
      <c r="M550" s="287"/>
      <c r="N550" s="287"/>
    </row>
    <row r="551" spans="13:14" ht="12.75">
      <c r="M551" s="287"/>
      <c r="N551" s="287"/>
    </row>
    <row r="552" spans="13:14" ht="12.75">
      <c r="M552" s="287"/>
      <c r="N552" s="287"/>
    </row>
    <row r="553" spans="13:14" ht="12.75">
      <c r="M553" s="287"/>
      <c r="N553" s="287"/>
    </row>
    <row r="554" spans="13:14" ht="12.75">
      <c r="M554" s="287"/>
      <c r="N554" s="287"/>
    </row>
    <row r="555" spans="13:14" ht="12.75">
      <c r="M555" s="287"/>
      <c r="N555" s="287"/>
    </row>
    <row r="556" spans="13:14" ht="12.75">
      <c r="M556" s="287"/>
      <c r="N556" s="287"/>
    </row>
    <row r="557" spans="13:14" ht="12.75">
      <c r="M557" s="287"/>
      <c r="N557" s="287"/>
    </row>
    <row r="558" spans="13:14" ht="12.75">
      <c r="M558" s="287"/>
      <c r="N558" s="287"/>
    </row>
    <row r="559" spans="13:14" ht="12.75">
      <c r="M559" s="287"/>
      <c r="N559" s="287"/>
    </row>
    <row r="560" spans="13:14" ht="12.75">
      <c r="M560" s="287"/>
      <c r="N560" s="287"/>
    </row>
    <row r="561" spans="13:14" ht="12.75">
      <c r="M561" s="287"/>
      <c r="N561" s="287"/>
    </row>
    <row r="562" spans="13:14" ht="12.75">
      <c r="M562" s="287"/>
      <c r="N562" s="287"/>
    </row>
    <row r="563" spans="13:14" ht="12.75">
      <c r="M563" s="287"/>
      <c r="N563" s="287"/>
    </row>
    <row r="564" spans="13:14" ht="12.75">
      <c r="M564" s="287"/>
      <c r="N564" s="287"/>
    </row>
    <row r="565" spans="13:14" ht="12.75">
      <c r="M565" s="287"/>
      <c r="N565" s="287"/>
    </row>
    <row r="566" spans="13:14" ht="12.75">
      <c r="M566" s="287"/>
      <c r="N566" s="287"/>
    </row>
    <row r="567" spans="13:14" ht="12.75">
      <c r="M567" s="287"/>
      <c r="N567" s="287"/>
    </row>
    <row r="568" spans="13:14" ht="12.75">
      <c r="M568" s="287"/>
      <c r="N568" s="287"/>
    </row>
    <row r="569" spans="13:14" ht="12.75">
      <c r="M569" s="287"/>
      <c r="N569" s="287"/>
    </row>
    <row r="570" spans="13:14" ht="12.75">
      <c r="M570" s="287"/>
      <c r="N570" s="287"/>
    </row>
    <row r="571" spans="13:14" ht="12.75">
      <c r="M571" s="287"/>
      <c r="N571" s="287"/>
    </row>
    <row r="572" spans="13:14" ht="12.75">
      <c r="M572" s="287"/>
      <c r="N572" s="287"/>
    </row>
    <row r="573" spans="13:14" ht="12.75">
      <c r="M573" s="287"/>
      <c r="N573" s="287"/>
    </row>
    <row r="574" spans="13:14" ht="12.75">
      <c r="M574" s="287"/>
      <c r="N574" s="287"/>
    </row>
    <row r="575" spans="13:14" ht="12.75">
      <c r="M575" s="287"/>
      <c r="N575" s="287"/>
    </row>
    <row r="576" spans="13:14" ht="12.75">
      <c r="M576" s="287"/>
      <c r="N576" s="287"/>
    </row>
    <row r="577" spans="13:14" ht="12.75">
      <c r="M577" s="287"/>
      <c r="N577" s="287"/>
    </row>
    <row r="578" spans="13:14" ht="12.75">
      <c r="M578" s="287"/>
      <c r="N578" s="287"/>
    </row>
    <row r="579" spans="13:14" ht="12.75">
      <c r="M579" s="287"/>
      <c r="N579" s="287"/>
    </row>
    <row r="580" spans="13:14" ht="12.75">
      <c r="M580" s="287"/>
      <c r="N580" s="287"/>
    </row>
    <row r="581" spans="13:14" ht="12.75">
      <c r="M581" s="287"/>
      <c r="N581" s="287"/>
    </row>
    <row r="582" spans="13:14" ht="12.75">
      <c r="M582" s="287"/>
      <c r="N582" s="287"/>
    </row>
    <row r="583" spans="13:14" ht="12.75">
      <c r="M583" s="287"/>
      <c r="N583" s="287"/>
    </row>
    <row r="584" spans="13:14" ht="12.75">
      <c r="M584" s="287"/>
      <c r="N584" s="287"/>
    </row>
    <row r="585" spans="13:14" ht="12.75">
      <c r="M585" s="287"/>
      <c r="N585" s="287"/>
    </row>
    <row r="586" spans="13:14" ht="12.75">
      <c r="M586" s="287"/>
      <c r="N586" s="287"/>
    </row>
    <row r="587" spans="13:14" ht="12.75">
      <c r="M587" s="287"/>
      <c r="N587" s="287"/>
    </row>
    <row r="588" spans="13:14" ht="12.75">
      <c r="M588" s="287"/>
      <c r="N588" s="287"/>
    </row>
    <row r="589" spans="13:14" ht="12.75">
      <c r="M589" s="287"/>
      <c r="N589" s="287"/>
    </row>
    <row r="590" spans="13:14" ht="12.75">
      <c r="M590" s="287"/>
      <c r="N590" s="287"/>
    </row>
    <row r="591" spans="13:14" ht="12.75">
      <c r="M591" s="287"/>
      <c r="N591" s="287"/>
    </row>
    <row r="592" spans="13:14" ht="12.75">
      <c r="M592" s="287"/>
      <c r="N592" s="287"/>
    </row>
    <row r="593" spans="13:14" ht="12.75">
      <c r="M593" s="287"/>
      <c r="N593" s="287"/>
    </row>
    <row r="594" spans="13:14" ht="12.75">
      <c r="M594" s="287"/>
      <c r="N594" s="287"/>
    </row>
    <row r="595" spans="13:14" ht="12.75">
      <c r="M595" s="287"/>
      <c r="N595" s="287"/>
    </row>
    <row r="596" spans="13:14" ht="12.75">
      <c r="M596" s="287"/>
      <c r="N596" s="287"/>
    </row>
    <row r="597" spans="13:14" ht="12.75">
      <c r="M597" s="287"/>
      <c r="N597" s="287"/>
    </row>
    <row r="598" spans="13:14" ht="12.75">
      <c r="M598" s="287"/>
      <c r="N598" s="287"/>
    </row>
    <row r="599" spans="13:14" ht="12.75">
      <c r="M599" s="287"/>
      <c r="N599" s="287"/>
    </row>
    <row r="600" spans="13:14" ht="12.75">
      <c r="M600" s="287"/>
      <c r="N600" s="287"/>
    </row>
    <row r="601" spans="13:14" ht="12.75">
      <c r="M601" s="287"/>
      <c r="N601" s="287"/>
    </row>
    <row r="602" spans="13:14" ht="12.75">
      <c r="M602" s="287"/>
      <c r="N602" s="287"/>
    </row>
    <row r="603" spans="13:14" ht="12.75">
      <c r="M603" s="287"/>
      <c r="N603" s="287"/>
    </row>
    <row r="604" spans="13:14" ht="12.75">
      <c r="M604" s="287"/>
      <c r="N604" s="287"/>
    </row>
    <row r="605" spans="13:14" ht="12.75">
      <c r="M605" s="287"/>
      <c r="N605" s="287"/>
    </row>
    <row r="606" spans="13:14" ht="12.75">
      <c r="M606" s="287"/>
      <c r="N606" s="287"/>
    </row>
    <row r="607" spans="13:14" ht="12.75">
      <c r="M607" s="287"/>
      <c r="N607" s="287"/>
    </row>
    <row r="608" spans="13:14" ht="12.75">
      <c r="M608" s="287"/>
      <c r="N608" s="287"/>
    </row>
    <row r="609" spans="13:14" ht="12.75">
      <c r="M609" s="287"/>
      <c r="N609" s="287"/>
    </row>
    <row r="610" spans="13:14" ht="12.75">
      <c r="M610" s="287"/>
      <c r="N610" s="287"/>
    </row>
    <row r="611" spans="13:14" ht="12.75">
      <c r="M611" s="287"/>
      <c r="N611" s="287"/>
    </row>
    <row r="612" spans="13:14" ht="12.75">
      <c r="M612" s="287"/>
      <c r="N612" s="287"/>
    </row>
    <row r="613" spans="13:14" ht="12.75">
      <c r="M613" s="287"/>
      <c r="N613" s="287"/>
    </row>
    <row r="614" spans="13:14" ht="12.75">
      <c r="M614" s="287"/>
      <c r="N614" s="287"/>
    </row>
    <row r="615" spans="13:14" ht="12.75">
      <c r="M615" s="287"/>
      <c r="N615" s="287"/>
    </row>
    <row r="616" spans="13:14" ht="12.75">
      <c r="M616" s="287"/>
      <c r="N616" s="287"/>
    </row>
    <row r="617" spans="13:14" ht="12.75">
      <c r="M617" s="287"/>
      <c r="N617" s="287"/>
    </row>
    <row r="618" spans="13:14" ht="12.75">
      <c r="M618" s="287"/>
      <c r="N618" s="287"/>
    </row>
    <row r="619" spans="13:14" ht="12.75">
      <c r="M619" s="287"/>
      <c r="N619" s="287"/>
    </row>
    <row r="620" spans="13:14" ht="12.75">
      <c r="M620" s="287"/>
      <c r="N620" s="287"/>
    </row>
    <row r="621" spans="13:14" ht="12.75">
      <c r="M621" s="287"/>
      <c r="N621" s="287"/>
    </row>
    <row r="622" spans="13:14" ht="12.75">
      <c r="M622" s="287"/>
      <c r="N622" s="287"/>
    </row>
    <row r="623" spans="13:14" ht="12.75">
      <c r="M623" s="287"/>
      <c r="N623" s="287"/>
    </row>
    <row r="624" spans="13:14" ht="12.75">
      <c r="M624" s="287"/>
      <c r="N624" s="287"/>
    </row>
    <row r="625" spans="13:14" ht="12.75">
      <c r="M625" s="287"/>
      <c r="N625" s="287"/>
    </row>
    <row r="626" spans="13:14" ht="12.75">
      <c r="M626" s="287"/>
      <c r="N626" s="287"/>
    </row>
    <row r="627" spans="13:14" ht="12.75">
      <c r="M627" s="287"/>
      <c r="N627" s="287"/>
    </row>
    <row r="628" spans="13:14" ht="12.75">
      <c r="M628" s="287"/>
      <c r="N628" s="287"/>
    </row>
    <row r="629" spans="13:14" ht="12.75">
      <c r="M629" s="287"/>
      <c r="N629" s="287"/>
    </row>
    <row r="630" spans="13:14" ht="12.75">
      <c r="M630" s="287"/>
      <c r="N630" s="287"/>
    </row>
    <row r="631" spans="13:14" ht="12.75">
      <c r="M631" s="287"/>
      <c r="N631" s="287"/>
    </row>
    <row r="632" spans="13:14" ht="12.75">
      <c r="M632" s="287"/>
      <c r="N632" s="287"/>
    </row>
    <row r="633" spans="13:14" ht="12.75">
      <c r="M633" s="287"/>
      <c r="N633" s="287"/>
    </row>
    <row r="634" spans="13:14" ht="12.75">
      <c r="M634" s="287"/>
      <c r="N634" s="287"/>
    </row>
    <row r="635" spans="13:14" ht="12.75">
      <c r="M635" s="287"/>
      <c r="N635" s="287"/>
    </row>
    <row r="636" spans="13:14" ht="12.75">
      <c r="M636" s="287"/>
      <c r="N636" s="287"/>
    </row>
    <row r="637" spans="13:14" ht="12.75">
      <c r="M637" s="287"/>
      <c r="N637" s="287"/>
    </row>
    <row r="638" spans="13:14" ht="12.75">
      <c r="M638" s="287"/>
      <c r="N638" s="287"/>
    </row>
    <row r="639" spans="13:14" ht="12.75">
      <c r="M639" s="287"/>
      <c r="N639" s="287"/>
    </row>
    <row r="640" spans="13:14" ht="12.75">
      <c r="M640" s="287"/>
      <c r="N640" s="287"/>
    </row>
    <row r="641" spans="13:14" ht="12.75">
      <c r="M641" s="287"/>
      <c r="N641" s="287"/>
    </row>
    <row r="642" spans="13:14" ht="12.75">
      <c r="M642" s="287"/>
      <c r="N642" s="287"/>
    </row>
    <row r="643" spans="13:14" ht="12.75">
      <c r="M643" s="287"/>
      <c r="N643" s="287"/>
    </row>
    <row r="644" spans="13:14" ht="12.75">
      <c r="M644" s="287"/>
      <c r="N644" s="287"/>
    </row>
    <row r="645" spans="13:14" ht="12.75">
      <c r="M645" s="287"/>
      <c r="N645" s="287"/>
    </row>
    <row r="646" spans="13:14" ht="12.75">
      <c r="M646" s="287"/>
      <c r="N646" s="287"/>
    </row>
    <row r="647" spans="13:14" ht="12.75">
      <c r="M647" s="287"/>
      <c r="N647" s="287"/>
    </row>
    <row r="648" spans="13:14" ht="12.75">
      <c r="M648" s="287"/>
      <c r="N648" s="287"/>
    </row>
    <row r="649" spans="13:14" ht="12.75">
      <c r="M649" s="287"/>
      <c r="N649" s="287"/>
    </row>
    <row r="650" spans="13:14" ht="12.75">
      <c r="M650" s="287"/>
      <c r="N650" s="287"/>
    </row>
    <row r="651" spans="13:14" ht="12.75">
      <c r="M651" s="287"/>
      <c r="N651" s="287"/>
    </row>
    <row r="652" spans="13:14" ht="12.75">
      <c r="M652" s="287"/>
      <c r="N652" s="287"/>
    </row>
    <row r="653" spans="13:14" ht="12.75">
      <c r="M653" s="287"/>
      <c r="N653" s="287"/>
    </row>
    <row r="654" spans="13:14" ht="12.75">
      <c r="M654" s="287"/>
      <c r="N654" s="287"/>
    </row>
    <row r="655" spans="13:14" ht="12.75">
      <c r="M655" s="287"/>
      <c r="N655" s="287"/>
    </row>
    <row r="656" spans="13:14" ht="12.75">
      <c r="M656" s="287"/>
      <c r="N656" s="287"/>
    </row>
    <row r="657" spans="13:14" ht="12.75">
      <c r="M657" s="287"/>
      <c r="N657" s="287"/>
    </row>
    <row r="658" spans="13:14" ht="12.75">
      <c r="M658" s="287"/>
      <c r="N658" s="287"/>
    </row>
    <row r="659" spans="13:14" ht="12.75">
      <c r="M659" s="287"/>
      <c r="N659" s="287"/>
    </row>
    <row r="660" spans="13:14" ht="12.75">
      <c r="M660" s="287"/>
      <c r="N660" s="287"/>
    </row>
    <row r="661" spans="13:14" ht="12.75">
      <c r="M661" s="287"/>
      <c r="N661" s="287"/>
    </row>
    <row r="662" spans="13:14" ht="12.75">
      <c r="M662" s="287"/>
      <c r="N662" s="287"/>
    </row>
    <row r="663" spans="13:14" ht="12.75">
      <c r="M663" s="287"/>
      <c r="N663" s="287"/>
    </row>
    <row r="664" spans="13:14" ht="12.75">
      <c r="M664" s="287"/>
      <c r="N664" s="287"/>
    </row>
    <row r="665" spans="13:14" ht="12.75">
      <c r="M665" s="287"/>
      <c r="N665" s="287"/>
    </row>
    <row r="666" spans="13:14" ht="12.75">
      <c r="M666" s="287"/>
      <c r="N666" s="287"/>
    </row>
    <row r="667" spans="13:14" ht="12.75">
      <c r="M667" s="287"/>
      <c r="N667" s="287"/>
    </row>
    <row r="668" spans="13:14" ht="12.75">
      <c r="M668" s="287"/>
      <c r="N668" s="287"/>
    </row>
    <row r="669" spans="13:14" ht="12.75">
      <c r="M669" s="287"/>
      <c r="N669" s="287"/>
    </row>
    <row r="670" spans="13:14" ht="12.75">
      <c r="M670" s="287"/>
      <c r="N670" s="287"/>
    </row>
    <row r="671" spans="13:14" ht="12.75">
      <c r="M671" s="287"/>
      <c r="N671" s="287"/>
    </row>
    <row r="672" spans="13:14" ht="12.75">
      <c r="M672" s="287"/>
      <c r="N672" s="287"/>
    </row>
    <row r="673" spans="13:14" ht="12.75">
      <c r="M673" s="287"/>
      <c r="N673" s="287"/>
    </row>
    <row r="674" spans="13:14" ht="12.75">
      <c r="M674" s="287"/>
      <c r="N674" s="287"/>
    </row>
    <row r="675" spans="13:14" ht="12.75">
      <c r="M675" s="287"/>
      <c r="N675" s="287"/>
    </row>
    <row r="676" spans="13:14" ht="12.75">
      <c r="M676" s="287"/>
      <c r="N676" s="287"/>
    </row>
    <row r="677" spans="13:14" ht="12.75">
      <c r="M677" s="287"/>
      <c r="N677" s="287"/>
    </row>
    <row r="678" spans="13:14" ht="12.75">
      <c r="M678" s="287"/>
      <c r="N678" s="287"/>
    </row>
    <row r="679" spans="13:14" ht="12.75">
      <c r="M679" s="287"/>
      <c r="N679" s="287"/>
    </row>
    <row r="680" spans="13:14" ht="12.75">
      <c r="M680" s="287"/>
      <c r="N680" s="287"/>
    </row>
    <row r="681" spans="13:14" ht="12.75">
      <c r="M681" s="287"/>
      <c r="N681" s="287"/>
    </row>
    <row r="682" spans="13:14" ht="12.75">
      <c r="M682" s="287"/>
      <c r="N682" s="287"/>
    </row>
    <row r="683" spans="13:14" ht="12.75">
      <c r="M683" s="287"/>
      <c r="N683" s="287"/>
    </row>
    <row r="684" spans="13:14" ht="12.75">
      <c r="M684" s="287"/>
      <c r="N684" s="287"/>
    </row>
    <row r="685" spans="13:14" ht="12.75">
      <c r="M685" s="287"/>
      <c r="N685" s="287"/>
    </row>
    <row r="686" spans="13:14" ht="12.75">
      <c r="M686" s="287"/>
      <c r="N686" s="287"/>
    </row>
    <row r="687" spans="13:14" ht="12.75">
      <c r="M687" s="287"/>
      <c r="N687" s="287"/>
    </row>
    <row r="688" spans="13:14" ht="12.75">
      <c r="M688" s="287"/>
      <c r="N688" s="287"/>
    </row>
    <row r="689" spans="13:14" ht="12.75">
      <c r="M689" s="287"/>
      <c r="N689" s="287"/>
    </row>
    <row r="690" spans="13:14" ht="12.75">
      <c r="M690" s="287"/>
      <c r="N690" s="287"/>
    </row>
    <row r="691" spans="13:14" ht="12.75">
      <c r="M691" s="287"/>
      <c r="N691" s="287"/>
    </row>
    <row r="692" spans="13:14" ht="12.75">
      <c r="M692" s="287"/>
      <c r="N692" s="287"/>
    </row>
    <row r="693" spans="13:14" ht="12.75">
      <c r="M693" s="287"/>
      <c r="N693" s="287"/>
    </row>
    <row r="694" spans="13:14" ht="12.75">
      <c r="M694" s="287"/>
      <c r="N694" s="287"/>
    </row>
    <row r="695" spans="13:14" ht="12.75">
      <c r="M695" s="287"/>
      <c r="N695" s="287"/>
    </row>
    <row r="696" spans="13:14" ht="12.75">
      <c r="M696" s="287"/>
      <c r="N696" s="287"/>
    </row>
    <row r="697" spans="13:14" ht="12.75">
      <c r="M697" s="287"/>
      <c r="N697" s="287"/>
    </row>
    <row r="698" spans="13:14" ht="12.75">
      <c r="M698" s="287"/>
      <c r="N698" s="287"/>
    </row>
    <row r="699" spans="13:14" ht="12.75">
      <c r="M699" s="287"/>
      <c r="N699" s="287"/>
    </row>
    <row r="700" spans="13:14" ht="12.75">
      <c r="M700" s="287"/>
      <c r="N700" s="287"/>
    </row>
    <row r="701" spans="13:14" ht="12.75">
      <c r="M701" s="287"/>
      <c r="N701" s="287"/>
    </row>
    <row r="702" spans="13:14" ht="12.75">
      <c r="M702" s="287"/>
      <c r="N702" s="287"/>
    </row>
    <row r="703" spans="13:14" ht="12.75">
      <c r="M703" s="287"/>
      <c r="N703" s="287"/>
    </row>
    <row r="704" spans="13:14" ht="12.75">
      <c r="M704" s="287"/>
      <c r="N704" s="287"/>
    </row>
    <row r="705" spans="13:14" ht="12.75">
      <c r="M705" s="287"/>
      <c r="N705" s="287"/>
    </row>
    <row r="706" spans="13:14" ht="12.75">
      <c r="M706" s="287"/>
      <c r="N706" s="287"/>
    </row>
    <row r="707" spans="13:14" ht="12.75">
      <c r="M707" s="287"/>
      <c r="N707" s="287"/>
    </row>
    <row r="708" spans="13:14" ht="12.75">
      <c r="M708" s="287"/>
      <c r="N708" s="287"/>
    </row>
    <row r="709" spans="13:14" ht="12.75">
      <c r="M709" s="287"/>
      <c r="N709" s="287"/>
    </row>
    <row r="710" spans="13:14" ht="12.75">
      <c r="M710" s="287"/>
      <c r="N710" s="287"/>
    </row>
    <row r="711" spans="13:14" ht="12.75">
      <c r="M711" s="287"/>
      <c r="N711" s="287"/>
    </row>
    <row r="712" spans="13:14" ht="12.75">
      <c r="M712" s="287"/>
      <c r="N712" s="287"/>
    </row>
    <row r="713" spans="13:14" ht="12.75">
      <c r="M713" s="287"/>
      <c r="N713" s="287"/>
    </row>
    <row r="714" spans="13:14" ht="12.75">
      <c r="M714" s="287"/>
      <c r="N714" s="287"/>
    </row>
    <row r="715" spans="13:14" ht="12.75">
      <c r="M715" s="287"/>
      <c r="N715" s="287"/>
    </row>
    <row r="716" spans="13:14" ht="12.75">
      <c r="M716" s="287"/>
      <c r="N716" s="287"/>
    </row>
    <row r="717" spans="13:14" ht="12.75">
      <c r="M717" s="287"/>
      <c r="N717" s="287"/>
    </row>
    <row r="718" spans="13:14" ht="12.75">
      <c r="M718" s="287"/>
      <c r="N718" s="287"/>
    </row>
    <row r="719" spans="13:14" ht="12.75">
      <c r="M719" s="287"/>
      <c r="N719" s="287"/>
    </row>
    <row r="720" spans="13:14" ht="12.75">
      <c r="M720" s="287"/>
      <c r="N720" s="287"/>
    </row>
    <row r="721" spans="13:14" ht="12.75">
      <c r="M721" s="287"/>
      <c r="N721" s="287"/>
    </row>
    <row r="722" spans="13:14" ht="12.75">
      <c r="M722" s="287"/>
      <c r="N722" s="287"/>
    </row>
    <row r="723" spans="13:14" ht="12.75">
      <c r="M723" s="287"/>
      <c r="N723" s="287"/>
    </row>
    <row r="724" spans="13:14" ht="12.75">
      <c r="M724" s="287"/>
      <c r="N724" s="287"/>
    </row>
    <row r="725" spans="13:14" ht="12.75">
      <c r="M725" s="287"/>
      <c r="N725" s="287"/>
    </row>
    <row r="726" spans="13:14" ht="12.75">
      <c r="M726" s="287"/>
      <c r="N726" s="287"/>
    </row>
    <row r="727" spans="13:14" ht="12.75">
      <c r="M727" s="287"/>
      <c r="N727" s="287"/>
    </row>
    <row r="728" spans="13:14" ht="12.75">
      <c r="M728" s="287"/>
      <c r="N728" s="287"/>
    </row>
    <row r="729" spans="13:14" ht="12.75">
      <c r="M729" s="287"/>
      <c r="N729" s="287"/>
    </row>
    <row r="730" spans="13:14" ht="12.75">
      <c r="M730" s="287"/>
      <c r="N730" s="287"/>
    </row>
    <row r="731" spans="13:14" ht="12.75">
      <c r="M731" s="287"/>
      <c r="N731" s="287"/>
    </row>
    <row r="732" spans="13:14" ht="12.75">
      <c r="M732" s="287"/>
      <c r="N732" s="287"/>
    </row>
    <row r="733" spans="13:14" ht="12.75">
      <c r="M733" s="287"/>
      <c r="N733" s="287"/>
    </row>
    <row r="734" spans="13:14" ht="12.75">
      <c r="M734" s="287"/>
      <c r="N734" s="287"/>
    </row>
    <row r="735" spans="13:14" ht="12.75">
      <c r="M735" s="287"/>
      <c r="N735" s="287"/>
    </row>
    <row r="736" spans="13:14" ht="12.75">
      <c r="M736" s="287"/>
      <c r="N736" s="287"/>
    </row>
    <row r="737" spans="13:14" ht="12.75">
      <c r="M737" s="287"/>
      <c r="N737" s="287"/>
    </row>
    <row r="738" spans="13:14" ht="12.75">
      <c r="M738" s="287"/>
      <c r="N738" s="287"/>
    </row>
    <row r="739" spans="13:14" ht="12.75">
      <c r="M739" s="287"/>
      <c r="N739" s="287"/>
    </row>
    <row r="740" spans="13:14" ht="12.75">
      <c r="M740" s="287"/>
      <c r="N740" s="287"/>
    </row>
    <row r="741" spans="13:14" ht="12.75">
      <c r="M741" s="287"/>
      <c r="N741" s="287"/>
    </row>
    <row r="742" spans="13:14" ht="12.75">
      <c r="M742" s="287"/>
      <c r="N742" s="287"/>
    </row>
    <row r="743" spans="13:14" ht="12.75">
      <c r="M743" s="287"/>
      <c r="N743" s="287"/>
    </row>
    <row r="744" spans="13:14" ht="12.75">
      <c r="M744" s="287"/>
      <c r="N744" s="287"/>
    </row>
    <row r="745" spans="13:14" ht="12.75">
      <c r="M745" s="287"/>
      <c r="N745" s="287"/>
    </row>
    <row r="746" spans="13:14" ht="12.75">
      <c r="M746" s="287"/>
      <c r="N746" s="287"/>
    </row>
    <row r="747" spans="13:14" ht="12.75">
      <c r="M747" s="287"/>
      <c r="N747" s="287"/>
    </row>
    <row r="748" spans="13:14" ht="12.75">
      <c r="M748" s="287"/>
      <c r="N748" s="287"/>
    </row>
    <row r="749" spans="13:14" ht="12.75">
      <c r="M749" s="287"/>
      <c r="N749" s="287"/>
    </row>
    <row r="750" spans="13:14" ht="12.75">
      <c r="M750" s="287"/>
      <c r="N750" s="287"/>
    </row>
    <row r="751" spans="13:14" ht="12.75">
      <c r="M751" s="287"/>
      <c r="N751" s="287"/>
    </row>
    <row r="752" spans="13:14" ht="12.75">
      <c r="M752" s="287"/>
      <c r="N752" s="287"/>
    </row>
    <row r="753" spans="13:14" ht="12.75">
      <c r="M753" s="287"/>
      <c r="N753" s="287"/>
    </row>
    <row r="754" spans="13:14" ht="12.75">
      <c r="M754" s="287"/>
      <c r="N754" s="287"/>
    </row>
    <row r="755" spans="13:14" ht="12.75">
      <c r="M755" s="287"/>
      <c r="N755" s="287"/>
    </row>
    <row r="756" spans="13:14" ht="12.75">
      <c r="M756" s="287"/>
      <c r="N756" s="287"/>
    </row>
    <row r="757" spans="13:14" ht="12.75">
      <c r="M757" s="287"/>
      <c r="N757" s="287"/>
    </row>
    <row r="758" spans="13:14" ht="12.75">
      <c r="M758" s="287"/>
      <c r="N758" s="287"/>
    </row>
    <row r="759" spans="13:14" ht="12.75">
      <c r="M759" s="287"/>
      <c r="N759" s="287"/>
    </row>
    <row r="760" spans="13:14" ht="12.75">
      <c r="M760" s="287"/>
      <c r="N760" s="287"/>
    </row>
    <row r="761" spans="13:14" ht="12.75">
      <c r="M761" s="287"/>
      <c r="N761" s="287"/>
    </row>
    <row r="762" spans="13:14" ht="12.75">
      <c r="M762" s="287"/>
      <c r="N762" s="287"/>
    </row>
    <row r="763" spans="13:14" ht="12.75">
      <c r="M763" s="287"/>
      <c r="N763" s="287"/>
    </row>
    <row r="764" spans="13:14" ht="12.75">
      <c r="M764" s="287"/>
      <c r="N764" s="287"/>
    </row>
    <row r="765" spans="13:14" ht="12.75">
      <c r="M765" s="287"/>
      <c r="N765" s="287"/>
    </row>
    <row r="766" spans="13:14" ht="12.75">
      <c r="M766" s="287"/>
      <c r="N766" s="287"/>
    </row>
    <row r="767" spans="13:14" ht="12.75">
      <c r="M767" s="287"/>
      <c r="N767" s="287"/>
    </row>
    <row r="768" spans="13:14" ht="12.75">
      <c r="M768" s="287"/>
      <c r="N768" s="287"/>
    </row>
    <row r="769" spans="13:14" ht="12.75">
      <c r="M769" s="287"/>
      <c r="N769" s="287"/>
    </row>
    <row r="770" spans="13:14" ht="12.75">
      <c r="M770" s="287"/>
      <c r="N770" s="287"/>
    </row>
    <row r="771" spans="13:14" ht="12.75">
      <c r="M771" s="287"/>
      <c r="N771" s="287"/>
    </row>
    <row r="772" spans="13:14" ht="12.75">
      <c r="M772" s="287"/>
      <c r="N772" s="287"/>
    </row>
    <row r="773" spans="13:14" ht="12.75">
      <c r="M773" s="287"/>
      <c r="N773" s="287"/>
    </row>
    <row r="774" spans="13:14" ht="12.75">
      <c r="M774" s="287"/>
      <c r="N774" s="287"/>
    </row>
    <row r="775" spans="13:14" ht="12.75">
      <c r="M775" s="287"/>
      <c r="N775" s="287"/>
    </row>
    <row r="776" spans="13:14" ht="12.75">
      <c r="M776" s="287"/>
      <c r="N776" s="287"/>
    </row>
    <row r="777" spans="13:14" ht="12.75">
      <c r="M777" s="287"/>
      <c r="N777" s="287"/>
    </row>
    <row r="778" spans="13:14" ht="12.75">
      <c r="M778" s="287"/>
      <c r="N778" s="287"/>
    </row>
    <row r="779" spans="13:14" ht="12.75">
      <c r="M779" s="287"/>
      <c r="N779" s="287"/>
    </row>
    <row r="780" spans="13:14" ht="12.75">
      <c r="M780" s="287"/>
      <c r="N780" s="287"/>
    </row>
    <row r="781" spans="13:14" ht="12.75">
      <c r="M781" s="287"/>
      <c r="N781" s="287"/>
    </row>
    <row r="782" spans="13:14" ht="12.75">
      <c r="M782" s="287"/>
      <c r="N782" s="287"/>
    </row>
    <row r="783" spans="13:14" ht="12.75">
      <c r="M783" s="287"/>
      <c r="N783" s="287"/>
    </row>
    <row r="784" spans="13:14" ht="12.75">
      <c r="M784" s="287"/>
      <c r="N784" s="287"/>
    </row>
    <row r="785" spans="13:14" ht="12.75">
      <c r="M785" s="287"/>
      <c r="N785" s="287"/>
    </row>
    <row r="786" spans="13:14" ht="12.75">
      <c r="M786" s="287"/>
      <c r="N786" s="287"/>
    </row>
    <row r="787" spans="13:14" ht="12.75">
      <c r="M787" s="287"/>
      <c r="N787" s="287"/>
    </row>
    <row r="788" spans="13:14" ht="12.75">
      <c r="M788" s="287"/>
      <c r="N788" s="287"/>
    </row>
    <row r="789" spans="13:14" ht="12.75">
      <c r="M789" s="287"/>
      <c r="N789" s="287"/>
    </row>
    <row r="790" spans="13:14" ht="12.75">
      <c r="M790" s="287"/>
      <c r="N790" s="287"/>
    </row>
    <row r="791" spans="13:14" ht="12.75">
      <c r="M791" s="287"/>
      <c r="N791" s="287"/>
    </row>
    <row r="792" spans="13:14" ht="12.75">
      <c r="M792" s="287"/>
      <c r="N792" s="287"/>
    </row>
    <row r="793" spans="13:14" ht="12.75">
      <c r="M793" s="287"/>
      <c r="N793" s="287"/>
    </row>
    <row r="794" spans="13:14" ht="12.75">
      <c r="M794" s="287"/>
      <c r="N794" s="287"/>
    </row>
    <row r="795" spans="13:14" ht="12.75">
      <c r="M795" s="287"/>
      <c r="N795" s="287"/>
    </row>
    <row r="796" spans="13:14" ht="12.75">
      <c r="M796" s="287"/>
      <c r="N796" s="287"/>
    </row>
    <row r="797" spans="13:14" ht="12.75">
      <c r="M797" s="287"/>
      <c r="N797" s="287"/>
    </row>
    <row r="798" spans="13:14" ht="12.75">
      <c r="M798" s="287"/>
      <c r="N798" s="287"/>
    </row>
    <row r="799" spans="13:14" ht="12.75">
      <c r="M799" s="287"/>
      <c r="N799" s="287"/>
    </row>
    <row r="800" spans="13:14" ht="12.75">
      <c r="M800" s="287"/>
      <c r="N800" s="287"/>
    </row>
    <row r="801" spans="13:14" ht="12.75">
      <c r="M801" s="287"/>
      <c r="N801" s="287"/>
    </row>
    <row r="802" spans="13:14" ht="12.75">
      <c r="M802" s="287"/>
      <c r="N802" s="287"/>
    </row>
    <row r="803" spans="13:14" ht="12.75">
      <c r="M803" s="287"/>
      <c r="N803" s="287"/>
    </row>
    <row r="804" spans="13:14" ht="12.75">
      <c r="M804" s="287"/>
      <c r="N804" s="287"/>
    </row>
    <row r="805" spans="13:14" ht="12.75">
      <c r="M805" s="287"/>
      <c r="N805" s="287"/>
    </row>
    <row r="806" spans="13:14" ht="12.75">
      <c r="M806" s="287"/>
      <c r="N806" s="287"/>
    </row>
    <row r="807" spans="13:14" ht="12.75">
      <c r="M807" s="287"/>
      <c r="N807" s="287"/>
    </row>
    <row r="808" spans="13:14" ht="12.75">
      <c r="M808" s="287"/>
      <c r="N808" s="287"/>
    </row>
    <row r="809" spans="13:14" ht="12.75">
      <c r="M809" s="287"/>
      <c r="N809" s="287"/>
    </row>
    <row r="810" spans="13:14" ht="12.75">
      <c r="M810" s="287"/>
      <c r="N810" s="287"/>
    </row>
    <row r="811" spans="13:14" ht="12.75">
      <c r="M811" s="287"/>
      <c r="N811" s="287"/>
    </row>
    <row r="812" spans="13:14" ht="12.75">
      <c r="M812" s="287"/>
      <c r="N812" s="287"/>
    </row>
    <row r="813" spans="13:14" ht="12.75">
      <c r="M813" s="287"/>
      <c r="N813" s="287"/>
    </row>
    <row r="814" spans="13:14" ht="12.75">
      <c r="M814" s="287"/>
      <c r="N814" s="287"/>
    </row>
    <row r="815" spans="13:14" ht="12.75">
      <c r="M815" s="287"/>
      <c r="N815" s="287"/>
    </row>
    <row r="816" spans="13:14" ht="12.75">
      <c r="M816" s="287"/>
      <c r="N816" s="287"/>
    </row>
    <row r="817" spans="13:14" ht="12.75">
      <c r="M817" s="287"/>
      <c r="N817" s="287"/>
    </row>
    <row r="818" spans="13:14" ht="12.75">
      <c r="M818" s="287"/>
      <c r="N818" s="287"/>
    </row>
    <row r="819" spans="13:14" ht="12.75">
      <c r="M819" s="287"/>
      <c r="N819" s="287"/>
    </row>
    <row r="820" spans="13:14" ht="12.75">
      <c r="M820" s="287"/>
      <c r="N820" s="287"/>
    </row>
    <row r="821" spans="13:14" ht="12.75">
      <c r="M821" s="287"/>
      <c r="N821" s="287"/>
    </row>
    <row r="822" spans="13:14" ht="12.75">
      <c r="M822" s="287"/>
      <c r="N822" s="287"/>
    </row>
    <row r="823" spans="13:14" ht="12.75">
      <c r="M823" s="287"/>
      <c r="N823" s="287"/>
    </row>
    <row r="824" spans="13:14" ht="12.75">
      <c r="M824" s="287"/>
      <c r="N824" s="287"/>
    </row>
    <row r="825" spans="13:14" ht="12.75">
      <c r="M825" s="287"/>
      <c r="N825" s="287"/>
    </row>
    <row r="826" spans="13:14" ht="12.75">
      <c r="M826" s="287"/>
      <c r="N826" s="287"/>
    </row>
    <row r="827" spans="13:14" ht="12.75">
      <c r="M827" s="287"/>
      <c r="N827" s="287"/>
    </row>
    <row r="828" spans="13:14" ht="12.75">
      <c r="M828" s="287"/>
      <c r="N828" s="287"/>
    </row>
    <row r="829" spans="13:14" ht="12.75">
      <c r="M829" s="287"/>
      <c r="N829" s="287"/>
    </row>
    <row r="830" spans="13:14" ht="12.75">
      <c r="M830" s="287"/>
      <c r="N830" s="287"/>
    </row>
    <row r="831" spans="13:14" ht="12.75">
      <c r="M831" s="287"/>
      <c r="N831" s="287"/>
    </row>
    <row r="832" spans="13:14" ht="12.75">
      <c r="M832" s="287"/>
      <c r="N832" s="287"/>
    </row>
    <row r="833" spans="13:14" ht="12.75">
      <c r="M833" s="287"/>
      <c r="N833" s="287"/>
    </row>
    <row r="834" spans="13:14" ht="12.75">
      <c r="M834" s="287"/>
      <c r="N834" s="287"/>
    </row>
    <row r="835" spans="13:14" ht="12.75">
      <c r="M835" s="287"/>
      <c r="N835" s="287"/>
    </row>
    <row r="836" spans="13:14" ht="12.75">
      <c r="M836" s="287"/>
      <c r="N836" s="287"/>
    </row>
    <row r="837" spans="13:14" ht="12.75">
      <c r="M837" s="287"/>
      <c r="N837" s="287"/>
    </row>
    <row r="838" spans="13:14" ht="12.75">
      <c r="M838" s="287"/>
      <c r="N838" s="287"/>
    </row>
    <row r="839" spans="13:14" ht="12.75">
      <c r="M839" s="287"/>
      <c r="N839" s="287"/>
    </row>
    <row r="840" spans="13:14" ht="12.75">
      <c r="M840" s="287"/>
      <c r="N840" s="287"/>
    </row>
    <row r="841" spans="13:14" ht="12.75">
      <c r="M841" s="287"/>
      <c r="N841" s="287"/>
    </row>
    <row r="842" spans="13:14" ht="12.75">
      <c r="M842" s="287"/>
      <c r="N842" s="287"/>
    </row>
    <row r="843" spans="13:14" ht="12.75">
      <c r="M843" s="287"/>
      <c r="N843" s="287"/>
    </row>
    <row r="844" spans="13:14" ht="12.75">
      <c r="M844" s="287"/>
      <c r="N844" s="287"/>
    </row>
    <row r="845" spans="13:14" ht="12.75">
      <c r="M845" s="287"/>
      <c r="N845" s="287"/>
    </row>
    <row r="846" spans="13:14" ht="12.75">
      <c r="M846" s="287"/>
      <c r="N846" s="287"/>
    </row>
    <row r="847" spans="13:14" ht="12.75">
      <c r="M847" s="287"/>
      <c r="N847" s="287"/>
    </row>
    <row r="848" spans="13:14" ht="12.75">
      <c r="M848" s="287"/>
      <c r="N848" s="287"/>
    </row>
    <row r="849" spans="13:14" ht="12.75">
      <c r="M849" s="287"/>
      <c r="N849" s="287"/>
    </row>
    <row r="850" spans="13:14" ht="12.75">
      <c r="M850" s="287"/>
      <c r="N850" s="287"/>
    </row>
    <row r="851" spans="13:14" ht="12.75">
      <c r="M851" s="287"/>
      <c r="N851" s="287"/>
    </row>
    <row r="852" spans="13:14" ht="12.75">
      <c r="M852" s="287"/>
      <c r="N852" s="287"/>
    </row>
    <row r="853" spans="13:14" ht="12.75">
      <c r="M853" s="287"/>
      <c r="N853" s="287"/>
    </row>
    <row r="854" spans="13:14" ht="12.75">
      <c r="M854" s="287"/>
      <c r="N854" s="287"/>
    </row>
    <row r="855" spans="13:14" ht="12.75">
      <c r="M855" s="287"/>
      <c r="N855" s="287"/>
    </row>
    <row r="856" spans="13:14" ht="12.75">
      <c r="M856" s="287"/>
      <c r="N856" s="287"/>
    </row>
    <row r="857" spans="13:14" ht="12.75">
      <c r="M857" s="287"/>
      <c r="N857" s="287"/>
    </row>
    <row r="858" spans="13:14" ht="12.75">
      <c r="M858" s="287"/>
      <c r="N858" s="287"/>
    </row>
    <row r="859" spans="13:14" ht="12.75">
      <c r="M859" s="287"/>
      <c r="N859" s="287"/>
    </row>
    <row r="860" spans="13:14" ht="12.75">
      <c r="M860" s="287"/>
      <c r="N860" s="287"/>
    </row>
    <row r="861" spans="13:14" ht="12.75">
      <c r="M861" s="287"/>
      <c r="N861" s="287"/>
    </row>
    <row r="862" spans="13:14" ht="12.75">
      <c r="M862" s="287"/>
      <c r="N862" s="287"/>
    </row>
    <row r="863" spans="13:14" ht="12.75">
      <c r="M863" s="287"/>
      <c r="N863" s="287"/>
    </row>
    <row r="864" spans="13:14" ht="12.75">
      <c r="M864" s="287"/>
      <c r="N864" s="287"/>
    </row>
    <row r="865" spans="13:14" ht="12.75">
      <c r="M865" s="287"/>
      <c r="N865" s="287"/>
    </row>
    <row r="866" spans="13:14" ht="12.75">
      <c r="M866" s="287"/>
      <c r="N866" s="287"/>
    </row>
    <row r="867" spans="13:14" ht="12.75">
      <c r="M867" s="287"/>
      <c r="N867" s="287"/>
    </row>
    <row r="868" spans="13:14" ht="12.75">
      <c r="M868" s="287"/>
      <c r="N868" s="287"/>
    </row>
    <row r="869" spans="13:14" ht="12.75">
      <c r="M869" s="287"/>
      <c r="N869" s="287"/>
    </row>
    <row r="870" spans="13:14" ht="12.75">
      <c r="M870" s="287"/>
      <c r="N870" s="287"/>
    </row>
    <row r="871" spans="13:14" ht="12.75">
      <c r="M871" s="287"/>
      <c r="N871" s="287"/>
    </row>
    <row r="872" spans="13:14" ht="12.75">
      <c r="M872" s="287"/>
      <c r="N872" s="287"/>
    </row>
    <row r="873" spans="13:14" ht="12.75">
      <c r="M873" s="287"/>
      <c r="N873" s="287"/>
    </row>
    <row r="874" spans="13:14" ht="12.75">
      <c r="M874" s="287"/>
      <c r="N874" s="287"/>
    </row>
    <row r="875" spans="13:14" ht="12.75">
      <c r="M875" s="287"/>
      <c r="N875" s="287"/>
    </row>
    <row r="876" spans="13:14" ht="12.75">
      <c r="M876" s="287"/>
      <c r="N876" s="287"/>
    </row>
    <row r="877" spans="13:14" ht="12.75">
      <c r="M877" s="287"/>
      <c r="N877" s="287"/>
    </row>
    <row r="878" spans="13:14" ht="12.75">
      <c r="M878" s="287"/>
      <c r="N878" s="287"/>
    </row>
    <row r="879" spans="13:14" ht="12.75">
      <c r="M879" s="287"/>
      <c r="N879" s="287"/>
    </row>
    <row r="880" spans="13:14" ht="12.75">
      <c r="M880" s="287"/>
      <c r="N880" s="287"/>
    </row>
    <row r="881" spans="13:14" ht="12.75">
      <c r="M881" s="287"/>
      <c r="N881" s="287"/>
    </row>
    <row r="882" spans="13:14" ht="12.75">
      <c r="M882" s="287"/>
      <c r="N882" s="287"/>
    </row>
    <row r="883" spans="13:14" ht="12.75">
      <c r="M883" s="287"/>
      <c r="N883" s="287"/>
    </row>
    <row r="884" spans="13:14" ht="12.75">
      <c r="M884" s="287"/>
      <c r="N884" s="287"/>
    </row>
    <row r="885" spans="13:14" ht="12.75">
      <c r="M885" s="287"/>
      <c r="N885" s="287"/>
    </row>
    <row r="886" spans="13:14" ht="12.75">
      <c r="M886" s="287"/>
      <c r="N886" s="287"/>
    </row>
    <row r="887" spans="13:14" ht="12.75">
      <c r="M887" s="287"/>
      <c r="N887" s="287"/>
    </row>
    <row r="888" spans="13:14" ht="12.75">
      <c r="M888" s="287"/>
      <c r="N888" s="287"/>
    </row>
    <row r="889" spans="13:14" ht="12.75">
      <c r="M889" s="287"/>
      <c r="N889" s="287"/>
    </row>
    <row r="890" spans="13:14" ht="12.75">
      <c r="M890" s="287"/>
      <c r="N890" s="287"/>
    </row>
    <row r="891" spans="13:14" ht="12.75">
      <c r="M891" s="287"/>
      <c r="N891" s="287"/>
    </row>
    <row r="892" spans="13:14" ht="12.75">
      <c r="M892" s="287"/>
      <c r="N892" s="287"/>
    </row>
    <row r="893" spans="13:14" ht="12.75">
      <c r="M893" s="287"/>
      <c r="N893" s="287"/>
    </row>
    <row r="894" spans="13:14" ht="12.75">
      <c r="M894" s="287"/>
      <c r="N894" s="287"/>
    </row>
    <row r="895" spans="13:14" ht="12.75">
      <c r="M895" s="287"/>
      <c r="N895" s="287"/>
    </row>
    <row r="896" spans="13:14" ht="12.75">
      <c r="M896" s="287"/>
      <c r="N896" s="287"/>
    </row>
    <row r="897" spans="13:14" ht="12.75">
      <c r="M897" s="287"/>
      <c r="N897" s="287"/>
    </row>
    <row r="898" spans="13:14" ht="12.75">
      <c r="M898" s="287"/>
      <c r="N898" s="287"/>
    </row>
    <row r="899" spans="13:14" ht="12.75">
      <c r="M899" s="287"/>
      <c r="N899" s="287"/>
    </row>
    <row r="900" spans="13:14" ht="12.75">
      <c r="M900" s="287"/>
      <c r="N900" s="287"/>
    </row>
    <row r="901" spans="13:14" ht="12.75">
      <c r="M901" s="287"/>
      <c r="N901" s="287"/>
    </row>
    <row r="902" spans="13:14" ht="12.75">
      <c r="M902" s="287"/>
      <c r="N902" s="287"/>
    </row>
    <row r="903" spans="13:14" ht="12.75">
      <c r="M903" s="287"/>
      <c r="N903" s="287"/>
    </row>
    <row r="904" spans="13:14" ht="12.75">
      <c r="M904" s="287"/>
      <c r="N904" s="287"/>
    </row>
    <row r="905" spans="13:14" ht="12.75">
      <c r="M905" s="287"/>
      <c r="N905" s="287"/>
    </row>
    <row r="906" spans="13:14" ht="12.75">
      <c r="M906" s="287"/>
      <c r="N906" s="287"/>
    </row>
    <row r="907" spans="13:14" ht="12.75">
      <c r="M907" s="287"/>
      <c r="N907" s="287"/>
    </row>
    <row r="908" spans="13:14" ht="12.75">
      <c r="M908" s="287"/>
      <c r="N908" s="287"/>
    </row>
    <row r="909" spans="13:14" ht="12.75">
      <c r="M909" s="287"/>
      <c r="N909" s="287"/>
    </row>
    <row r="910" spans="13:14" ht="12.75">
      <c r="M910" s="287"/>
      <c r="N910" s="287"/>
    </row>
    <row r="911" spans="13:14" ht="12.75">
      <c r="M911" s="287"/>
      <c r="N911" s="287"/>
    </row>
    <row r="912" spans="13:14" ht="12.75">
      <c r="M912" s="287"/>
      <c r="N912" s="287"/>
    </row>
    <row r="913" spans="13:14" ht="12.75">
      <c r="M913" s="287"/>
      <c r="N913" s="287"/>
    </row>
    <row r="914" spans="13:14" ht="12.75">
      <c r="M914" s="287"/>
      <c r="N914" s="287"/>
    </row>
    <row r="915" spans="13:14" ht="12.75">
      <c r="M915" s="287"/>
      <c r="N915" s="287"/>
    </row>
    <row r="916" spans="13:14" ht="12.75">
      <c r="M916" s="287"/>
      <c r="N916" s="287"/>
    </row>
    <row r="917" spans="13:14" ht="12.75">
      <c r="M917" s="287"/>
      <c r="N917" s="287"/>
    </row>
    <row r="918" spans="13:14" ht="12.75">
      <c r="M918" s="287"/>
      <c r="N918" s="287"/>
    </row>
    <row r="919" spans="13:14" ht="12.75">
      <c r="M919" s="287"/>
      <c r="N919" s="287"/>
    </row>
    <row r="920" spans="13:14" ht="12.75">
      <c r="M920" s="287"/>
      <c r="N920" s="287"/>
    </row>
    <row r="921" spans="13:14" ht="12.75">
      <c r="M921" s="287"/>
      <c r="N921" s="287"/>
    </row>
    <row r="922" spans="13:14" ht="12.75">
      <c r="M922" s="287"/>
      <c r="N922" s="287"/>
    </row>
    <row r="923" spans="13:14" ht="12.75">
      <c r="M923" s="287"/>
      <c r="N923" s="287"/>
    </row>
    <row r="924" spans="13:14" ht="12.75">
      <c r="M924" s="287"/>
      <c r="N924" s="287"/>
    </row>
    <row r="925" spans="13:14" ht="12.75">
      <c r="M925" s="287"/>
      <c r="N925" s="287"/>
    </row>
    <row r="926" spans="13:14" ht="12.75">
      <c r="M926" s="287"/>
      <c r="N926" s="287"/>
    </row>
    <row r="927" spans="13:14" ht="12.75">
      <c r="M927" s="287"/>
      <c r="N927" s="287"/>
    </row>
    <row r="928" spans="13:14" ht="12.75">
      <c r="M928" s="287"/>
      <c r="N928" s="287"/>
    </row>
    <row r="929" spans="13:14" ht="12.75">
      <c r="M929" s="287"/>
      <c r="N929" s="287"/>
    </row>
    <row r="930" spans="13:14" ht="12.75">
      <c r="M930" s="287"/>
      <c r="N930" s="287"/>
    </row>
    <row r="931" spans="13:14" ht="12.75">
      <c r="M931" s="287"/>
      <c r="N931" s="287"/>
    </row>
    <row r="932" spans="13:14" ht="12.75">
      <c r="M932" s="287"/>
      <c r="N932" s="287"/>
    </row>
    <row r="933" spans="13:14" ht="12.75">
      <c r="M933" s="287"/>
      <c r="N933" s="287"/>
    </row>
    <row r="934" spans="13:14" ht="12.75">
      <c r="M934" s="287"/>
      <c r="N934" s="287"/>
    </row>
    <row r="935" spans="13:14" ht="12.75">
      <c r="M935" s="287"/>
      <c r="N935" s="287"/>
    </row>
    <row r="936" spans="13:14" ht="12.75">
      <c r="M936" s="287"/>
      <c r="N936" s="287"/>
    </row>
    <row r="937" spans="13:14" ht="12.75">
      <c r="M937" s="287"/>
      <c r="N937" s="287"/>
    </row>
    <row r="938" spans="13:14" ht="12.75">
      <c r="M938" s="287"/>
      <c r="N938" s="287"/>
    </row>
    <row r="939" spans="13:14" ht="12.75">
      <c r="M939" s="287"/>
      <c r="N939" s="287"/>
    </row>
    <row r="940" spans="13:14" ht="12.75">
      <c r="M940" s="287"/>
      <c r="N940" s="287"/>
    </row>
    <row r="941" spans="13:14" ht="12.75">
      <c r="M941" s="287"/>
      <c r="N941" s="287"/>
    </row>
    <row r="942" spans="13:14" ht="12.75">
      <c r="M942" s="287"/>
      <c r="N942" s="287"/>
    </row>
    <row r="943" spans="13:14" ht="12.75">
      <c r="M943" s="287"/>
      <c r="N943" s="287"/>
    </row>
    <row r="944" spans="13:14" ht="12.75">
      <c r="M944" s="287"/>
      <c r="N944" s="287"/>
    </row>
    <row r="945" spans="13:14" ht="12.75">
      <c r="M945" s="287"/>
      <c r="N945" s="287"/>
    </row>
    <row r="946" spans="13:14" ht="12.75">
      <c r="M946" s="287"/>
      <c r="N946" s="287"/>
    </row>
    <row r="947" spans="13:14" ht="12.75">
      <c r="M947" s="287"/>
      <c r="N947" s="287"/>
    </row>
    <row r="948" spans="13:14" ht="12.75">
      <c r="M948" s="287"/>
      <c r="N948" s="287"/>
    </row>
    <row r="949" spans="13:14" ht="12.75">
      <c r="M949" s="287"/>
      <c r="N949" s="287"/>
    </row>
    <row r="950" spans="13:14" ht="12.75">
      <c r="M950" s="287"/>
      <c r="N950" s="287"/>
    </row>
    <row r="951" spans="13:14" ht="12.75">
      <c r="M951" s="287"/>
      <c r="N951" s="287"/>
    </row>
    <row r="952" spans="13:14" ht="12.75">
      <c r="M952" s="287"/>
      <c r="N952" s="287"/>
    </row>
    <row r="953" spans="13:14" ht="12.75">
      <c r="M953" s="287"/>
      <c r="N953" s="287"/>
    </row>
    <row r="954" spans="13:14" ht="12.75">
      <c r="M954" s="287"/>
      <c r="N954" s="287"/>
    </row>
    <row r="955" spans="13:14" ht="12.75">
      <c r="M955" s="287"/>
      <c r="N955" s="287"/>
    </row>
    <row r="956" spans="13:14" ht="12.75">
      <c r="M956" s="287"/>
      <c r="N956" s="287"/>
    </row>
    <row r="957" spans="13:14" ht="12.75">
      <c r="M957" s="287"/>
      <c r="N957" s="287"/>
    </row>
    <row r="958" spans="13:14" ht="12.75">
      <c r="M958" s="287"/>
      <c r="N958" s="287"/>
    </row>
    <row r="959" spans="13:14" ht="12.75">
      <c r="M959" s="287"/>
      <c r="N959" s="287"/>
    </row>
    <row r="960" spans="13:14" ht="12.75">
      <c r="M960" s="287"/>
      <c r="N960" s="287"/>
    </row>
    <row r="961" spans="13:14" ht="12.75">
      <c r="M961" s="287"/>
      <c r="N961" s="287"/>
    </row>
    <row r="962" spans="13:14" ht="12.75">
      <c r="M962" s="287"/>
      <c r="N962" s="287"/>
    </row>
    <row r="963" spans="13:14" ht="12.75">
      <c r="M963" s="287"/>
      <c r="N963" s="287"/>
    </row>
    <row r="964" spans="13:14" ht="12.75">
      <c r="M964" s="287"/>
      <c r="N964" s="287"/>
    </row>
    <row r="965" spans="13:14" ht="12.75">
      <c r="M965" s="287"/>
      <c r="N965" s="287"/>
    </row>
    <row r="966" spans="13:14" ht="12.75">
      <c r="M966" s="287"/>
      <c r="N966" s="287"/>
    </row>
    <row r="967" spans="13:14" ht="12.75">
      <c r="M967" s="287"/>
      <c r="N967" s="287"/>
    </row>
    <row r="968" spans="13:14" ht="12.75">
      <c r="M968" s="287"/>
      <c r="N968" s="287"/>
    </row>
    <row r="969" spans="13:14" ht="12.75">
      <c r="M969" s="287"/>
      <c r="N969" s="287"/>
    </row>
    <row r="970" spans="13:14" ht="12.75">
      <c r="M970" s="287"/>
      <c r="N970" s="287"/>
    </row>
    <row r="971" spans="13:14" ht="12.75">
      <c r="M971" s="287"/>
      <c r="N971" s="287"/>
    </row>
    <row r="972" spans="13:14" ht="12.75">
      <c r="M972" s="287"/>
      <c r="N972" s="287"/>
    </row>
    <row r="973" spans="13:14" ht="12.75">
      <c r="M973" s="287"/>
      <c r="N973" s="287"/>
    </row>
    <row r="974" spans="13:14" ht="12.75">
      <c r="M974" s="287"/>
      <c r="N974" s="287"/>
    </row>
    <row r="975" spans="13:14" ht="12.75">
      <c r="M975" s="287"/>
      <c r="N975" s="287"/>
    </row>
    <row r="976" spans="13:14" ht="12.75">
      <c r="M976" s="287"/>
      <c r="N976" s="287"/>
    </row>
    <row r="977" spans="13:14" ht="12.75">
      <c r="M977" s="287"/>
      <c r="N977" s="287"/>
    </row>
    <row r="978" spans="13:14" ht="12.75">
      <c r="M978" s="287"/>
      <c r="N978" s="287"/>
    </row>
    <row r="979" spans="13:14" ht="12.75">
      <c r="M979" s="287"/>
      <c r="N979" s="287"/>
    </row>
    <row r="980" spans="13:14" ht="12.75">
      <c r="M980" s="287"/>
      <c r="N980" s="287"/>
    </row>
    <row r="981" spans="13:14" ht="12.75">
      <c r="M981" s="287"/>
      <c r="N981" s="287"/>
    </row>
    <row r="982" spans="13:14" ht="12.75">
      <c r="M982" s="287"/>
      <c r="N982" s="287"/>
    </row>
    <row r="983" spans="13:14" ht="12.75">
      <c r="M983" s="287"/>
      <c r="N983" s="287"/>
    </row>
    <row r="984" spans="13:14" ht="12.75">
      <c r="M984" s="287"/>
      <c r="N984" s="287"/>
    </row>
    <row r="985" spans="13:14" ht="12.75">
      <c r="M985" s="287"/>
      <c r="N985" s="287"/>
    </row>
    <row r="986" spans="13:14" ht="12.75">
      <c r="M986" s="287"/>
      <c r="N986" s="287"/>
    </row>
    <row r="987" spans="13:14" ht="12.75">
      <c r="M987" s="287"/>
      <c r="N987" s="287"/>
    </row>
    <row r="988" spans="13:14" ht="12.75">
      <c r="M988" s="287"/>
      <c r="N988" s="287"/>
    </row>
    <row r="989" spans="13:14" ht="12.75">
      <c r="M989" s="287"/>
      <c r="N989" s="287"/>
    </row>
    <row r="990" spans="13:14" ht="12.75">
      <c r="M990" s="287"/>
      <c r="N990" s="287"/>
    </row>
    <row r="991" spans="13:14" ht="12.75">
      <c r="M991" s="287"/>
      <c r="N991" s="287"/>
    </row>
    <row r="992" spans="13:14" ht="12.75">
      <c r="M992" s="287"/>
      <c r="N992" s="287"/>
    </row>
    <row r="993" spans="13:14" ht="12.75">
      <c r="M993" s="287"/>
      <c r="N993" s="287"/>
    </row>
    <row r="994" spans="13:14" ht="12.75">
      <c r="M994" s="287"/>
      <c r="N994" s="287"/>
    </row>
    <row r="995" spans="13:14" ht="12.75">
      <c r="M995" s="287"/>
      <c r="N995" s="287"/>
    </row>
    <row r="996" spans="13:14" ht="12.75">
      <c r="M996" s="287"/>
      <c r="N996" s="287"/>
    </row>
    <row r="997" spans="13:14" ht="12.75">
      <c r="M997" s="287"/>
      <c r="N997" s="287"/>
    </row>
    <row r="998" spans="13:14" ht="12.75">
      <c r="M998" s="287"/>
      <c r="N998" s="287"/>
    </row>
    <row r="999" spans="13:14" ht="12.75">
      <c r="M999" s="287"/>
      <c r="N999" s="287"/>
    </row>
    <row r="1000" spans="13:14" ht="12.75">
      <c r="M1000" s="287"/>
      <c r="N1000" s="287"/>
    </row>
    <row r="1001" spans="13:14" ht="12.75">
      <c r="M1001" s="287"/>
      <c r="N1001" s="287"/>
    </row>
    <row r="1002" spans="13:14" ht="12.75">
      <c r="M1002" s="287"/>
      <c r="N1002" s="287"/>
    </row>
    <row r="1003" spans="13:14" ht="12.75">
      <c r="M1003" s="287"/>
      <c r="N1003" s="287"/>
    </row>
    <row r="1004" spans="13:14" ht="12.75">
      <c r="M1004" s="287"/>
      <c r="N1004" s="287"/>
    </row>
    <row r="1005" spans="13:14" ht="12.75">
      <c r="M1005" s="287"/>
      <c r="N1005" s="287"/>
    </row>
    <row r="1006" spans="13:14" ht="12.75">
      <c r="M1006" s="287"/>
      <c r="N1006" s="287"/>
    </row>
    <row r="1007" spans="13:14" ht="12.75">
      <c r="M1007" s="287"/>
      <c r="N1007" s="287"/>
    </row>
    <row r="1008" spans="13:14" ht="12.75">
      <c r="M1008" s="287"/>
      <c r="N1008" s="287"/>
    </row>
    <row r="1009" spans="13:14" ht="12.75">
      <c r="M1009" s="287"/>
      <c r="N1009" s="287"/>
    </row>
  </sheetData>
  <mergeCells count="1">
    <mergeCell ref="M2:P2"/>
  </mergeCells>
  <printOptions horizontalCentered="1" gridLines="1"/>
  <pageMargins left="0.25" right="0.25" top="0.75" bottom="0.75" header="0" footer="0"/>
  <pageSetup paperSize="9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P1024"/>
  <sheetViews>
    <sheetView workbookViewId="0"/>
  </sheetViews>
  <sheetFormatPr defaultColWidth="12.5703125" defaultRowHeight="15.75" customHeight="1"/>
  <cols>
    <col min="1" max="1" width="9.28515625" customWidth="1"/>
    <col min="2" max="2" width="28.42578125" customWidth="1"/>
    <col min="4" max="4" width="19.28515625" customWidth="1"/>
    <col min="10" max="10" width="16.5703125" customWidth="1"/>
    <col min="11" max="11" width="26.7109375" customWidth="1"/>
    <col min="13" max="13" width="14.42578125" customWidth="1"/>
    <col min="14" max="14" width="17.42578125" customWidth="1"/>
  </cols>
  <sheetData>
    <row r="1" spans="1:16" ht="12.75">
      <c r="M1" s="287"/>
      <c r="N1" s="287"/>
    </row>
    <row r="2" spans="1:16" ht="12.75">
      <c r="M2" s="1202" t="s">
        <v>242</v>
      </c>
      <c r="N2" s="1203"/>
      <c r="O2" s="1203"/>
      <c r="P2" s="1203"/>
    </row>
    <row r="3" spans="1:16" ht="63.75">
      <c r="A3" s="18" t="s">
        <v>5</v>
      </c>
      <c r="B3" s="20" t="s">
        <v>7</v>
      </c>
      <c r="C3" s="217" t="s">
        <v>159</v>
      </c>
      <c r="D3" s="24" t="s">
        <v>10</v>
      </c>
      <c r="E3" s="288" t="s">
        <v>243</v>
      </c>
      <c r="F3" s="289" t="s">
        <v>244</v>
      </c>
      <c r="G3" s="290" t="s">
        <v>245</v>
      </c>
      <c r="H3" s="291" t="s">
        <v>246</v>
      </c>
      <c r="I3" s="22" t="s">
        <v>13</v>
      </c>
      <c r="J3" s="134" t="s">
        <v>162</v>
      </c>
      <c r="K3" s="14"/>
      <c r="M3" s="292"/>
      <c r="N3" s="293" t="s">
        <v>247</v>
      </c>
      <c r="O3" s="293" t="s">
        <v>244</v>
      </c>
      <c r="P3" s="294" t="s">
        <v>246</v>
      </c>
    </row>
    <row r="4" spans="1:16" ht="12.75">
      <c r="A4" s="139">
        <v>1</v>
      </c>
      <c r="B4" s="4" t="s">
        <v>248</v>
      </c>
      <c r="C4" s="59">
        <v>7</v>
      </c>
      <c r="D4" s="45" t="s">
        <v>209</v>
      </c>
      <c r="E4" s="11"/>
      <c r="F4" s="220"/>
      <c r="G4" s="220"/>
      <c r="H4" s="220"/>
      <c r="I4" s="223"/>
      <c r="J4" s="295" t="s">
        <v>118</v>
      </c>
      <c r="K4" s="33"/>
      <c r="M4" s="296">
        <v>1</v>
      </c>
      <c r="N4" s="297"/>
      <c r="O4" s="298"/>
      <c r="P4" s="297"/>
    </row>
    <row r="5" spans="1:16" ht="12.75">
      <c r="A5" s="134">
        <v>2</v>
      </c>
      <c r="B5" s="29" t="s">
        <v>23</v>
      </c>
      <c r="C5" s="6">
        <v>10</v>
      </c>
      <c r="D5" s="45" t="s">
        <v>209</v>
      </c>
      <c r="E5" s="47">
        <v>31</v>
      </c>
      <c r="F5" s="222">
        <v>31</v>
      </c>
      <c r="G5" s="222">
        <v>30000</v>
      </c>
      <c r="H5" s="221">
        <f t="shared" ref="H5:H8" si="0">G5/E5*F5</f>
        <v>30000</v>
      </c>
      <c r="I5" s="221"/>
      <c r="J5" s="228" t="s">
        <v>266</v>
      </c>
      <c r="K5" s="14"/>
      <c r="M5" s="296">
        <v>2</v>
      </c>
      <c r="N5" s="231"/>
      <c r="O5" s="297"/>
      <c r="P5" s="297"/>
    </row>
    <row r="6" spans="1:16" ht="12.75">
      <c r="A6" s="139">
        <v>4</v>
      </c>
      <c r="B6" s="4" t="s">
        <v>26</v>
      </c>
      <c r="C6" s="6">
        <v>10</v>
      </c>
      <c r="D6" s="45" t="s">
        <v>209</v>
      </c>
      <c r="E6" s="47">
        <v>31</v>
      </c>
      <c r="F6" s="223">
        <v>31</v>
      </c>
      <c r="G6" s="223">
        <v>14000</v>
      </c>
      <c r="H6" s="221">
        <f t="shared" si="0"/>
        <v>14000</v>
      </c>
      <c r="I6" s="220"/>
      <c r="J6" s="228" t="s">
        <v>267</v>
      </c>
      <c r="K6" s="14"/>
      <c r="M6" s="296">
        <v>4</v>
      </c>
      <c r="N6" s="297"/>
      <c r="O6" s="299"/>
      <c r="P6" s="297"/>
    </row>
    <row r="7" spans="1:16" ht="12.75">
      <c r="A7" s="134">
        <v>5</v>
      </c>
      <c r="B7" s="29" t="s">
        <v>29</v>
      </c>
      <c r="C7" s="6">
        <v>10</v>
      </c>
      <c r="D7" s="45" t="s">
        <v>209</v>
      </c>
      <c r="E7" s="47">
        <v>31</v>
      </c>
      <c r="F7" s="222">
        <v>31</v>
      </c>
      <c r="G7" s="222">
        <v>32000</v>
      </c>
      <c r="H7" s="221">
        <f t="shared" si="0"/>
        <v>32000</v>
      </c>
      <c r="I7" s="220"/>
      <c r="J7" s="144" t="s">
        <v>269</v>
      </c>
      <c r="K7" s="14"/>
      <c r="M7" s="296">
        <v>5</v>
      </c>
      <c r="N7" s="299"/>
      <c r="O7" s="299"/>
      <c r="P7" s="299"/>
    </row>
    <row r="8" spans="1:16" ht="12.75">
      <c r="A8" s="134">
        <v>7</v>
      </c>
      <c r="B8" s="253" t="s">
        <v>253</v>
      </c>
      <c r="C8" s="153">
        <v>7</v>
      </c>
      <c r="D8" s="154" t="s">
        <v>254</v>
      </c>
      <c r="E8" s="47">
        <v>31</v>
      </c>
      <c r="F8" s="300">
        <v>31</v>
      </c>
      <c r="G8" s="300">
        <v>29000</v>
      </c>
      <c r="H8" s="221">
        <f t="shared" si="0"/>
        <v>29000</v>
      </c>
      <c r="I8" s="227"/>
      <c r="J8" s="144" t="s">
        <v>269</v>
      </c>
      <c r="K8" s="14"/>
      <c r="M8" s="296">
        <v>8</v>
      </c>
      <c r="N8" s="299"/>
      <c r="O8" s="299"/>
      <c r="P8" s="299"/>
    </row>
    <row r="9" spans="1:16" ht="12.75">
      <c r="A9" s="134">
        <v>8</v>
      </c>
      <c r="B9" s="308" t="s">
        <v>261</v>
      </c>
      <c r="C9" s="235"/>
      <c r="D9" s="235"/>
      <c r="E9" s="235"/>
      <c r="F9" s="235"/>
      <c r="G9" s="235"/>
      <c r="H9" s="235"/>
      <c r="I9" s="235"/>
      <c r="J9" s="295"/>
      <c r="K9" s="303"/>
      <c r="L9" s="304"/>
      <c r="M9" s="296">
        <v>11</v>
      </c>
      <c r="N9" s="299"/>
      <c r="O9" s="299"/>
      <c r="P9" s="299"/>
    </row>
    <row r="10" spans="1:16" ht="12.75">
      <c r="A10" s="134">
        <v>9</v>
      </c>
      <c r="B10" s="234" t="s">
        <v>276</v>
      </c>
      <c r="C10" s="234">
        <v>7</v>
      </c>
      <c r="D10" s="322">
        <v>45535</v>
      </c>
      <c r="E10" s="235"/>
      <c r="F10" s="235"/>
      <c r="G10" s="235"/>
      <c r="H10" s="235"/>
      <c r="I10" s="235"/>
      <c r="J10" s="295" t="s">
        <v>118</v>
      </c>
      <c r="K10" s="33"/>
      <c r="M10" s="296">
        <v>13</v>
      </c>
      <c r="N10" s="299"/>
      <c r="O10" s="299"/>
      <c r="P10" s="299"/>
    </row>
    <row r="11" spans="1:16" ht="12.75">
      <c r="A11" s="134">
        <v>10</v>
      </c>
      <c r="B11" s="323" t="s">
        <v>259</v>
      </c>
      <c r="C11" s="144">
        <v>7</v>
      </c>
      <c r="D11" s="203" t="s">
        <v>260</v>
      </c>
      <c r="E11" s="103"/>
      <c r="F11" s="270"/>
      <c r="G11" s="270">
        <v>17500</v>
      </c>
      <c r="H11" s="270">
        <v>17500</v>
      </c>
      <c r="I11" s="237"/>
      <c r="J11" s="144" t="s">
        <v>269</v>
      </c>
      <c r="M11" s="296"/>
      <c r="N11" s="299"/>
      <c r="O11" s="299"/>
      <c r="P11" s="299"/>
    </row>
    <row r="12" spans="1:16" ht="12.75">
      <c r="A12" s="134">
        <v>12</v>
      </c>
      <c r="B12" s="308" t="s">
        <v>147</v>
      </c>
      <c r="C12" s="251"/>
      <c r="D12" s="51"/>
      <c r="E12" s="52"/>
      <c r="F12" s="222"/>
      <c r="G12" s="222"/>
      <c r="H12" s="222"/>
      <c r="I12" s="221"/>
      <c r="J12" s="295" t="s">
        <v>118</v>
      </c>
      <c r="M12" s="296"/>
      <c r="N12" s="299"/>
      <c r="O12" s="299"/>
      <c r="P12" s="299"/>
    </row>
    <row r="13" spans="1:16" ht="12.75">
      <c r="A13" s="134"/>
      <c r="B13" s="236" t="s">
        <v>279</v>
      </c>
      <c r="C13" s="59">
        <v>7</v>
      </c>
      <c r="D13" s="8"/>
      <c r="E13" s="47"/>
      <c r="F13" s="222"/>
      <c r="G13" s="221"/>
      <c r="H13" s="221"/>
      <c r="I13" s="221"/>
      <c r="J13" s="295" t="s">
        <v>118</v>
      </c>
      <c r="M13" s="296"/>
      <c r="N13" s="299"/>
      <c r="O13" s="299"/>
      <c r="P13" s="299"/>
    </row>
    <row r="14" spans="1:16" ht="12.75">
      <c r="A14" s="134">
        <v>13</v>
      </c>
      <c r="B14" s="236" t="s">
        <v>265</v>
      </c>
      <c r="C14" s="59">
        <v>7</v>
      </c>
      <c r="D14" s="8"/>
      <c r="E14" s="47">
        <v>31</v>
      </c>
      <c r="F14" s="222">
        <v>31</v>
      </c>
      <c r="G14" s="221"/>
      <c r="H14" s="221">
        <f>G14/E14*F14</f>
        <v>0</v>
      </c>
      <c r="I14" s="221"/>
      <c r="J14" s="295" t="s">
        <v>118</v>
      </c>
      <c r="M14" s="296">
        <v>12</v>
      </c>
      <c r="N14" s="299"/>
      <c r="O14" s="299"/>
      <c r="P14" s="299"/>
    </row>
    <row r="15" spans="1:16" ht="12.75">
      <c r="A15" s="150"/>
      <c r="B15" s="236" t="s">
        <v>177</v>
      </c>
      <c r="C15" s="100">
        <f>SUM(C4:C14)</f>
        <v>72</v>
      </c>
      <c r="D15" s="109"/>
      <c r="E15" s="110"/>
      <c r="F15" s="237"/>
      <c r="G15" s="237">
        <f t="shared" ref="G15:I15" si="1">SUM(G4:G14)</f>
        <v>122500</v>
      </c>
      <c r="H15" s="237">
        <f t="shared" si="1"/>
        <v>122500</v>
      </c>
      <c r="I15" s="237">
        <f t="shared" si="1"/>
        <v>0</v>
      </c>
      <c r="J15" s="238">
        <f>H15+I15</f>
        <v>122500</v>
      </c>
      <c r="K15" s="14"/>
      <c r="M15" s="296">
        <v>15</v>
      </c>
      <c r="N15" s="299"/>
      <c r="O15" s="299"/>
      <c r="P15" s="299"/>
    </row>
    <row r="16" spans="1:16" ht="12.75">
      <c r="A16" s="150"/>
      <c r="B16" s="29"/>
      <c r="C16" s="6"/>
      <c r="D16" s="118"/>
      <c r="E16" s="120"/>
      <c r="F16" s="239"/>
      <c r="G16" s="239"/>
      <c r="H16" s="114"/>
      <c r="I16" s="114"/>
      <c r="J16" s="100"/>
      <c r="K16" s="14"/>
      <c r="M16" s="296">
        <v>16</v>
      </c>
      <c r="N16" s="299"/>
      <c r="O16" s="299"/>
      <c r="P16" s="299"/>
    </row>
    <row r="17" spans="1:16" ht="12.75">
      <c r="A17" s="330">
        <v>1</v>
      </c>
      <c r="B17" s="231" t="s">
        <v>255</v>
      </c>
      <c r="C17" s="98">
        <v>7</v>
      </c>
      <c r="D17" s="105" t="s">
        <v>256</v>
      </c>
      <c r="E17" s="47">
        <v>31</v>
      </c>
      <c r="F17" s="273">
        <v>31</v>
      </c>
      <c r="G17" s="273">
        <v>20000</v>
      </c>
      <c r="H17" s="221">
        <f t="shared" ref="H17:H18" si="2">G17/E17*F17</f>
        <v>20000</v>
      </c>
      <c r="I17" s="301"/>
      <c r="J17" s="302"/>
      <c r="K17" s="33"/>
      <c r="M17" s="296">
        <v>17</v>
      </c>
      <c r="N17" s="299"/>
      <c r="O17" s="299"/>
      <c r="P17" s="299"/>
    </row>
    <row r="18" spans="1:16" ht="12.75">
      <c r="A18" s="331"/>
      <c r="B18" s="305" t="s">
        <v>257</v>
      </c>
      <c r="C18" s="98">
        <v>7</v>
      </c>
      <c r="D18" s="105" t="s">
        <v>258</v>
      </c>
      <c r="E18" s="200">
        <v>31</v>
      </c>
      <c r="F18" s="281">
        <v>31</v>
      </c>
      <c r="G18" s="281">
        <v>10000</v>
      </c>
      <c r="H18" s="306">
        <f t="shared" si="2"/>
        <v>10000</v>
      </c>
      <c r="I18" s="306"/>
      <c r="J18" s="332" t="s">
        <v>210</v>
      </c>
      <c r="K18" s="33"/>
      <c r="M18" s="296">
        <v>18</v>
      </c>
      <c r="N18" s="299"/>
      <c r="O18" s="299"/>
      <c r="P18" s="299"/>
    </row>
    <row r="19" spans="1:16" ht="12.75">
      <c r="A19" s="331"/>
      <c r="B19" s="305"/>
      <c r="C19" s="192"/>
      <c r="D19" s="102"/>
      <c r="E19" s="47"/>
      <c r="F19" s="319"/>
      <c r="G19" s="319"/>
      <c r="H19" s="221"/>
      <c r="I19" s="320"/>
      <c r="J19" s="228"/>
      <c r="K19" s="33"/>
      <c r="M19" s="296"/>
      <c r="N19" s="299"/>
      <c r="O19" s="299"/>
      <c r="P19" s="299"/>
    </row>
    <row r="20" spans="1:16" ht="12.75">
      <c r="A20" s="331"/>
      <c r="B20" s="305"/>
      <c r="C20" s="98"/>
      <c r="D20" s="105"/>
      <c r="E20" s="200"/>
      <c r="F20" s="281"/>
      <c r="G20" s="281"/>
      <c r="H20" s="306"/>
      <c r="I20" s="306"/>
      <c r="J20" s="307"/>
      <c r="K20" s="33"/>
      <c r="M20" s="296"/>
      <c r="N20" s="299"/>
      <c r="O20" s="299"/>
      <c r="P20" s="299"/>
    </row>
    <row r="21" spans="1:16" ht="12.75">
      <c r="A21" s="331"/>
      <c r="B21" s="231"/>
      <c r="C21" s="98"/>
      <c r="D21" s="105"/>
      <c r="E21" s="47"/>
      <c r="F21" s="225"/>
      <c r="G21" s="225"/>
      <c r="H21" s="221"/>
      <c r="I21" s="225"/>
      <c r="J21" s="192"/>
      <c r="K21" s="33"/>
      <c r="M21" s="296">
        <v>19</v>
      </c>
      <c r="N21" s="299"/>
      <c r="O21" s="299"/>
      <c r="P21" s="299"/>
    </row>
    <row r="22" spans="1:16" ht="12.75">
      <c r="M22" s="321"/>
      <c r="N22" s="321"/>
      <c r="O22" s="236" t="s">
        <v>177</v>
      </c>
      <c r="P22" s="321">
        <f>SUM(P4:P21)</f>
        <v>0</v>
      </c>
    </row>
    <row r="23" spans="1:16" ht="12.75">
      <c r="A23" s="2"/>
      <c r="B23" s="4"/>
      <c r="C23" s="6"/>
      <c r="D23" s="8"/>
      <c r="E23" s="11"/>
      <c r="F23" s="220"/>
      <c r="G23" s="220"/>
      <c r="H23" s="6"/>
      <c r="I23" s="6"/>
      <c r="J23" s="100"/>
      <c r="K23" s="14"/>
      <c r="M23" s="287"/>
      <c r="N23" s="287"/>
    </row>
    <row r="24" spans="1:16" ht="63.75">
      <c r="A24" s="219" t="s">
        <v>5</v>
      </c>
      <c r="B24" s="125" t="s">
        <v>74</v>
      </c>
      <c r="C24" s="217" t="s">
        <v>159</v>
      </c>
      <c r="D24" s="129" t="s">
        <v>10</v>
      </c>
      <c r="E24" s="288" t="s">
        <v>243</v>
      </c>
      <c r="F24" s="289" t="s">
        <v>244</v>
      </c>
      <c r="G24" s="290" t="s">
        <v>245</v>
      </c>
      <c r="H24" s="291" t="s">
        <v>246</v>
      </c>
      <c r="I24" s="22" t="s">
        <v>13</v>
      </c>
      <c r="J24" s="240" t="s">
        <v>162</v>
      </c>
      <c r="K24" s="14"/>
      <c r="M24" s="287"/>
      <c r="N24" s="287"/>
    </row>
    <row r="25" spans="1:16" ht="12.75">
      <c r="A25" s="269">
        <v>1</v>
      </c>
      <c r="B25" s="271" t="s">
        <v>277</v>
      </c>
      <c r="C25" s="59">
        <v>7</v>
      </c>
      <c r="D25" s="45" t="s">
        <v>209</v>
      </c>
      <c r="E25" s="47"/>
      <c r="F25" s="223"/>
      <c r="G25" s="223"/>
      <c r="H25" s="6"/>
      <c r="I25" s="6"/>
      <c r="J25" s="295" t="s">
        <v>118</v>
      </c>
      <c r="K25" s="324"/>
      <c r="M25" s="325" t="s">
        <v>199</v>
      </c>
      <c r="N25" s="287"/>
    </row>
    <row r="26" spans="1:16" ht="12.75">
      <c r="A26" s="269">
        <v>4</v>
      </c>
      <c r="B26" s="29" t="s">
        <v>29</v>
      </c>
      <c r="C26" s="6">
        <v>10</v>
      </c>
      <c r="D26" s="45" t="s">
        <v>209</v>
      </c>
      <c r="E26" s="47">
        <v>31</v>
      </c>
      <c r="F26" s="223">
        <v>31</v>
      </c>
      <c r="G26" s="223">
        <v>32000</v>
      </c>
      <c r="H26" s="221">
        <f t="shared" ref="H26:H28" si="3">G26/E26*F26</f>
        <v>32000</v>
      </c>
      <c r="I26" s="6"/>
      <c r="J26" s="144" t="s">
        <v>266</v>
      </c>
      <c r="K26" s="14"/>
      <c r="M26" s="287"/>
      <c r="N26" s="287"/>
    </row>
    <row r="27" spans="1:16" ht="16.5" customHeight="1">
      <c r="A27" s="269">
        <v>5</v>
      </c>
      <c r="B27" s="29" t="s">
        <v>26</v>
      </c>
      <c r="C27" s="59">
        <v>7</v>
      </c>
      <c r="D27" s="45" t="s">
        <v>215</v>
      </c>
      <c r="E27" s="47">
        <v>31</v>
      </c>
      <c r="F27" s="223">
        <v>31</v>
      </c>
      <c r="G27" s="223">
        <v>14000</v>
      </c>
      <c r="H27" s="221">
        <f t="shared" si="3"/>
        <v>14000</v>
      </c>
      <c r="I27" s="6"/>
      <c r="J27" s="228" t="s">
        <v>266</v>
      </c>
      <c r="K27" s="14"/>
      <c r="M27" s="287"/>
      <c r="N27" s="287"/>
    </row>
    <row r="28" spans="1:16" ht="12.75">
      <c r="A28" s="269">
        <v>8</v>
      </c>
      <c r="B28" s="253" t="s">
        <v>280</v>
      </c>
      <c r="C28" s="98">
        <v>7</v>
      </c>
      <c r="D28" s="105"/>
      <c r="E28" s="200">
        <v>31</v>
      </c>
      <c r="F28" s="225"/>
      <c r="G28" s="229"/>
      <c r="H28" s="221">
        <f t="shared" si="3"/>
        <v>0</v>
      </c>
      <c r="I28" s="6"/>
      <c r="J28" s="295" t="s">
        <v>118</v>
      </c>
      <c r="K28" s="324"/>
      <c r="M28" s="287"/>
      <c r="N28" s="287"/>
    </row>
    <row r="29" spans="1:16" ht="12.75">
      <c r="A29" s="269">
        <v>10</v>
      </c>
      <c r="B29" s="234" t="s">
        <v>285</v>
      </c>
      <c r="C29" s="234">
        <v>7</v>
      </c>
      <c r="D29" s="234" t="s">
        <v>286</v>
      </c>
      <c r="E29" s="235"/>
      <c r="F29" s="235"/>
      <c r="G29" s="235"/>
      <c r="H29" s="235"/>
      <c r="I29" s="235"/>
      <c r="J29" s="235"/>
      <c r="K29" s="14"/>
      <c r="M29" s="287"/>
      <c r="N29" s="287"/>
    </row>
    <row r="30" spans="1:16" ht="12.75">
      <c r="A30" s="327">
        <v>12</v>
      </c>
      <c r="B30" s="236" t="s">
        <v>259</v>
      </c>
      <c r="C30" s="59">
        <v>7</v>
      </c>
      <c r="D30" s="45" t="s">
        <v>260</v>
      </c>
      <c r="E30" s="47"/>
      <c r="F30" s="222"/>
      <c r="G30" s="222">
        <v>17500</v>
      </c>
      <c r="H30" s="222">
        <v>17500</v>
      </c>
      <c r="I30" s="6"/>
      <c r="J30" s="228" t="s">
        <v>266</v>
      </c>
      <c r="K30" s="324"/>
      <c r="M30" s="287"/>
      <c r="N30" s="287"/>
    </row>
    <row r="31" spans="1:16" ht="12.75">
      <c r="A31" s="269"/>
      <c r="B31" s="308" t="s">
        <v>287</v>
      </c>
      <c r="C31" s="251">
        <v>7</v>
      </c>
      <c r="D31" s="251" t="s">
        <v>288</v>
      </c>
      <c r="E31" s="52"/>
      <c r="F31" s="222"/>
      <c r="G31" s="222">
        <v>35000</v>
      </c>
      <c r="H31" s="222">
        <v>35000</v>
      </c>
      <c r="I31" s="49"/>
      <c r="J31" s="309"/>
      <c r="K31" s="1"/>
      <c r="M31" s="287"/>
      <c r="N31" s="287"/>
    </row>
    <row r="32" spans="1:16" ht="12.75">
      <c r="A32" s="269">
        <v>13</v>
      </c>
      <c r="B32" s="308" t="s">
        <v>261</v>
      </c>
      <c r="C32" s="251">
        <v>7</v>
      </c>
      <c r="D32" s="51" t="s">
        <v>262</v>
      </c>
      <c r="E32" s="52"/>
      <c r="F32" s="222"/>
      <c r="G32" s="222">
        <v>17500</v>
      </c>
      <c r="H32" s="222">
        <v>17500</v>
      </c>
      <c r="I32" s="49"/>
      <c r="J32" s="309"/>
      <c r="K32" s="1" t="s">
        <v>225</v>
      </c>
      <c r="M32" s="287"/>
      <c r="N32" s="287"/>
    </row>
    <row r="33" spans="1:14" ht="12.75">
      <c r="A33" s="269"/>
      <c r="B33" s="283" t="s">
        <v>147</v>
      </c>
      <c r="C33" s="337"/>
      <c r="D33" s="51"/>
      <c r="E33" s="52"/>
      <c r="F33" s="222"/>
      <c r="G33" s="222"/>
      <c r="H33" s="222"/>
      <c r="I33" s="221"/>
      <c r="J33" s="338"/>
      <c r="K33" s="324"/>
      <c r="M33" s="287"/>
      <c r="N33" s="287"/>
    </row>
    <row r="34" spans="1:14" ht="12.75">
      <c r="A34" s="269">
        <v>14</v>
      </c>
      <c r="B34" s="283" t="s">
        <v>290</v>
      </c>
      <c r="C34" s="340">
        <v>7</v>
      </c>
      <c r="D34" s="51" t="s">
        <v>291</v>
      </c>
      <c r="E34" s="52"/>
      <c r="F34" s="222"/>
      <c r="G34" s="222">
        <v>30000</v>
      </c>
      <c r="H34" s="222">
        <v>30000</v>
      </c>
      <c r="I34" s="221"/>
      <c r="J34" s="332" t="s">
        <v>210</v>
      </c>
      <c r="K34" s="324"/>
      <c r="M34" s="287"/>
      <c r="N34" s="287"/>
    </row>
    <row r="35" spans="1:14" ht="12.75">
      <c r="A35" s="327"/>
      <c r="B35" s="234" t="s">
        <v>292</v>
      </c>
      <c r="C35" s="234">
        <v>7</v>
      </c>
      <c r="D35" s="322">
        <v>45535</v>
      </c>
      <c r="E35" s="235"/>
      <c r="F35" s="235"/>
      <c r="G35" s="235"/>
      <c r="H35" s="235"/>
      <c r="I35" s="235"/>
      <c r="J35" s="295" t="s">
        <v>118</v>
      </c>
      <c r="K35" s="33"/>
      <c r="M35" s="287"/>
      <c r="N35" s="287"/>
    </row>
    <row r="36" spans="1:14" ht="12.75">
      <c r="A36" s="327">
        <v>15</v>
      </c>
      <c r="B36" s="4" t="s">
        <v>293</v>
      </c>
      <c r="C36" s="192">
        <v>7</v>
      </c>
      <c r="D36" s="45" t="s">
        <v>294</v>
      </c>
      <c r="E36" s="326">
        <v>31</v>
      </c>
      <c r="F36" s="220"/>
      <c r="G36" s="223">
        <v>36484</v>
      </c>
      <c r="H36" s="223">
        <v>36484</v>
      </c>
      <c r="I36" s="220"/>
      <c r="J36" s="332" t="s">
        <v>210</v>
      </c>
      <c r="K36" s="33"/>
      <c r="M36" s="287"/>
      <c r="N36" s="287"/>
    </row>
    <row r="37" spans="1:14" ht="12.75">
      <c r="A37" s="219"/>
      <c r="B37" s="236" t="s">
        <v>285</v>
      </c>
      <c r="C37" s="59">
        <v>7</v>
      </c>
      <c r="D37" s="45" t="s">
        <v>295</v>
      </c>
      <c r="E37" s="6"/>
      <c r="F37" s="220"/>
      <c r="G37" s="223">
        <v>20000</v>
      </c>
      <c r="H37" s="223">
        <v>20000</v>
      </c>
      <c r="I37" s="220"/>
      <c r="J37" s="340"/>
      <c r="K37" s="33" t="s">
        <v>296</v>
      </c>
      <c r="M37" s="287"/>
      <c r="N37" s="287"/>
    </row>
    <row r="38" spans="1:14" ht="12.75">
      <c r="A38" s="219"/>
      <c r="B38" s="236" t="s">
        <v>297</v>
      </c>
      <c r="C38" s="59">
        <v>7</v>
      </c>
      <c r="D38" s="45" t="s">
        <v>294</v>
      </c>
      <c r="E38" s="6"/>
      <c r="F38" s="220"/>
      <c r="G38" s="6"/>
      <c r="H38" s="220"/>
      <c r="I38" s="220"/>
      <c r="J38" s="340" t="s">
        <v>118</v>
      </c>
      <c r="K38" s="33" t="s">
        <v>298</v>
      </c>
      <c r="M38" s="287"/>
      <c r="N38" s="287"/>
    </row>
    <row r="39" spans="1:14" ht="12.75">
      <c r="A39" s="100"/>
      <c r="B39" s="236" t="s">
        <v>177</v>
      </c>
      <c r="C39" s="6">
        <f>SUM(C25:C38)</f>
        <v>94</v>
      </c>
      <c r="D39" s="8"/>
      <c r="E39" s="11">
        <f>SUM(E25:E36)</f>
        <v>124</v>
      </c>
      <c r="F39" s="220"/>
      <c r="G39" s="220">
        <f t="shared" ref="G39:I39" si="4">SUM(G25:G36)</f>
        <v>182484</v>
      </c>
      <c r="H39" s="220">
        <f t="shared" si="4"/>
        <v>182484</v>
      </c>
      <c r="I39" s="220">
        <f t="shared" si="4"/>
        <v>0</v>
      </c>
      <c r="J39" s="238">
        <f>H39+I39</f>
        <v>182484</v>
      </c>
      <c r="K39" s="14"/>
      <c r="M39" s="287"/>
      <c r="N39" s="287"/>
    </row>
    <row r="40" spans="1:14" ht="12.75">
      <c r="A40" s="100"/>
      <c r="B40" s="29"/>
      <c r="C40" s="6"/>
      <c r="D40" s="118"/>
      <c r="E40" s="120"/>
      <c r="F40" s="255"/>
      <c r="G40" s="255"/>
      <c r="H40" s="116"/>
      <c r="I40" s="116"/>
      <c r="J40" s="100"/>
      <c r="K40" s="14"/>
      <c r="M40" s="287"/>
      <c r="N40" s="287"/>
    </row>
    <row r="41" spans="1:14" ht="12.75">
      <c r="A41" s="331"/>
      <c r="B41" s="4" t="s">
        <v>300</v>
      </c>
      <c r="C41" s="192">
        <v>6</v>
      </c>
      <c r="D41" s="45" t="s">
        <v>301</v>
      </c>
      <c r="E41" s="200">
        <v>15</v>
      </c>
      <c r="F41" s="223">
        <v>15</v>
      </c>
      <c r="G41" s="223">
        <v>15000</v>
      </c>
      <c r="H41" s="223">
        <v>15000</v>
      </c>
      <c r="I41" s="220"/>
      <c r="J41" s="332" t="s">
        <v>210</v>
      </c>
      <c r="K41" s="14"/>
      <c r="M41" s="287"/>
      <c r="N41" s="287"/>
    </row>
    <row r="42" spans="1:14" ht="12.75">
      <c r="A42" s="331"/>
      <c r="B42" s="231" t="s">
        <v>257</v>
      </c>
      <c r="C42" s="192">
        <v>7</v>
      </c>
      <c r="D42" s="105" t="s">
        <v>258</v>
      </c>
      <c r="E42" s="326">
        <v>31</v>
      </c>
      <c r="F42" s="273"/>
      <c r="G42" s="273">
        <v>35000</v>
      </c>
      <c r="H42" s="221">
        <f>G42/E42*F42</f>
        <v>0</v>
      </c>
      <c r="I42" s="301"/>
      <c r="J42" s="332" t="s">
        <v>210</v>
      </c>
      <c r="K42" s="14"/>
      <c r="M42" s="287"/>
      <c r="N42" s="287"/>
    </row>
    <row r="43" spans="1:14" ht="12.75">
      <c r="A43" s="331"/>
      <c r="B43" s="305"/>
      <c r="C43" s="98"/>
      <c r="D43" s="105"/>
      <c r="E43" s="200"/>
      <c r="F43" s="281"/>
      <c r="G43" s="281"/>
      <c r="H43" s="306"/>
      <c r="I43" s="333"/>
      <c r="J43" s="192"/>
      <c r="K43" s="14"/>
      <c r="M43" s="287"/>
      <c r="N43" s="287"/>
    </row>
    <row r="44" spans="1:14" ht="12.75">
      <c r="A44" s="331"/>
      <c r="B44" s="231"/>
      <c r="C44" s="98"/>
      <c r="D44" s="105"/>
      <c r="E44" s="326"/>
      <c r="F44" s="334"/>
      <c r="G44" s="334"/>
      <c r="H44" s="221"/>
      <c r="I44" s="273"/>
      <c r="J44" s="192"/>
      <c r="K44" s="14"/>
      <c r="M44" s="287"/>
      <c r="N44" s="287"/>
    </row>
    <row r="45" spans="1:14" ht="12.75">
      <c r="A45" s="2"/>
      <c r="B45" s="29"/>
      <c r="C45" s="6"/>
      <c r="D45" s="8"/>
      <c r="E45" s="11"/>
      <c r="F45" s="220"/>
      <c r="G45" s="220"/>
      <c r="H45" s="6"/>
      <c r="I45" s="6"/>
      <c r="J45" s="100"/>
      <c r="K45" s="14"/>
      <c r="M45" s="287"/>
      <c r="N45" s="287"/>
    </row>
    <row r="46" spans="1:14" ht="63.75">
      <c r="A46" s="219" t="s">
        <v>5</v>
      </c>
      <c r="B46" s="335" t="s">
        <v>281</v>
      </c>
      <c r="C46" s="217"/>
      <c r="D46" s="129" t="s">
        <v>10</v>
      </c>
      <c r="E46" s="288" t="s">
        <v>243</v>
      </c>
      <c r="F46" s="289" t="s">
        <v>244</v>
      </c>
      <c r="G46" s="290" t="s">
        <v>245</v>
      </c>
      <c r="H46" s="291" t="s">
        <v>246</v>
      </c>
      <c r="I46" s="22" t="s">
        <v>13</v>
      </c>
      <c r="J46" s="240" t="s">
        <v>162</v>
      </c>
      <c r="K46" s="14"/>
      <c r="M46" s="287"/>
      <c r="N46" s="287"/>
    </row>
    <row r="47" spans="1:14" ht="12.75">
      <c r="A47" s="2">
        <v>1</v>
      </c>
      <c r="B47" s="4" t="s">
        <v>101</v>
      </c>
      <c r="C47" s="59"/>
      <c r="D47" s="8"/>
      <c r="E47" s="47">
        <v>31</v>
      </c>
      <c r="F47" s="223">
        <v>31</v>
      </c>
      <c r="G47" s="223">
        <v>22000</v>
      </c>
      <c r="H47" s="222">
        <v>25000</v>
      </c>
      <c r="I47" s="6"/>
      <c r="J47" s="144" t="s">
        <v>269</v>
      </c>
      <c r="K47" s="340" t="s">
        <v>303</v>
      </c>
      <c r="L47" s="1" t="s">
        <v>283</v>
      </c>
      <c r="M47" s="287"/>
      <c r="N47" s="287"/>
    </row>
    <row r="48" spans="1:14" ht="12.75">
      <c r="A48" s="116"/>
      <c r="B48" s="172"/>
      <c r="C48" s="116"/>
      <c r="D48" s="118"/>
      <c r="E48" s="120"/>
      <c r="F48" s="255"/>
      <c r="G48" s="236" t="s">
        <v>177</v>
      </c>
      <c r="H48" s="336">
        <f>SUM(H47:I47)</f>
        <v>25000</v>
      </c>
      <c r="I48" s="116"/>
      <c r="J48" s="100"/>
      <c r="K48" s="14"/>
      <c r="L48" s="1" t="s">
        <v>284</v>
      </c>
      <c r="M48" s="287"/>
      <c r="N48" s="287"/>
    </row>
    <row r="49" spans="1:14" ht="63.75">
      <c r="A49" s="219" t="s">
        <v>5</v>
      </c>
      <c r="B49" s="177" t="s">
        <v>106</v>
      </c>
      <c r="C49" s="217"/>
      <c r="D49" s="129" t="s">
        <v>10</v>
      </c>
      <c r="E49" s="288" t="s">
        <v>243</v>
      </c>
      <c r="F49" s="289" t="s">
        <v>244</v>
      </c>
      <c r="G49" s="290" t="s">
        <v>245</v>
      </c>
      <c r="H49" s="291" t="s">
        <v>246</v>
      </c>
      <c r="I49" s="22" t="s">
        <v>13</v>
      </c>
      <c r="J49" s="240" t="s">
        <v>162</v>
      </c>
      <c r="K49" s="14"/>
      <c r="M49" s="287"/>
      <c r="N49" s="287"/>
    </row>
    <row r="50" spans="1:14" ht="12.75">
      <c r="A50" s="100">
        <v>1</v>
      </c>
      <c r="B50" s="181" t="s">
        <v>101</v>
      </c>
      <c r="C50" s="144"/>
      <c r="D50" s="109"/>
      <c r="E50" s="103">
        <v>31</v>
      </c>
      <c r="F50" s="258">
        <v>31</v>
      </c>
      <c r="G50" s="258">
        <v>15000</v>
      </c>
      <c r="H50" s="222">
        <v>22000</v>
      </c>
      <c r="I50" s="100"/>
      <c r="J50" s="144" t="s">
        <v>269</v>
      </c>
      <c r="K50" s="340" t="s">
        <v>303</v>
      </c>
      <c r="M50" s="287"/>
      <c r="N50" s="287"/>
    </row>
    <row r="51" spans="1:14" ht="12.75">
      <c r="A51" s="14"/>
      <c r="B51" s="183"/>
      <c r="C51" s="14"/>
      <c r="D51" s="185"/>
      <c r="E51" s="35"/>
      <c r="F51" s="209"/>
      <c r="G51" s="236" t="s">
        <v>177</v>
      </c>
      <c r="H51" s="336">
        <f>SUM(H50:I50)</f>
        <v>22000</v>
      </c>
      <c r="I51" s="14"/>
      <c r="J51" s="100"/>
      <c r="K51" s="14"/>
      <c r="M51" s="287"/>
      <c r="N51" s="287"/>
    </row>
    <row r="52" spans="1:14" ht="63.75">
      <c r="A52" s="219" t="s">
        <v>5</v>
      </c>
      <c r="B52" s="191" t="s">
        <v>122</v>
      </c>
      <c r="C52" s="189"/>
      <c r="D52" s="129" t="s">
        <v>10</v>
      </c>
      <c r="E52" s="288" t="s">
        <v>243</v>
      </c>
      <c r="F52" s="289" t="s">
        <v>244</v>
      </c>
      <c r="G52" s="290" t="s">
        <v>245</v>
      </c>
      <c r="H52" s="291" t="s">
        <v>246</v>
      </c>
      <c r="I52" s="22" t="s">
        <v>13</v>
      </c>
      <c r="J52" s="240" t="s">
        <v>162</v>
      </c>
      <c r="K52" s="14"/>
      <c r="M52" s="287"/>
      <c r="N52" s="287"/>
    </row>
    <row r="53" spans="1:14" ht="12.75">
      <c r="A53" s="2" t="s">
        <v>114</v>
      </c>
      <c r="B53" s="4" t="s">
        <v>128</v>
      </c>
      <c r="C53" s="59"/>
      <c r="D53" s="45" t="s">
        <v>148</v>
      </c>
      <c r="E53" s="47">
        <v>31</v>
      </c>
      <c r="F53" s="47">
        <v>31</v>
      </c>
      <c r="G53" s="223">
        <v>25000</v>
      </c>
      <c r="H53" s="221">
        <f t="shared" ref="H53:H57" si="5">G53/E53*F53</f>
        <v>25000</v>
      </c>
      <c r="I53" s="6"/>
      <c r="J53" s="144" t="s">
        <v>269</v>
      </c>
      <c r="K53" s="14"/>
      <c r="M53" s="287"/>
      <c r="N53" s="287"/>
    </row>
    <row r="54" spans="1:14" ht="12.75">
      <c r="A54" s="59" t="s">
        <v>151</v>
      </c>
      <c r="B54" s="4" t="s">
        <v>191</v>
      </c>
      <c r="C54" s="59"/>
      <c r="D54" s="45" t="s">
        <v>193</v>
      </c>
      <c r="E54" s="47">
        <v>31</v>
      </c>
      <c r="F54" s="47">
        <v>31</v>
      </c>
      <c r="G54" s="223">
        <v>21250</v>
      </c>
      <c r="H54" s="221">
        <f t="shared" si="5"/>
        <v>21250</v>
      </c>
      <c r="I54" s="6"/>
      <c r="J54" s="332" t="s">
        <v>210</v>
      </c>
      <c r="K54" s="14"/>
      <c r="M54" s="287"/>
      <c r="N54" s="287"/>
    </row>
    <row r="55" spans="1:14" ht="12.75">
      <c r="A55" s="59" t="s">
        <v>152</v>
      </c>
      <c r="B55" s="4" t="s">
        <v>194</v>
      </c>
      <c r="C55" s="59"/>
      <c r="D55" s="45" t="s">
        <v>193</v>
      </c>
      <c r="E55" s="47">
        <v>31</v>
      </c>
      <c r="F55" s="47">
        <v>31</v>
      </c>
      <c r="G55" s="223">
        <v>21250</v>
      </c>
      <c r="H55" s="221">
        <f t="shared" si="5"/>
        <v>21250</v>
      </c>
      <c r="I55" s="6"/>
      <c r="J55" s="144" t="s">
        <v>269</v>
      </c>
      <c r="K55" s="33" t="s">
        <v>312</v>
      </c>
      <c r="M55" s="287"/>
      <c r="N55" s="287"/>
    </row>
    <row r="56" spans="1:14" ht="12.75">
      <c r="A56" s="59" t="s">
        <v>153</v>
      </c>
      <c r="B56" s="283" t="s">
        <v>237</v>
      </c>
      <c r="C56" s="59"/>
      <c r="D56" s="45" t="s">
        <v>238</v>
      </c>
      <c r="E56" s="47">
        <v>31</v>
      </c>
      <c r="F56" s="47">
        <v>31</v>
      </c>
      <c r="G56" s="223">
        <v>21250</v>
      </c>
      <c r="H56" s="221">
        <f t="shared" si="5"/>
        <v>21250</v>
      </c>
      <c r="I56" s="6"/>
      <c r="J56" s="100"/>
      <c r="K56" s="33" t="s">
        <v>225</v>
      </c>
      <c r="M56" s="287"/>
      <c r="N56" s="287"/>
    </row>
    <row r="57" spans="1:14" ht="12.75">
      <c r="A57" s="59" t="s">
        <v>132</v>
      </c>
      <c r="B57" s="253" t="s">
        <v>197</v>
      </c>
      <c r="C57" s="59"/>
      <c r="D57" s="45" t="s">
        <v>198</v>
      </c>
      <c r="E57" s="47">
        <v>31</v>
      </c>
      <c r="F57" s="47">
        <v>31</v>
      </c>
      <c r="G57" s="223">
        <v>16000</v>
      </c>
      <c r="H57" s="221">
        <f t="shared" si="5"/>
        <v>16000</v>
      </c>
      <c r="I57" s="6"/>
      <c r="J57" s="144" t="s">
        <v>269</v>
      </c>
      <c r="K57" s="14"/>
      <c r="M57" s="287"/>
      <c r="N57" s="287"/>
    </row>
    <row r="58" spans="1:14" ht="12.75">
      <c r="A58" s="14"/>
      <c r="B58" s="183"/>
      <c r="C58" s="14"/>
      <c r="D58" s="185"/>
      <c r="E58" s="35"/>
      <c r="F58" s="209"/>
      <c r="G58" s="236" t="s">
        <v>177</v>
      </c>
      <c r="H58" s="264">
        <f>SUM(H53:I57)</f>
        <v>104750</v>
      </c>
      <c r="I58" s="14"/>
      <c r="J58" s="100"/>
      <c r="K58" s="14"/>
      <c r="M58" s="287"/>
      <c r="N58" s="287"/>
    </row>
    <row r="59" spans="1:14" ht="63.75">
      <c r="A59" s="219" t="s">
        <v>5</v>
      </c>
      <c r="B59" s="196" t="s">
        <v>111</v>
      </c>
      <c r="C59" s="189"/>
      <c r="D59" s="129" t="s">
        <v>10</v>
      </c>
      <c r="E59" s="288" t="s">
        <v>243</v>
      </c>
      <c r="F59" s="289" t="s">
        <v>244</v>
      </c>
      <c r="G59" s="290" t="s">
        <v>245</v>
      </c>
      <c r="H59" s="291" t="s">
        <v>246</v>
      </c>
      <c r="I59" s="22" t="s">
        <v>13</v>
      </c>
      <c r="J59" s="240" t="s">
        <v>162</v>
      </c>
      <c r="K59" s="14"/>
      <c r="M59" s="287"/>
      <c r="N59" s="287"/>
    </row>
    <row r="60" spans="1:14" ht="12.75">
      <c r="A60" s="2" t="s">
        <v>114</v>
      </c>
      <c r="B60" s="339" t="s">
        <v>289</v>
      </c>
      <c r="C60" s="59"/>
      <c r="D60" s="45" t="s">
        <v>148</v>
      </c>
      <c r="E60" s="47">
        <v>31</v>
      </c>
      <c r="F60" s="47">
        <v>31</v>
      </c>
      <c r="G60" s="223">
        <v>7500</v>
      </c>
      <c r="H60" s="222">
        <v>8000</v>
      </c>
      <c r="I60" s="6"/>
      <c r="J60" s="144" t="s">
        <v>269</v>
      </c>
      <c r="K60" s="14"/>
      <c r="M60" s="287"/>
      <c r="N60" s="287"/>
    </row>
    <row r="61" spans="1:14" ht="12.75">
      <c r="A61" s="6" t="s">
        <v>119</v>
      </c>
      <c r="B61" s="339" t="s">
        <v>289</v>
      </c>
      <c r="C61" s="59"/>
      <c r="D61" s="45" t="s">
        <v>148</v>
      </c>
      <c r="E61" s="47">
        <v>31</v>
      </c>
      <c r="F61" s="47">
        <v>31</v>
      </c>
      <c r="G61" s="223">
        <v>6500</v>
      </c>
      <c r="H61" s="222">
        <v>7000</v>
      </c>
      <c r="I61" s="6"/>
      <c r="J61" s="144" t="s">
        <v>269</v>
      </c>
      <c r="K61" s="14"/>
      <c r="M61" s="287"/>
      <c r="N61" s="287"/>
    </row>
    <row r="62" spans="1:14" ht="12.75">
      <c r="A62" s="116"/>
      <c r="B62" s="172"/>
      <c r="C62" s="116"/>
      <c r="D62" s="118"/>
      <c r="E62" s="120"/>
      <c r="F62" s="255"/>
      <c r="G62" s="236" t="s">
        <v>177</v>
      </c>
      <c r="H62" s="351">
        <v>15000</v>
      </c>
      <c r="I62" s="116"/>
      <c r="J62" s="150"/>
      <c r="K62" s="14"/>
      <c r="M62" s="287"/>
      <c r="N62" s="287"/>
    </row>
    <row r="63" spans="1:14" ht="63.75">
      <c r="A63" s="219" t="s">
        <v>5</v>
      </c>
      <c r="B63" s="186" t="s">
        <v>123</v>
      </c>
      <c r="C63" s="187"/>
      <c r="D63" s="129" t="s">
        <v>10</v>
      </c>
      <c r="E63" s="288" t="s">
        <v>243</v>
      </c>
      <c r="F63" s="289" t="s">
        <v>244</v>
      </c>
      <c r="G63" s="290" t="s">
        <v>245</v>
      </c>
      <c r="H63" s="291" t="s">
        <v>246</v>
      </c>
      <c r="I63" s="22" t="s">
        <v>13</v>
      </c>
      <c r="J63" s="240" t="s">
        <v>162</v>
      </c>
      <c r="K63" s="14"/>
      <c r="M63" s="287"/>
      <c r="N63" s="287"/>
    </row>
    <row r="64" spans="1:14" ht="25.5">
      <c r="A64" s="2" t="s">
        <v>114</v>
      </c>
      <c r="B64" s="29" t="s">
        <v>125</v>
      </c>
      <c r="C64" s="59"/>
      <c r="D64" s="51"/>
      <c r="E64" s="47">
        <v>31</v>
      </c>
      <c r="F64" s="47">
        <v>31</v>
      </c>
      <c r="G64" s="223">
        <v>10000</v>
      </c>
      <c r="H64" s="221">
        <f t="shared" ref="H64:H65" si="6">G64/E64*F64</f>
        <v>10000</v>
      </c>
      <c r="I64" s="6"/>
      <c r="J64" s="230" t="s">
        <v>313</v>
      </c>
      <c r="K64" s="1204" t="s">
        <v>314</v>
      </c>
      <c r="M64" s="287"/>
      <c r="N64" s="287"/>
    </row>
    <row r="65" spans="1:14" ht="12.75">
      <c r="A65" s="2" t="s">
        <v>119</v>
      </c>
      <c r="B65" s="4" t="s">
        <v>239</v>
      </c>
      <c r="C65" s="59"/>
      <c r="D65" s="59" t="s">
        <v>202</v>
      </c>
      <c r="E65" s="47">
        <v>31</v>
      </c>
      <c r="F65" s="47">
        <v>31</v>
      </c>
      <c r="G65" s="223">
        <v>15000</v>
      </c>
      <c r="H65" s="221">
        <f t="shared" si="6"/>
        <v>15000</v>
      </c>
      <c r="I65" s="6"/>
      <c r="J65" s="144" t="s">
        <v>269</v>
      </c>
      <c r="K65" s="1205"/>
      <c r="M65" s="287"/>
      <c r="N65" s="287"/>
    </row>
    <row r="66" spans="1:14" ht="12.75">
      <c r="A66" s="132"/>
      <c r="B66" s="29"/>
      <c r="C66" s="6"/>
      <c r="D66" s="8"/>
      <c r="E66" s="52"/>
      <c r="F66" s="221"/>
      <c r="G66" s="236" t="s">
        <v>177</v>
      </c>
      <c r="H66" s="264">
        <f>SUM(H64:I65)</f>
        <v>25000</v>
      </c>
      <c r="I66" s="59"/>
      <c r="J66" s="260"/>
      <c r="K66" s="341"/>
      <c r="M66" s="287"/>
      <c r="N66" s="287"/>
    </row>
    <row r="67" spans="1:14" ht="63.75">
      <c r="A67" s="219" t="s">
        <v>5</v>
      </c>
      <c r="B67" s="342" t="s">
        <v>299</v>
      </c>
      <c r="C67" s="187"/>
      <c r="D67" s="129" t="s">
        <v>10</v>
      </c>
      <c r="E67" s="288" t="s">
        <v>243</v>
      </c>
      <c r="F67" s="289" t="s">
        <v>244</v>
      </c>
      <c r="G67" s="290" t="s">
        <v>245</v>
      </c>
      <c r="H67" s="291" t="s">
        <v>246</v>
      </c>
      <c r="I67" s="22" t="s">
        <v>13</v>
      </c>
      <c r="J67" s="240" t="s">
        <v>162</v>
      </c>
      <c r="K67" s="341"/>
      <c r="M67" s="287"/>
      <c r="N67" s="287"/>
    </row>
    <row r="68" spans="1:14" ht="12.75">
      <c r="A68" s="144" t="s">
        <v>114</v>
      </c>
      <c r="B68" s="181"/>
      <c r="C68" s="100"/>
      <c r="D68" s="109"/>
      <c r="E68" s="262"/>
      <c r="F68" s="237"/>
      <c r="G68" s="237"/>
      <c r="H68" s="100"/>
      <c r="I68" s="144"/>
      <c r="J68" s="260" t="s">
        <v>203</v>
      </c>
      <c r="K68" s="260" t="s">
        <v>203</v>
      </c>
      <c r="M68" s="287"/>
      <c r="N68" s="287"/>
    </row>
    <row r="69" spans="1:14" ht="12.75">
      <c r="A69" s="144" t="s">
        <v>204</v>
      </c>
      <c r="B69" s="284"/>
      <c r="C69" s="144"/>
      <c r="D69" s="203"/>
      <c r="E69" s="262"/>
      <c r="F69" s="270"/>
      <c r="G69" s="270"/>
      <c r="H69" s="100"/>
      <c r="I69" s="144"/>
      <c r="J69" s="260"/>
      <c r="K69" s="260"/>
      <c r="M69" s="287"/>
      <c r="N69" s="287"/>
    </row>
    <row r="70" spans="1:14" ht="12.75">
      <c r="A70" s="144" t="s">
        <v>132</v>
      </c>
      <c r="B70" s="181"/>
      <c r="C70" s="100"/>
      <c r="D70" s="109"/>
      <c r="E70" s="262"/>
      <c r="F70" s="237"/>
      <c r="G70" s="237"/>
      <c r="H70" s="100"/>
      <c r="I70" s="100"/>
      <c r="J70" s="260" t="s">
        <v>206</v>
      </c>
      <c r="K70" s="260" t="s">
        <v>206</v>
      </c>
      <c r="M70" s="287"/>
      <c r="N70" s="287"/>
    </row>
    <row r="71" spans="1:14" ht="12.75">
      <c r="A71" s="100"/>
      <c r="B71" s="181"/>
      <c r="C71" s="100"/>
      <c r="D71" s="109"/>
      <c r="E71" s="262"/>
      <c r="F71" s="237"/>
      <c r="G71" s="237"/>
      <c r="H71" s="100"/>
      <c r="I71" s="100"/>
      <c r="J71" s="150"/>
      <c r="K71" s="150"/>
      <c r="M71" s="287"/>
      <c r="N71" s="287"/>
    </row>
    <row r="72" spans="1:14" ht="12.75">
      <c r="A72" s="14"/>
      <c r="F72" s="286"/>
      <c r="G72" s="286"/>
      <c r="M72" s="287"/>
      <c r="N72" s="287"/>
    </row>
    <row r="73" spans="1:14" ht="63.75">
      <c r="A73" s="219" t="s">
        <v>5</v>
      </c>
      <c r="B73" s="342" t="s">
        <v>315</v>
      </c>
      <c r="C73" s="217" t="s">
        <v>159</v>
      </c>
      <c r="D73" s="129" t="s">
        <v>10</v>
      </c>
      <c r="E73" s="288" t="s">
        <v>243</v>
      </c>
      <c r="F73" s="289" t="s">
        <v>244</v>
      </c>
      <c r="G73" s="290" t="s">
        <v>245</v>
      </c>
      <c r="H73" s="291" t="s">
        <v>246</v>
      </c>
      <c r="I73" s="22" t="s">
        <v>13</v>
      </c>
      <c r="J73" s="240" t="s">
        <v>162</v>
      </c>
      <c r="K73" s="14"/>
      <c r="M73" s="287"/>
      <c r="N73" s="287"/>
    </row>
    <row r="74" spans="1:14" ht="12.75">
      <c r="A74" s="2"/>
      <c r="B74" s="29"/>
      <c r="C74" s="59"/>
      <c r="D74" s="51"/>
      <c r="E74" s="47"/>
      <c r="F74" s="47"/>
      <c r="G74" s="223"/>
      <c r="H74" s="221"/>
      <c r="I74" s="6"/>
      <c r="J74" s="100"/>
      <c r="K74" s="14"/>
      <c r="M74" s="287"/>
      <c r="N74" s="287"/>
    </row>
    <row r="75" spans="1:14" ht="12.75">
      <c r="A75" s="2"/>
      <c r="B75" s="4"/>
      <c r="C75" s="59"/>
      <c r="D75" s="59"/>
      <c r="E75" s="47"/>
      <c r="F75" s="47"/>
      <c r="G75" s="223"/>
      <c r="H75" s="221"/>
      <c r="I75" s="6"/>
      <c r="J75" s="144"/>
      <c r="K75" s="14"/>
      <c r="M75" s="287"/>
      <c r="N75" s="287"/>
    </row>
    <row r="76" spans="1:14" ht="12.75">
      <c r="A76" s="2"/>
      <c r="B76" s="4"/>
      <c r="C76" s="59"/>
      <c r="D76" s="59"/>
      <c r="E76" s="47"/>
      <c r="F76" s="47"/>
      <c r="G76" s="223"/>
      <c r="H76" s="221"/>
      <c r="I76" s="6"/>
      <c r="J76" s="144"/>
      <c r="K76" s="14"/>
      <c r="M76" s="287"/>
      <c r="N76" s="287"/>
    </row>
    <row r="77" spans="1:14" ht="12.75">
      <c r="A77" s="2"/>
      <c r="B77" s="4"/>
      <c r="C77" s="59"/>
      <c r="D77" s="59"/>
      <c r="E77" s="47"/>
      <c r="F77" s="47"/>
      <c r="G77" s="223"/>
      <c r="H77" s="221"/>
      <c r="I77" s="6"/>
      <c r="J77" s="144"/>
      <c r="K77" s="14"/>
      <c r="M77" s="287"/>
      <c r="N77" s="287"/>
    </row>
    <row r="78" spans="1:14" ht="12.75">
      <c r="A78" s="2"/>
      <c r="B78" s="4"/>
      <c r="C78" s="59"/>
      <c r="D78" s="59"/>
      <c r="E78" s="47"/>
      <c r="F78" s="47"/>
      <c r="G78" s="223"/>
      <c r="H78" s="221"/>
      <c r="I78" s="6"/>
      <c r="J78" s="144"/>
      <c r="K78" s="14"/>
      <c r="M78" s="287"/>
      <c r="N78" s="287"/>
    </row>
    <row r="79" spans="1:14" ht="12.75">
      <c r="A79" s="2"/>
      <c r="B79" s="4"/>
      <c r="C79" s="59"/>
      <c r="D79" s="59"/>
      <c r="E79" s="47"/>
      <c r="F79" s="47"/>
      <c r="G79" s="223"/>
      <c r="H79" s="221"/>
      <c r="I79" s="6"/>
      <c r="J79" s="144"/>
      <c r="K79" s="14"/>
      <c r="M79" s="287"/>
      <c r="N79" s="287"/>
    </row>
    <row r="80" spans="1:14" ht="12.75">
      <c r="A80" s="132"/>
      <c r="B80" s="29"/>
      <c r="C80" s="6"/>
      <c r="D80" s="8"/>
      <c r="E80" s="52"/>
      <c r="F80" s="221"/>
      <c r="G80" s="236" t="s">
        <v>177</v>
      </c>
      <c r="H80" s="264">
        <f>SUM(H74:I79)</f>
        <v>0</v>
      </c>
      <c r="I80" s="59"/>
      <c r="J80" s="260"/>
      <c r="K80" s="14"/>
      <c r="M80" s="287"/>
      <c r="N80" s="287"/>
    </row>
    <row r="81" spans="1:14" ht="12.75">
      <c r="A81" s="14"/>
      <c r="B81" s="183"/>
      <c r="C81" s="14"/>
      <c r="D81" s="185"/>
      <c r="E81" s="35"/>
      <c r="F81" s="209"/>
      <c r="G81" s="209"/>
      <c r="H81" s="14"/>
      <c r="I81" s="14"/>
      <c r="J81" s="14"/>
      <c r="K81" s="14"/>
      <c r="M81" s="287"/>
      <c r="N81" s="287"/>
    </row>
    <row r="82" spans="1:14" ht="12.75">
      <c r="K82" s="287"/>
      <c r="L82" s="287"/>
    </row>
    <row r="83" spans="1:14" ht="63.75">
      <c r="A83" s="219" t="s">
        <v>5</v>
      </c>
      <c r="B83" s="342" t="s">
        <v>316</v>
      </c>
      <c r="C83" s="217"/>
      <c r="D83" s="129" t="s">
        <v>10</v>
      </c>
      <c r="E83" s="288" t="s">
        <v>243</v>
      </c>
      <c r="F83" s="289" t="s">
        <v>244</v>
      </c>
      <c r="G83" s="290" t="s">
        <v>245</v>
      </c>
      <c r="H83" s="291" t="s">
        <v>246</v>
      </c>
      <c r="I83" s="22" t="s">
        <v>13</v>
      </c>
      <c r="J83" s="240" t="s">
        <v>162</v>
      </c>
      <c r="K83" s="287"/>
      <c r="L83" s="287"/>
    </row>
    <row r="84" spans="1:14" ht="12.75">
      <c r="A84" s="132" t="s">
        <v>204</v>
      </c>
      <c r="B84" s="4" t="s">
        <v>201</v>
      </c>
      <c r="C84" s="59"/>
      <c r="D84" s="51"/>
      <c r="E84" s="47"/>
      <c r="F84" s="47"/>
      <c r="G84" s="353"/>
      <c r="H84" s="354"/>
      <c r="I84" s="6"/>
      <c r="J84" s="100"/>
      <c r="K84" s="287"/>
      <c r="L84" s="287"/>
    </row>
    <row r="85" spans="1:14" ht="12.75">
      <c r="A85" s="132" t="s">
        <v>204</v>
      </c>
      <c r="B85" s="4" t="s">
        <v>317</v>
      </c>
      <c r="C85" s="6"/>
      <c r="D85" s="8"/>
      <c r="E85" s="52"/>
      <c r="F85" s="221"/>
      <c r="G85" s="355"/>
      <c r="H85" s="356"/>
      <c r="I85" s="59"/>
      <c r="J85" s="260"/>
      <c r="K85" s="287"/>
      <c r="L85" s="287"/>
    </row>
    <row r="86" spans="1:14" ht="12.75">
      <c r="A86" s="132" t="s">
        <v>204</v>
      </c>
      <c r="B86" s="4" t="s">
        <v>318</v>
      </c>
      <c r="C86" s="6"/>
      <c r="D86" s="8"/>
      <c r="E86" s="52"/>
      <c r="F86" s="221"/>
      <c r="G86" s="355"/>
      <c r="H86" s="356"/>
      <c r="I86" s="59"/>
      <c r="J86" s="260"/>
      <c r="K86" s="287"/>
      <c r="L86" s="287"/>
    </row>
    <row r="87" spans="1:14" ht="12.75">
      <c r="A87" s="132"/>
      <c r="B87" s="29"/>
      <c r="C87" s="6"/>
      <c r="D87" s="8"/>
      <c r="E87" s="52"/>
      <c r="F87" s="221"/>
      <c r="G87" s="236" t="s">
        <v>177</v>
      </c>
      <c r="H87" s="264">
        <f>SUM(H84:I84)</f>
        <v>0</v>
      </c>
      <c r="I87" s="59"/>
      <c r="J87" s="260"/>
      <c r="K87" s="287"/>
      <c r="L87" s="287"/>
    </row>
    <row r="88" spans="1:14" ht="12.75">
      <c r="K88" s="287"/>
      <c r="L88" s="287"/>
    </row>
    <row r="89" spans="1:14" ht="12.75">
      <c r="K89" s="287"/>
      <c r="L89" s="287"/>
    </row>
    <row r="90" spans="1:14" ht="63.75">
      <c r="A90" s="357" t="s">
        <v>5</v>
      </c>
      <c r="B90" s="358" t="s">
        <v>319</v>
      </c>
      <c r="C90" s="359"/>
      <c r="D90" s="360" t="s">
        <v>10</v>
      </c>
      <c r="E90" s="361" t="s">
        <v>243</v>
      </c>
      <c r="F90" s="362" t="s">
        <v>244</v>
      </c>
      <c r="G90" s="362" t="s">
        <v>245</v>
      </c>
      <c r="H90" s="363" t="s">
        <v>246</v>
      </c>
      <c r="I90" s="363" t="s">
        <v>13</v>
      </c>
      <c r="J90" s="364" t="s">
        <v>162</v>
      </c>
      <c r="K90" s="325" t="s">
        <v>320</v>
      </c>
      <c r="L90" s="287"/>
    </row>
    <row r="91" spans="1:14" ht="12.75">
      <c r="A91" s="365">
        <v>14</v>
      </c>
      <c r="B91" s="7"/>
      <c r="C91" s="366"/>
      <c r="D91" s="53"/>
      <c r="E91" s="12"/>
      <c r="F91" s="12"/>
      <c r="G91" s="367"/>
      <c r="H91" s="368"/>
      <c r="I91" s="7"/>
      <c r="J91" s="369"/>
      <c r="K91" s="287"/>
    </row>
    <row r="92" spans="1:14" ht="12.75">
      <c r="A92" s="370">
        <v>38</v>
      </c>
      <c r="B92" s="371" t="s">
        <v>321</v>
      </c>
      <c r="C92" s="366"/>
      <c r="D92" s="372">
        <v>45546</v>
      </c>
      <c r="E92" s="50"/>
      <c r="F92" s="368"/>
      <c r="G92" s="373">
        <v>25000</v>
      </c>
      <c r="H92" s="374">
        <v>25000</v>
      </c>
      <c r="I92" s="7"/>
      <c r="J92" s="375" t="s">
        <v>322</v>
      </c>
      <c r="K92" s="287"/>
      <c r="L92" s="1">
        <v>12000</v>
      </c>
    </row>
    <row r="93" spans="1:14" ht="12.75">
      <c r="A93" s="370"/>
      <c r="B93" s="371"/>
      <c r="C93" s="366"/>
      <c r="D93" s="372"/>
      <c r="E93" s="50"/>
      <c r="F93" s="368"/>
      <c r="G93" s="376" t="s">
        <v>177</v>
      </c>
      <c r="H93" s="377">
        <f>SUM(H91:I91)</f>
        <v>0</v>
      </c>
      <c r="I93" s="7"/>
      <c r="J93" s="378"/>
      <c r="K93" s="287"/>
    </row>
    <row r="94" spans="1:14" ht="12.75">
      <c r="J94" s="287"/>
      <c r="K94" s="287"/>
    </row>
    <row r="95" spans="1:14" ht="12.75">
      <c r="M95" s="287"/>
      <c r="N95" s="287"/>
    </row>
    <row r="96" spans="1:14" ht="63.75">
      <c r="A96" s="219" t="s">
        <v>5</v>
      </c>
      <c r="B96" s="342" t="s">
        <v>323</v>
      </c>
      <c r="C96" s="187"/>
      <c r="D96" s="129" t="s">
        <v>10</v>
      </c>
      <c r="E96" s="288" t="s">
        <v>243</v>
      </c>
      <c r="F96" s="289" t="s">
        <v>244</v>
      </c>
      <c r="G96" s="290" t="s">
        <v>245</v>
      </c>
      <c r="H96" s="291" t="s">
        <v>246</v>
      </c>
      <c r="I96" s="22" t="s">
        <v>13</v>
      </c>
      <c r="J96" s="240" t="s">
        <v>162</v>
      </c>
      <c r="K96" s="1" t="s">
        <v>320</v>
      </c>
      <c r="M96" s="287"/>
      <c r="N96" s="287"/>
    </row>
    <row r="97" spans="1:14" ht="12.75">
      <c r="A97" s="2" t="s">
        <v>114</v>
      </c>
      <c r="B97" s="4" t="s">
        <v>324</v>
      </c>
      <c r="C97" s="59"/>
      <c r="D97" s="51"/>
      <c r="E97" s="47"/>
      <c r="F97" s="47"/>
      <c r="G97" s="223"/>
      <c r="H97" s="221"/>
      <c r="I97" s="6"/>
      <c r="J97" s="230"/>
      <c r="M97" s="287"/>
      <c r="N97" s="287"/>
    </row>
    <row r="98" spans="1:14" ht="12.75">
      <c r="A98" s="2" t="s">
        <v>119</v>
      </c>
      <c r="B98" s="4"/>
      <c r="C98" s="59"/>
      <c r="D98" s="59"/>
      <c r="E98" s="47"/>
      <c r="F98" s="47"/>
      <c r="G98" s="223"/>
      <c r="H98" s="221"/>
      <c r="I98" s="6"/>
      <c r="J98" s="144"/>
      <c r="M98" s="287"/>
      <c r="N98" s="287"/>
    </row>
    <row r="99" spans="1:14" ht="12.75">
      <c r="A99" s="132"/>
      <c r="B99" s="29"/>
      <c r="C99" s="6"/>
      <c r="D99" s="8"/>
      <c r="E99" s="52"/>
      <c r="F99" s="221"/>
      <c r="G99" s="236" t="s">
        <v>177</v>
      </c>
      <c r="H99" s="264">
        <f>SUM(H97:I98)</f>
        <v>0</v>
      </c>
      <c r="I99" s="59"/>
      <c r="J99" s="260"/>
      <c r="M99" s="287"/>
      <c r="N99" s="287"/>
    </row>
    <row r="100" spans="1:14" ht="12.75">
      <c r="M100" s="287"/>
      <c r="N100" s="287"/>
    </row>
    <row r="101" spans="1:14" ht="12.75">
      <c r="M101" s="287"/>
      <c r="N101" s="287"/>
    </row>
    <row r="102" spans="1:14" ht="63.75">
      <c r="A102" s="219" t="s">
        <v>5</v>
      </c>
      <c r="B102" s="342" t="s">
        <v>325</v>
      </c>
      <c r="C102" s="187"/>
      <c r="D102" s="129" t="s">
        <v>10</v>
      </c>
      <c r="E102" s="288" t="s">
        <v>243</v>
      </c>
      <c r="F102" s="289" t="s">
        <v>244</v>
      </c>
      <c r="G102" s="290" t="s">
        <v>245</v>
      </c>
      <c r="H102" s="291" t="s">
        <v>246</v>
      </c>
      <c r="I102" s="22" t="s">
        <v>13</v>
      </c>
      <c r="J102" s="240" t="s">
        <v>162</v>
      </c>
      <c r="K102" s="1" t="s">
        <v>320</v>
      </c>
      <c r="M102" s="287"/>
      <c r="N102" s="287"/>
    </row>
    <row r="103" spans="1:14" ht="12.75">
      <c r="A103" s="2" t="s">
        <v>114</v>
      </c>
      <c r="B103" s="29"/>
      <c r="C103" s="59"/>
      <c r="D103" s="51"/>
      <c r="E103" s="47"/>
      <c r="F103" s="47"/>
      <c r="G103" s="223"/>
      <c r="H103" s="221"/>
      <c r="I103" s="6"/>
      <c r="J103" s="230"/>
      <c r="M103" s="287"/>
      <c r="N103" s="287"/>
    </row>
    <row r="104" spans="1:14" ht="12.75">
      <c r="A104" s="2" t="s">
        <v>119</v>
      </c>
      <c r="B104" s="4"/>
      <c r="C104" s="59"/>
      <c r="D104" s="59"/>
      <c r="E104" s="47"/>
      <c r="F104" s="47"/>
      <c r="G104" s="223"/>
      <c r="H104" s="221"/>
      <c r="I104" s="6"/>
      <c r="J104" s="144"/>
      <c r="M104" s="287"/>
      <c r="N104" s="287"/>
    </row>
    <row r="105" spans="1:14" ht="12.75">
      <c r="A105" s="132"/>
      <c r="B105" s="29"/>
      <c r="C105" s="6"/>
      <c r="D105" s="8"/>
      <c r="E105" s="52"/>
      <c r="F105" s="221"/>
      <c r="G105" s="236" t="s">
        <v>177</v>
      </c>
      <c r="H105" s="264">
        <f>SUM(H103:I104)</f>
        <v>0</v>
      </c>
      <c r="I105" s="59"/>
      <c r="J105" s="260"/>
      <c r="M105" s="287"/>
      <c r="N105" s="287"/>
    </row>
    <row r="106" spans="1:14" ht="12.75">
      <c r="M106" s="287"/>
      <c r="N106" s="287"/>
    </row>
    <row r="107" spans="1:14" ht="12.75">
      <c r="M107" s="287"/>
      <c r="N107" s="287"/>
    </row>
    <row r="108" spans="1:14" ht="63.75">
      <c r="A108" s="219" t="s">
        <v>5</v>
      </c>
      <c r="B108" s="342" t="s">
        <v>326</v>
      </c>
      <c r="C108" s="187"/>
      <c r="D108" s="129" t="s">
        <v>10</v>
      </c>
      <c r="E108" s="288" t="s">
        <v>243</v>
      </c>
      <c r="F108" s="289" t="s">
        <v>244</v>
      </c>
      <c r="G108" s="290" t="s">
        <v>245</v>
      </c>
      <c r="H108" s="291" t="s">
        <v>246</v>
      </c>
      <c r="I108" s="22" t="s">
        <v>13</v>
      </c>
      <c r="J108" s="240" t="s">
        <v>162</v>
      </c>
      <c r="K108" s="1" t="s">
        <v>320</v>
      </c>
      <c r="M108" s="287"/>
      <c r="N108" s="287"/>
    </row>
    <row r="109" spans="1:14" ht="12.75">
      <c r="A109" s="2" t="s">
        <v>114</v>
      </c>
      <c r="B109" s="4"/>
      <c r="C109" s="59"/>
      <c r="D109" s="51"/>
      <c r="E109" s="47"/>
      <c r="F109" s="47"/>
      <c r="G109" s="223"/>
      <c r="H109" s="222"/>
      <c r="I109" s="6"/>
      <c r="J109" s="230"/>
      <c r="M109" s="287"/>
      <c r="N109" s="287"/>
    </row>
    <row r="110" spans="1:14" ht="12.75">
      <c r="A110" s="2" t="s">
        <v>119</v>
      </c>
      <c r="B110" s="328"/>
      <c r="C110" s="59"/>
      <c r="D110" s="59"/>
      <c r="E110" s="47"/>
      <c r="F110" s="47"/>
      <c r="G110" s="223"/>
      <c r="H110" s="221"/>
      <c r="I110" s="6"/>
      <c r="J110" s="144"/>
      <c r="K110" s="1">
        <v>18000</v>
      </c>
      <c r="M110" s="287"/>
      <c r="N110" s="287"/>
    </row>
    <row r="111" spans="1:14" ht="12.75">
      <c r="A111" s="132"/>
      <c r="B111" s="29"/>
      <c r="C111" s="6"/>
      <c r="D111" s="8"/>
      <c r="E111" s="52"/>
      <c r="F111" s="221"/>
      <c r="G111" s="236" t="s">
        <v>177</v>
      </c>
      <c r="H111" s="264">
        <f>SUM(H109:I110)</f>
        <v>0</v>
      </c>
      <c r="I111" s="59"/>
      <c r="J111" s="260"/>
      <c r="M111" s="287"/>
      <c r="N111" s="287"/>
    </row>
    <row r="112" spans="1:14" ht="12.75">
      <c r="M112" s="287"/>
      <c r="N112" s="287"/>
    </row>
    <row r="113" spans="13:14" ht="12.75">
      <c r="M113" s="287"/>
      <c r="N113" s="287"/>
    </row>
    <row r="114" spans="13:14" ht="12.75">
      <c r="M114" s="287"/>
      <c r="N114" s="287"/>
    </row>
    <row r="115" spans="13:14" ht="12.75">
      <c r="M115" s="287"/>
      <c r="N115" s="287"/>
    </row>
    <row r="116" spans="13:14" ht="12.75">
      <c r="M116" s="287"/>
      <c r="N116" s="287"/>
    </row>
    <row r="117" spans="13:14" ht="12.75">
      <c r="M117" s="287"/>
      <c r="N117" s="287"/>
    </row>
    <row r="118" spans="13:14" ht="12.75">
      <c r="M118" s="287"/>
      <c r="N118" s="287"/>
    </row>
    <row r="119" spans="13:14" ht="12.75">
      <c r="M119" s="287"/>
      <c r="N119" s="287"/>
    </row>
    <row r="120" spans="13:14" ht="12.75">
      <c r="M120" s="287"/>
      <c r="N120" s="287"/>
    </row>
    <row r="121" spans="13:14" ht="12.75">
      <c r="M121" s="287"/>
      <c r="N121" s="287"/>
    </row>
    <row r="122" spans="13:14" ht="12.75">
      <c r="M122" s="287"/>
      <c r="N122" s="287"/>
    </row>
    <row r="123" spans="13:14" ht="12.75">
      <c r="M123" s="287"/>
      <c r="N123" s="287"/>
    </row>
    <row r="124" spans="13:14" ht="12.75">
      <c r="M124" s="287"/>
      <c r="N124" s="287"/>
    </row>
    <row r="125" spans="13:14" ht="12.75">
      <c r="M125" s="287"/>
      <c r="N125" s="287"/>
    </row>
    <row r="126" spans="13:14" ht="12.75">
      <c r="M126" s="287"/>
      <c r="N126" s="287"/>
    </row>
    <row r="127" spans="13:14" ht="12.75">
      <c r="M127" s="287"/>
      <c r="N127" s="287"/>
    </row>
    <row r="128" spans="13:14" ht="12.75">
      <c r="M128" s="287"/>
      <c r="N128" s="287"/>
    </row>
    <row r="129" spans="13:14" ht="12.75">
      <c r="M129" s="287"/>
      <c r="N129" s="287"/>
    </row>
    <row r="130" spans="13:14" ht="12.75">
      <c r="M130" s="287"/>
      <c r="N130" s="287"/>
    </row>
    <row r="131" spans="13:14" ht="12.75">
      <c r="M131" s="287"/>
      <c r="N131" s="287"/>
    </row>
    <row r="132" spans="13:14" ht="12.75">
      <c r="M132" s="287"/>
      <c r="N132" s="287"/>
    </row>
    <row r="133" spans="13:14" ht="12.75">
      <c r="M133" s="287"/>
      <c r="N133" s="287"/>
    </row>
    <row r="134" spans="13:14" ht="12.75">
      <c r="M134" s="287"/>
      <c r="N134" s="287"/>
    </row>
    <row r="135" spans="13:14" ht="12.75">
      <c r="M135" s="287"/>
      <c r="N135" s="287"/>
    </row>
    <row r="136" spans="13:14" ht="12.75">
      <c r="M136" s="287"/>
      <c r="N136" s="287"/>
    </row>
    <row r="137" spans="13:14" ht="12.75">
      <c r="M137" s="287"/>
      <c r="N137" s="287"/>
    </row>
    <row r="138" spans="13:14" ht="12.75">
      <c r="M138" s="287"/>
      <c r="N138" s="287"/>
    </row>
    <row r="139" spans="13:14" ht="12.75">
      <c r="M139" s="287"/>
      <c r="N139" s="287"/>
    </row>
    <row r="140" spans="13:14" ht="12.75">
      <c r="M140" s="287"/>
      <c r="N140" s="287"/>
    </row>
    <row r="141" spans="13:14" ht="12.75">
      <c r="M141" s="287"/>
      <c r="N141" s="287"/>
    </row>
    <row r="142" spans="13:14" ht="12.75">
      <c r="M142" s="287"/>
      <c r="N142" s="287"/>
    </row>
    <row r="143" spans="13:14" ht="12.75">
      <c r="M143" s="287"/>
      <c r="N143" s="287"/>
    </row>
    <row r="144" spans="13:14" ht="12.75">
      <c r="M144" s="287"/>
      <c r="N144" s="287"/>
    </row>
    <row r="145" spans="13:14" ht="12.75">
      <c r="M145" s="287"/>
      <c r="N145" s="287"/>
    </row>
    <row r="146" spans="13:14" ht="12.75">
      <c r="M146" s="287"/>
      <c r="N146" s="287"/>
    </row>
    <row r="147" spans="13:14" ht="12.75">
      <c r="M147" s="287"/>
      <c r="N147" s="287"/>
    </row>
    <row r="148" spans="13:14" ht="12.75">
      <c r="M148" s="287"/>
      <c r="N148" s="287"/>
    </row>
    <row r="149" spans="13:14" ht="12.75">
      <c r="M149" s="287"/>
      <c r="N149" s="287"/>
    </row>
    <row r="150" spans="13:14" ht="12.75">
      <c r="M150" s="287"/>
      <c r="N150" s="287"/>
    </row>
    <row r="151" spans="13:14" ht="12.75">
      <c r="M151" s="287"/>
      <c r="N151" s="287"/>
    </row>
    <row r="152" spans="13:14" ht="12.75">
      <c r="M152" s="287"/>
      <c r="N152" s="287"/>
    </row>
    <row r="153" spans="13:14" ht="12.75">
      <c r="M153" s="287"/>
      <c r="N153" s="287"/>
    </row>
    <row r="154" spans="13:14" ht="12.75">
      <c r="M154" s="287"/>
      <c r="N154" s="287"/>
    </row>
    <row r="155" spans="13:14" ht="12.75">
      <c r="M155" s="287"/>
      <c r="N155" s="287"/>
    </row>
    <row r="156" spans="13:14" ht="12.75">
      <c r="M156" s="287"/>
      <c r="N156" s="287"/>
    </row>
    <row r="157" spans="13:14" ht="12.75">
      <c r="M157" s="287"/>
      <c r="N157" s="287"/>
    </row>
    <row r="158" spans="13:14" ht="12.75">
      <c r="M158" s="287"/>
      <c r="N158" s="287"/>
    </row>
    <row r="159" spans="13:14" ht="12.75">
      <c r="M159" s="287"/>
      <c r="N159" s="287"/>
    </row>
    <row r="160" spans="13:14" ht="12.75">
      <c r="M160" s="287"/>
      <c r="N160" s="287"/>
    </row>
    <row r="161" spans="13:14" ht="12.75">
      <c r="M161" s="287"/>
      <c r="N161" s="287"/>
    </row>
    <row r="162" spans="13:14" ht="12.75">
      <c r="M162" s="287"/>
      <c r="N162" s="287"/>
    </row>
    <row r="163" spans="13:14" ht="12.75">
      <c r="M163" s="287"/>
      <c r="N163" s="287"/>
    </row>
    <row r="164" spans="13:14" ht="12.75">
      <c r="M164" s="287"/>
      <c r="N164" s="287"/>
    </row>
    <row r="165" spans="13:14" ht="12.75">
      <c r="M165" s="287"/>
      <c r="N165" s="287"/>
    </row>
    <row r="166" spans="13:14" ht="12.75">
      <c r="M166" s="287"/>
      <c r="N166" s="287"/>
    </row>
    <row r="167" spans="13:14" ht="12.75">
      <c r="M167" s="287"/>
      <c r="N167" s="287"/>
    </row>
    <row r="168" spans="13:14" ht="12.75">
      <c r="M168" s="287"/>
      <c r="N168" s="287"/>
    </row>
    <row r="169" spans="13:14" ht="12.75">
      <c r="M169" s="287"/>
      <c r="N169" s="287"/>
    </row>
    <row r="170" spans="13:14" ht="12.75">
      <c r="M170" s="287"/>
      <c r="N170" s="287"/>
    </row>
    <row r="171" spans="13:14" ht="12.75">
      <c r="M171" s="287"/>
      <c r="N171" s="287"/>
    </row>
    <row r="172" spans="13:14" ht="12.75">
      <c r="M172" s="287"/>
      <c r="N172" s="287"/>
    </row>
    <row r="173" spans="13:14" ht="12.75">
      <c r="M173" s="287"/>
      <c r="N173" s="287"/>
    </row>
    <row r="174" spans="13:14" ht="12.75">
      <c r="M174" s="287"/>
      <c r="N174" s="287"/>
    </row>
    <row r="175" spans="13:14" ht="12.75">
      <c r="M175" s="287"/>
      <c r="N175" s="287"/>
    </row>
    <row r="176" spans="13:14" ht="12.75">
      <c r="M176" s="287"/>
      <c r="N176" s="287"/>
    </row>
    <row r="177" spans="13:14" ht="12.75">
      <c r="M177" s="287"/>
      <c r="N177" s="287"/>
    </row>
    <row r="178" spans="13:14" ht="12.75">
      <c r="M178" s="287"/>
      <c r="N178" s="287"/>
    </row>
    <row r="179" spans="13:14" ht="12.75">
      <c r="M179" s="287"/>
      <c r="N179" s="287"/>
    </row>
    <row r="180" spans="13:14" ht="12.75">
      <c r="M180" s="287"/>
      <c r="N180" s="287"/>
    </row>
    <row r="181" spans="13:14" ht="12.75">
      <c r="M181" s="287"/>
      <c r="N181" s="287"/>
    </row>
    <row r="182" spans="13:14" ht="12.75">
      <c r="M182" s="287"/>
      <c r="N182" s="287"/>
    </row>
    <row r="183" spans="13:14" ht="12.75">
      <c r="M183" s="287"/>
      <c r="N183" s="287"/>
    </row>
    <row r="184" spans="13:14" ht="12.75">
      <c r="M184" s="287"/>
      <c r="N184" s="287"/>
    </row>
    <row r="185" spans="13:14" ht="12.75">
      <c r="M185" s="287"/>
      <c r="N185" s="287"/>
    </row>
    <row r="186" spans="13:14" ht="12.75">
      <c r="M186" s="287"/>
      <c r="N186" s="287"/>
    </row>
    <row r="187" spans="13:14" ht="12.75">
      <c r="M187" s="287"/>
      <c r="N187" s="287"/>
    </row>
    <row r="188" spans="13:14" ht="12.75">
      <c r="M188" s="287"/>
      <c r="N188" s="287"/>
    </row>
    <row r="189" spans="13:14" ht="12.75">
      <c r="M189" s="287"/>
      <c r="N189" s="287"/>
    </row>
    <row r="190" spans="13:14" ht="12.75">
      <c r="M190" s="287"/>
      <c r="N190" s="287"/>
    </row>
    <row r="191" spans="13:14" ht="12.75">
      <c r="M191" s="287"/>
      <c r="N191" s="287"/>
    </row>
    <row r="192" spans="13:14" ht="12.75">
      <c r="M192" s="287"/>
      <c r="N192" s="287"/>
    </row>
    <row r="193" spans="13:14" ht="12.75">
      <c r="M193" s="287"/>
      <c r="N193" s="287"/>
    </row>
    <row r="194" spans="13:14" ht="12.75">
      <c r="M194" s="287"/>
      <c r="N194" s="287"/>
    </row>
    <row r="195" spans="13:14" ht="12.75">
      <c r="M195" s="287"/>
      <c r="N195" s="287"/>
    </row>
    <row r="196" spans="13:14" ht="12.75">
      <c r="M196" s="287"/>
      <c r="N196" s="287"/>
    </row>
    <row r="197" spans="13:14" ht="12.75">
      <c r="M197" s="287"/>
      <c r="N197" s="287"/>
    </row>
    <row r="198" spans="13:14" ht="12.75">
      <c r="M198" s="287"/>
      <c r="N198" s="287"/>
    </row>
    <row r="199" spans="13:14" ht="12.75">
      <c r="M199" s="287"/>
      <c r="N199" s="287"/>
    </row>
    <row r="200" spans="13:14" ht="12.75">
      <c r="M200" s="287"/>
      <c r="N200" s="287"/>
    </row>
    <row r="201" spans="13:14" ht="12.75">
      <c r="M201" s="287"/>
      <c r="N201" s="287"/>
    </row>
    <row r="202" spans="13:14" ht="12.75">
      <c r="M202" s="287"/>
      <c r="N202" s="287"/>
    </row>
    <row r="203" spans="13:14" ht="12.75">
      <c r="M203" s="287"/>
      <c r="N203" s="287"/>
    </row>
    <row r="204" spans="13:14" ht="12.75">
      <c r="M204" s="287"/>
      <c r="N204" s="287"/>
    </row>
    <row r="205" spans="13:14" ht="12.75">
      <c r="M205" s="287"/>
      <c r="N205" s="287"/>
    </row>
    <row r="206" spans="13:14" ht="12.75">
      <c r="M206" s="287"/>
      <c r="N206" s="287"/>
    </row>
    <row r="207" spans="13:14" ht="12.75">
      <c r="M207" s="287"/>
      <c r="N207" s="287"/>
    </row>
    <row r="208" spans="13:14" ht="12.75">
      <c r="M208" s="287"/>
      <c r="N208" s="287"/>
    </row>
    <row r="209" spans="13:14" ht="12.75">
      <c r="M209" s="287"/>
      <c r="N209" s="287"/>
    </row>
    <row r="210" spans="13:14" ht="12.75">
      <c r="M210" s="287"/>
      <c r="N210" s="287"/>
    </row>
    <row r="211" spans="13:14" ht="12.75">
      <c r="M211" s="287"/>
      <c r="N211" s="287"/>
    </row>
    <row r="212" spans="13:14" ht="12.75">
      <c r="M212" s="287"/>
      <c r="N212" s="287"/>
    </row>
    <row r="213" spans="13:14" ht="12.75">
      <c r="M213" s="287"/>
      <c r="N213" s="287"/>
    </row>
    <row r="214" spans="13:14" ht="12.75">
      <c r="M214" s="287"/>
      <c r="N214" s="287"/>
    </row>
    <row r="215" spans="13:14" ht="12.75">
      <c r="M215" s="287"/>
      <c r="N215" s="287"/>
    </row>
    <row r="216" spans="13:14" ht="12.75">
      <c r="M216" s="287"/>
      <c r="N216" s="287"/>
    </row>
    <row r="217" spans="13:14" ht="12.75">
      <c r="M217" s="287"/>
      <c r="N217" s="287"/>
    </row>
    <row r="218" spans="13:14" ht="12.75">
      <c r="M218" s="287"/>
      <c r="N218" s="287"/>
    </row>
    <row r="219" spans="13:14" ht="12.75">
      <c r="M219" s="287"/>
      <c r="N219" s="287"/>
    </row>
    <row r="220" spans="13:14" ht="12.75">
      <c r="M220" s="287"/>
      <c r="N220" s="287"/>
    </row>
    <row r="221" spans="13:14" ht="12.75">
      <c r="M221" s="287"/>
      <c r="N221" s="287"/>
    </row>
    <row r="222" spans="13:14" ht="12.75">
      <c r="M222" s="287"/>
      <c r="N222" s="287"/>
    </row>
    <row r="223" spans="13:14" ht="12.75">
      <c r="M223" s="287"/>
      <c r="N223" s="287"/>
    </row>
    <row r="224" spans="13:14" ht="12.75">
      <c r="M224" s="287"/>
      <c r="N224" s="287"/>
    </row>
    <row r="225" spans="13:14" ht="12.75">
      <c r="M225" s="287"/>
      <c r="N225" s="287"/>
    </row>
    <row r="226" spans="13:14" ht="12.75">
      <c r="M226" s="287"/>
      <c r="N226" s="287"/>
    </row>
    <row r="227" spans="13:14" ht="12.75">
      <c r="M227" s="287"/>
      <c r="N227" s="287"/>
    </row>
    <row r="228" spans="13:14" ht="12.75">
      <c r="M228" s="287"/>
      <c r="N228" s="287"/>
    </row>
    <row r="229" spans="13:14" ht="12.75">
      <c r="M229" s="287"/>
      <c r="N229" s="287"/>
    </row>
    <row r="230" spans="13:14" ht="12.75">
      <c r="M230" s="287"/>
      <c r="N230" s="287"/>
    </row>
    <row r="231" spans="13:14" ht="12.75">
      <c r="M231" s="287"/>
      <c r="N231" s="287"/>
    </row>
    <row r="232" spans="13:14" ht="12.75">
      <c r="M232" s="287"/>
      <c r="N232" s="287"/>
    </row>
    <row r="233" spans="13:14" ht="12.75">
      <c r="M233" s="287"/>
      <c r="N233" s="287"/>
    </row>
    <row r="234" spans="13:14" ht="12.75">
      <c r="M234" s="287"/>
      <c r="N234" s="287"/>
    </row>
    <row r="235" spans="13:14" ht="12.75">
      <c r="M235" s="287"/>
      <c r="N235" s="287"/>
    </row>
    <row r="236" spans="13:14" ht="12.75">
      <c r="M236" s="287"/>
      <c r="N236" s="287"/>
    </row>
    <row r="237" spans="13:14" ht="12.75">
      <c r="M237" s="287"/>
      <c r="N237" s="287"/>
    </row>
    <row r="238" spans="13:14" ht="12.75">
      <c r="M238" s="287"/>
      <c r="N238" s="287"/>
    </row>
    <row r="239" spans="13:14" ht="12.75">
      <c r="M239" s="287"/>
      <c r="N239" s="287"/>
    </row>
    <row r="240" spans="13:14" ht="12.75">
      <c r="M240" s="287"/>
      <c r="N240" s="287"/>
    </row>
    <row r="241" spans="13:14" ht="12.75">
      <c r="M241" s="287"/>
      <c r="N241" s="287"/>
    </row>
    <row r="242" spans="13:14" ht="12.75">
      <c r="M242" s="287"/>
      <c r="N242" s="287"/>
    </row>
    <row r="243" spans="13:14" ht="12.75">
      <c r="M243" s="287"/>
      <c r="N243" s="287"/>
    </row>
    <row r="244" spans="13:14" ht="12.75">
      <c r="M244" s="287"/>
      <c r="N244" s="287"/>
    </row>
    <row r="245" spans="13:14" ht="12.75">
      <c r="M245" s="287"/>
      <c r="N245" s="287"/>
    </row>
    <row r="246" spans="13:14" ht="12.75">
      <c r="M246" s="287"/>
      <c r="N246" s="287"/>
    </row>
    <row r="247" spans="13:14" ht="12.75">
      <c r="M247" s="287"/>
      <c r="N247" s="287"/>
    </row>
    <row r="248" spans="13:14" ht="12.75">
      <c r="M248" s="287"/>
      <c r="N248" s="287"/>
    </row>
    <row r="249" spans="13:14" ht="12.75">
      <c r="M249" s="287"/>
      <c r="N249" s="287"/>
    </row>
    <row r="250" spans="13:14" ht="12.75">
      <c r="M250" s="287"/>
      <c r="N250" s="287"/>
    </row>
    <row r="251" spans="13:14" ht="12.75">
      <c r="M251" s="287"/>
      <c r="N251" s="287"/>
    </row>
    <row r="252" spans="13:14" ht="12.75">
      <c r="M252" s="287"/>
      <c r="N252" s="287"/>
    </row>
    <row r="253" spans="13:14" ht="12.75">
      <c r="M253" s="287"/>
      <c r="N253" s="287"/>
    </row>
    <row r="254" spans="13:14" ht="12.75">
      <c r="M254" s="287"/>
      <c r="N254" s="287"/>
    </row>
    <row r="255" spans="13:14" ht="12.75">
      <c r="M255" s="287"/>
      <c r="N255" s="287"/>
    </row>
    <row r="256" spans="13:14" ht="12.75">
      <c r="M256" s="287"/>
      <c r="N256" s="287"/>
    </row>
    <row r="257" spans="13:14" ht="12.75">
      <c r="M257" s="287"/>
      <c r="N257" s="287"/>
    </row>
    <row r="258" spans="13:14" ht="12.75">
      <c r="M258" s="287"/>
      <c r="N258" s="287"/>
    </row>
    <row r="259" spans="13:14" ht="12.75">
      <c r="M259" s="287"/>
      <c r="N259" s="287"/>
    </row>
    <row r="260" spans="13:14" ht="12.75">
      <c r="M260" s="287"/>
      <c r="N260" s="287"/>
    </row>
    <row r="261" spans="13:14" ht="12.75">
      <c r="M261" s="287"/>
      <c r="N261" s="287"/>
    </row>
    <row r="262" spans="13:14" ht="12.75">
      <c r="M262" s="287"/>
      <c r="N262" s="287"/>
    </row>
    <row r="263" spans="13:14" ht="12.75">
      <c r="M263" s="287"/>
      <c r="N263" s="287"/>
    </row>
    <row r="264" spans="13:14" ht="12.75">
      <c r="M264" s="287"/>
      <c r="N264" s="287"/>
    </row>
    <row r="265" spans="13:14" ht="12.75">
      <c r="M265" s="287"/>
      <c r="N265" s="287"/>
    </row>
    <row r="266" spans="13:14" ht="12.75">
      <c r="M266" s="287"/>
      <c r="N266" s="287"/>
    </row>
    <row r="267" spans="13:14" ht="12.75">
      <c r="M267" s="287"/>
      <c r="N267" s="287"/>
    </row>
    <row r="268" spans="13:14" ht="12.75">
      <c r="M268" s="287"/>
      <c r="N268" s="287"/>
    </row>
    <row r="269" spans="13:14" ht="12.75">
      <c r="M269" s="287"/>
      <c r="N269" s="287"/>
    </row>
    <row r="270" spans="13:14" ht="12.75">
      <c r="M270" s="287"/>
      <c r="N270" s="287"/>
    </row>
    <row r="271" spans="13:14" ht="12.75">
      <c r="M271" s="287"/>
      <c r="N271" s="287"/>
    </row>
    <row r="272" spans="13:14" ht="12.75">
      <c r="M272" s="287"/>
      <c r="N272" s="287"/>
    </row>
    <row r="273" spans="13:14" ht="12.75">
      <c r="M273" s="287"/>
      <c r="N273" s="287"/>
    </row>
    <row r="274" spans="13:14" ht="12.75">
      <c r="M274" s="287"/>
      <c r="N274" s="287"/>
    </row>
    <row r="275" spans="13:14" ht="12.75">
      <c r="M275" s="287"/>
      <c r="N275" s="287"/>
    </row>
    <row r="276" spans="13:14" ht="12.75">
      <c r="M276" s="287"/>
      <c r="N276" s="287"/>
    </row>
    <row r="277" spans="13:14" ht="12.75">
      <c r="M277" s="287"/>
      <c r="N277" s="287"/>
    </row>
    <row r="278" spans="13:14" ht="12.75">
      <c r="M278" s="287"/>
      <c r="N278" s="287"/>
    </row>
    <row r="279" spans="13:14" ht="12.75">
      <c r="M279" s="287"/>
      <c r="N279" s="287"/>
    </row>
    <row r="280" spans="13:14" ht="12.75">
      <c r="M280" s="287"/>
      <c r="N280" s="287"/>
    </row>
    <row r="281" spans="13:14" ht="12.75">
      <c r="M281" s="287"/>
      <c r="N281" s="287"/>
    </row>
    <row r="282" spans="13:14" ht="12.75">
      <c r="M282" s="287"/>
      <c r="N282" s="287"/>
    </row>
    <row r="283" spans="13:14" ht="12.75">
      <c r="M283" s="287"/>
      <c r="N283" s="287"/>
    </row>
    <row r="284" spans="13:14" ht="12.75">
      <c r="M284" s="287"/>
      <c r="N284" s="287"/>
    </row>
    <row r="285" spans="13:14" ht="12.75">
      <c r="M285" s="287"/>
      <c r="N285" s="287"/>
    </row>
    <row r="286" spans="13:14" ht="12.75">
      <c r="M286" s="287"/>
      <c r="N286" s="287"/>
    </row>
    <row r="287" spans="13:14" ht="12.75">
      <c r="M287" s="287"/>
      <c r="N287" s="287"/>
    </row>
    <row r="288" spans="13:14" ht="12.75">
      <c r="M288" s="287"/>
      <c r="N288" s="287"/>
    </row>
    <row r="289" spans="13:14" ht="12.75">
      <c r="M289" s="287"/>
      <c r="N289" s="287"/>
    </row>
    <row r="290" spans="13:14" ht="12.75">
      <c r="M290" s="287"/>
      <c r="N290" s="287"/>
    </row>
    <row r="291" spans="13:14" ht="12.75">
      <c r="M291" s="287"/>
      <c r="N291" s="287"/>
    </row>
    <row r="292" spans="13:14" ht="12.75">
      <c r="M292" s="287"/>
      <c r="N292" s="287"/>
    </row>
    <row r="293" spans="13:14" ht="12.75">
      <c r="M293" s="287"/>
      <c r="N293" s="287"/>
    </row>
    <row r="294" spans="13:14" ht="12.75">
      <c r="M294" s="287"/>
      <c r="N294" s="287"/>
    </row>
    <row r="295" spans="13:14" ht="12.75">
      <c r="M295" s="287"/>
      <c r="N295" s="287"/>
    </row>
    <row r="296" spans="13:14" ht="12.75">
      <c r="M296" s="287"/>
      <c r="N296" s="287"/>
    </row>
    <row r="297" spans="13:14" ht="12.75">
      <c r="M297" s="287"/>
      <c r="N297" s="287"/>
    </row>
    <row r="298" spans="13:14" ht="12.75">
      <c r="M298" s="287"/>
      <c r="N298" s="287"/>
    </row>
    <row r="299" spans="13:14" ht="12.75">
      <c r="M299" s="287"/>
      <c r="N299" s="287"/>
    </row>
    <row r="300" spans="13:14" ht="12.75">
      <c r="M300" s="287"/>
      <c r="N300" s="287"/>
    </row>
    <row r="301" spans="13:14" ht="12.75">
      <c r="M301" s="287"/>
      <c r="N301" s="287"/>
    </row>
    <row r="302" spans="13:14" ht="12.75">
      <c r="M302" s="287"/>
      <c r="N302" s="287"/>
    </row>
    <row r="303" spans="13:14" ht="12.75">
      <c r="M303" s="287"/>
      <c r="N303" s="287"/>
    </row>
    <row r="304" spans="13:14" ht="12.75">
      <c r="M304" s="287"/>
      <c r="N304" s="287"/>
    </row>
    <row r="305" spans="13:14" ht="12.75">
      <c r="M305" s="287"/>
      <c r="N305" s="287"/>
    </row>
    <row r="306" spans="13:14" ht="12.75">
      <c r="M306" s="287"/>
      <c r="N306" s="287"/>
    </row>
    <row r="307" spans="13:14" ht="12.75">
      <c r="M307" s="287"/>
      <c r="N307" s="287"/>
    </row>
    <row r="308" spans="13:14" ht="12.75">
      <c r="M308" s="287"/>
      <c r="N308" s="287"/>
    </row>
    <row r="309" spans="13:14" ht="12.75">
      <c r="M309" s="287"/>
      <c r="N309" s="287"/>
    </row>
    <row r="310" spans="13:14" ht="12.75">
      <c r="M310" s="287"/>
      <c r="N310" s="287"/>
    </row>
    <row r="311" spans="13:14" ht="12.75">
      <c r="M311" s="287"/>
      <c r="N311" s="287"/>
    </row>
    <row r="312" spans="13:14" ht="12.75">
      <c r="M312" s="287"/>
      <c r="N312" s="287"/>
    </row>
    <row r="313" spans="13:14" ht="12.75">
      <c r="M313" s="287"/>
      <c r="N313" s="287"/>
    </row>
    <row r="314" spans="13:14" ht="12.75">
      <c r="M314" s="287"/>
      <c r="N314" s="287"/>
    </row>
    <row r="315" spans="13:14" ht="12.75">
      <c r="M315" s="287"/>
      <c r="N315" s="287"/>
    </row>
    <row r="316" spans="13:14" ht="12.75">
      <c r="M316" s="287"/>
      <c r="N316" s="287"/>
    </row>
    <row r="317" spans="13:14" ht="12.75">
      <c r="M317" s="287"/>
      <c r="N317" s="287"/>
    </row>
    <row r="318" spans="13:14" ht="12.75">
      <c r="M318" s="287"/>
      <c r="N318" s="287"/>
    </row>
    <row r="319" spans="13:14" ht="12.75">
      <c r="M319" s="287"/>
      <c r="N319" s="287"/>
    </row>
    <row r="320" spans="13:14" ht="12.75">
      <c r="M320" s="287"/>
      <c r="N320" s="287"/>
    </row>
    <row r="321" spans="13:14" ht="12.75">
      <c r="M321" s="287"/>
      <c r="N321" s="287"/>
    </row>
    <row r="322" spans="13:14" ht="12.75">
      <c r="M322" s="287"/>
      <c r="N322" s="287"/>
    </row>
    <row r="323" spans="13:14" ht="12.75">
      <c r="M323" s="287"/>
      <c r="N323" s="287"/>
    </row>
    <row r="324" spans="13:14" ht="12.75">
      <c r="M324" s="287"/>
      <c r="N324" s="287"/>
    </row>
    <row r="325" spans="13:14" ht="12.75">
      <c r="M325" s="287"/>
      <c r="N325" s="287"/>
    </row>
    <row r="326" spans="13:14" ht="12.75">
      <c r="M326" s="287"/>
      <c r="N326" s="287"/>
    </row>
    <row r="327" spans="13:14" ht="12.75">
      <c r="M327" s="287"/>
      <c r="N327" s="287"/>
    </row>
    <row r="328" spans="13:14" ht="12.75">
      <c r="M328" s="287"/>
      <c r="N328" s="287"/>
    </row>
    <row r="329" spans="13:14" ht="12.75">
      <c r="M329" s="287"/>
      <c r="N329" s="287"/>
    </row>
    <row r="330" spans="13:14" ht="12.75">
      <c r="M330" s="287"/>
      <c r="N330" s="287"/>
    </row>
    <row r="331" spans="13:14" ht="12.75">
      <c r="M331" s="287"/>
      <c r="N331" s="287"/>
    </row>
    <row r="332" spans="13:14" ht="12.75">
      <c r="M332" s="287"/>
      <c r="N332" s="287"/>
    </row>
    <row r="333" spans="13:14" ht="12.75">
      <c r="M333" s="287"/>
      <c r="N333" s="287"/>
    </row>
    <row r="334" spans="13:14" ht="12.75">
      <c r="M334" s="287"/>
      <c r="N334" s="287"/>
    </row>
    <row r="335" spans="13:14" ht="12.75">
      <c r="M335" s="287"/>
      <c r="N335" s="287"/>
    </row>
    <row r="336" spans="13:14" ht="12.75">
      <c r="M336" s="287"/>
      <c r="N336" s="287"/>
    </row>
    <row r="337" spans="13:14" ht="12.75">
      <c r="M337" s="287"/>
      <c r="N337" s="287"/>
    </row>
    <row r="338" spans="13:14" ht="12.75">
      <c r="M338" s="287"/>
      <c r="N338" s="287"/>
    </row>
    <row r="339" spans="13:14" ht="12.75">
      <c r="M339" s="287"/>
      <c r="N339" s="287"/>
    </row>
    <row r="340" spans="13:14" ht="12.75">
      <c r="M340" s="287"/>
      <c r="N340" s="287"/>
    </row>
    <row r="341" spans="13:14" ht="12.75">
      <c r="M341" s="287"/>
      <c r="N341" s="287"/>
    </row>
    <row r="342" spans="13:14" ht="12.75">
      <c r="M342" s="287"/>
      <c r="N342" s="287"/>
    </row>
    <row r="343" spans="13:14" ht="12.75">
      <c r="M343" s="287"/>
      <c r="N343" s="287"/>
    </row>
    <row r="344" spans="13:14" ht="12.75">
      <c r="M344" s="287"/>
      <c r="N344" s="287"/>
    </row>
    <row r="345" spans="13:14" ht="12.75">
      <c r="M345" s="287"/>
      <c r="N345" s="287"/>
    </row>
    <row r="346" spans="13:14" ht="12.75">
      <c r="M346" s="287"/>
      <c r="N346" s="287"/>
    </row>
    <row r="347" spans="13:14" ht="12.75">
      <c r="M347" s="287"/>
      <c r="N347" s="287"/>
    </row>
    <row r="348" spans="13:14" ht="12.75">
      <c r="M348" s="287"/>
      <c r="N348" s="287"/>
    </row>
    <row r="349" spans="13:14" ht="12.75">
      <c r="M349" s="287"/>
      <c r="N349" s="287"/>
    </row>
    <row r="350" spans="13:14" ht="12.75">
      <c r="M350" s="287"/>
      <c r="N350" s="287"/>
    </row>
    <row r="351" spans="13:14" ht="12.75">
      <c r="M351" s="287"/>
      <c r="N351" s="287"/>
    </row>
    <row r="352" spans="13:14" ht="12.75">
      <c r="M352" s="287"/>
      <c r="N352" s="287"/>
    </row>
    <row r="353" spans="13:14" ht="12.75">
      <c r="M353" s="287"/>
      <c r="N353" s="287"/>
    </row>
    <row r="354" spans="13:14" ht="12.75">
      <c r="M354" s="287"/>
      <c r="N354" s="287"/>
    </row>
    <row r="355" spans="13:14" ht="12.75">
      <c r="M355" s="287"/>
      <c r="N355" s="287"/>
    </row>
    <row r="356" spans="13:14" ht="12.75">
      <c r="M356" s="287"/>
      <c r="N356" s="287"/>
    </row>
    <row r="357" spans="13:14" ht="12.75">
      <c r="M357" s="287"/>
      <c r="N357" s="287"/>
    </row>
    <row r="358" spans="13:14" ht="12.75">
      <c r="M358" s="287"/>
      <c r="N358" s="287"/>
    </row>
    <row r="359" spans="13:14" ht="12.75">
      <c r="M359" s="287"/>
      <c r="N359" s="287"/>
    </row>
    <row r="360" spans="13:14" ht="12.75">
      <c r="M360" s="287"/>
      <c r="N360" s="287"/>
    </row>
    <row r="361" spans="13:14" ht="12.75">
      <c r="M361" s="287"/>
      <c r="N361" s="287"/>
    </row>
    <row r="362" spans="13:14" ht="12.75">
      <c r="M362" s="287"/>
      <c r="N362" s="287"/>
    </row>
    <row r="363" spans="13:14" ht="12.75">
      <c r="M363" s="287"/>
      <c r="N363" s="287"/>
    </row>
    <row r="364" spans="13:14" ht="12.75">
      <c r="M364" s="287"/>
      <c r="N364" s="287"/>
    </row>
    <row r="365" spans="13:14" ht="12.75">
      <c r="M365" s="287"/>
      <c r="N365" s="287"/>
    </row>
    <row r="366" spans="13:14" ht="12.75">
      <c r="M366" s="287"/>
      <c r="N366" s="287"/>
    </row>
    <row r="367" spans="13:14" ht="12.75">
      <c r="M367" s="287"/>
      <c r="N367" s="287"/>
    </row>
    <row r="368" spans="13:14" ht="12.75">
      <c r="M368" s="287"/>
      <c r="N368" s="287"/>
    </row>
    <row r="369" spans="13:14" ht="12.75">
      <c r="M369" s="287"/>
      <c r="N369" s="287"/>
    </row>
    <row r="370" spans="13:14" ht="12.75">
      <c r="M370" s="287"/>
      <c r="N370" s="287"/>
    </row>
    <row r="371" spans="13:14" ht="12.75">
      <c r="M371" s="287"/>
      <c r="N371" s="287"/>
    </row>
    <row r="372" spans="13:14" ht="12.75">
      <c r="M372" s="287"/>
      <c r="N372" s="287"/>
    </row>
    <row r="373" spans="13:14" ht="12.75">
      <c r="M373" s="287"/>
      <c r="N373" s="287"/>
    </row>
    <row r="374" spans="13:14" ht="12.75">
      <c r="M374" s="287"/>
      <c r="N374" s="287"/>
    </row>
    <row r="375" spans="13:14" ht="12.75">
      <c r="M375" s="287"/>
      <c r="N375" s="287"/>
    </row>
    <row r="376" spans="13:14" ht="12.75">
      <c r="M376" s="287"/>
      <c r="N376" s="287"/>
    </row>
    <row r="377" spans="13:14" ht="12.75">
      <c r="M377" s="287"/>
      <c r="N377" s="287"/>
    </row>
    <row r="378" spans="13:14" ht="12.75">
      <c r="M378" s="287"/>
      <c r="N378" s="287"/>
    </row>
    <row r="379" spans="13:14" ht="12.75">
      <c r="M379" s="287"/>
      <c r="N379" s="287"/>
    </row>
    <row r="380" spans="13:14" ht="12.75">
      <c r="M380" s="287"/>
      <c r="N380" s="287"/>
    </row>
    <row r="381" spans="13:14" ht="12.75">
      <c r="M381" s="287"/>
      <c r="N381" s="287"/>
    </row>
    <row r="382" spans="13:14" ht="12.75">
      <c r="M382" s="287"/>
      <c r="N382" s="287"/>
    </row>
    <row r="383" spans="13:14" ht="12.75">
      <c r="M383" s="287"/>
      <c r="N383" s="287"/>
    </row>
    <row r="384" spans="13:14" ht="12.75">
      <c r="M384" s="287"/>
      <c r="N384" s="287"/>
    </row>
    <row r="385" spans="13:14" ht="12.75">
      <c r="M385" s="287"/>
      <c r="N385" s="287"/>
    </row>
    <row r="386" spans="13:14" ht="12.75">
      <c r="M386" s="287"/>
      <c r="N386" s="287"/>
    </row>
    <row r="387" spans="13:14" ht="12.75">
      <c r="M387" s="287"/>
      <c r="N387" s="287"/>
    </row>
    <row r="388" spans="13:14" ht="12.75">
      <c r="M388" s="287"/>
      <c r="N388" s="287"/>
    </row>
    <row r="389" spans="13:14" ht="12.75">
      <c r="M389" s="287"/>
      <c r="N389" s="287"/>
    </row>
    <row r="390" spans="13:14" ht="12.75">
      <c r="M390" s="287"/>
      <c r="N390" s="287"/>
    </row>
    <row r="391" spans="13:14" ht="12.75">
      <c r="M391" s="287"/>
      <c r="N391" s="287"/>
    </row>
    <row r="392" spans="13:14" ht="12.75">
      <c r="M392" s="287"/>
      <c r="N392" s="287"/>
    </row>
    <row r="393" spans="13:14" ht="12.75">
      <c r="M393" s="287"/>
      <c r="N393" s="287"/>
    </row>
    <row r="394" spans="13:14" ht="12.75">
      <c r="M394" s="287"/>
      <c r="N394" s="287"/>
    </row>
    <row r="395" spans="13:14" ht="12.75">
      <c r="M395" s="287"/>
      <c r="N395" s="287"/>
    </row>
    <row r="396" spans="13:14" ht="12.75">
      <c r="M396" s="287"/>
      <c r="N396" s="287"/>
    </row>
    <row r="397" spans="13:14" ht="12.75">
      <c r="M397" s="287"/>
      <c r="N397" s="287"/>
    </row>
    <row r="398" spans="13:14" ht="12.75">
      <c r="M398" s="287"/>
      <c r="N398" s="287"/>
    </row>
    <row r="399" spans="13:14" ht="12.75">
      <c r="M399" s="287"/>
      <c r="N399" s="287"/>
    </row>
    <row r="400" spans="13:14" ht="12.75">
      <c r="M400" s="287"/>
      <c r="N400" s="287"/>
    </row>
    <row r="401" spans="13:14" ht="12.75">
      <c r="M401" s="287"/>
      <c r="N401" s="287"/>
    </row>
    <row r="402" spans="13:14" ht="12.75">
      <c r="M402" s="287"/>
      <c r="N402" s="287"/>
    </row>
    <row r="403" spans="13:14" ht="12.75">
      <c r="M403" s="287"/>
      <c r="N403" s="287"/>
    </row>
    <row r="404" spans="13:14" ht="12.75">
      <c r="M404" s="287"/>
      <c r="N404" s="287"/>
    </row>
    <row r="405" spans="13:14" ht="12.75">
      <c r="M405" s="287"/>
      <c r="N405" s="287"/>
    </row>
    <row r="406" spans="13:14" ht="12.75">
      <c r="M406" s="287"/>
      <c r="N406" s="287"/>
    </row>
    <row r="407" spans="13:14" ht="12.75">
      <c r="M407" s="287"/>
      <c r="N407" s="287"/>
    </row>
    <row r="408" spans="13:14" ht="12.75">
      <c r="M408" s="287"/>
      <c r="N408" s="287"/>
    </row>
    <row r="409" spans="13:14" ht="12.75">
      <c r="M409" s="287"/>
      <c r="N409" s="287"/>
    </row>
    <row r="410" spans="13:14" ht="12.75">
      <c r="M410" s="287"/>
      <c r="N410" s="287"/>
    </row>
    <row r="411" spans="13:14" ht="12.75">
      <c r="M411" s="287"/>
      <c r="N411" s="287"/>
    </row>
    <row r="412" spans="13:14" ht="12.75">
      <c r="M412" s="287"/>
      <c r="N412" s="287"/>
    </row>
    <row r="413" spans="13:14" ht="12.75">
      <c r="M413" s="287"/>
      <c r="N413" s="287"/>
    </row>
    <row r="414" spans="13:14" ht="12.75">
      <c r="M414" s="287"/>
      <c r="N414" s="287"/>
    </row>
    <row r="415" spans="13:14" ht="12.75">
      <c r="M415" s="287"/>
      <c r="N415" s="287"/>
    </row>
    <row r="416" spans="13:14" ht="12.75">
      <c r="M416" s="287"/>
      <c r="N416" s="287"/>
    </row>
    <row r="417" spans="13:14" ht="12.75">
      <c r="M417" s="287"/>
      <c r="N417" s="287"/>
    </row>
    <row r="418" spans="13:14" ht="12.75">
      <c r="M418" s="287"/>
      <c r="N418" s="287"/>
    </row>
    <row r="419" spans="13:14" ht="12.75">
      <c r="M419" s="287"/>
      <c r="N419" s="287"/>
    </row>
    <row r="420" spans="13:14" ht="12.75">
      <c r="M420" s="287"/>
      <c r="N420" s="287"/>
    </row>
    <row r="421" spans="13:14" ht="12.75">
      <c r="M421" s="287"/>
      <c r="N421" s="287"/>
    </row>
    <row r="422" spans="13:14" ht="12.75">
      <c r="M422" s="287"/>
      <c r="N422" s="287"/>
    </row>
    <row r="423" spans="13:14" ht="12.75">
      <c r="M423" s="287"/>
      <c r="N423" s="287"/>
    </row>
    <row r="424" spans="13:14" ht="12.75">
      <c r="M424" s="287"/>
      <c r="N424" s="287"/>
    </row>
    <row r="425" spans="13:14" ht="12.75">
      <c r="M425" s="287"/>
      <c r="N425" s="287"/>
    </row>
    <row r="426" spans="13:14" ht="12.75">
      <c r="M426" s="287"/>
      <c r="N426" s="287"/>
    </row>
    <row r="427" spans="13:14" ht="12.75">
      <c r="M427" s="287"/>
      <c r="N427" s="287"/>
    </row>
    <row r="428" spans="13:14" ht="12.75">
      <c r="M428" s="287"/>
      <c r="N428" s="287"/>
    </row>
    <row r="429" spans="13:14" ht="12.75">
      <c r="M429" s="287"/>
      <c r="N429" s="287"/>
    </row>
    <row r="430" spans="13:14" ht="12.75">
      <c r="M430" s="287"/>
      <c r="N430" s="287"/>
    </row>
    <row r="431" spans="13:14" ht="12.75">
      <c r="M431" s="287"/>
      <c r="N431" s="287"/>
    </row>
    <row r="432" spans="13:14" ht="12.75">
      <c r="M432" s="287"/>
      <c r="N432" s="287"/>
    </row>
    <row r="433" spans="13:14" ht="12.75">
      <c r="M433" s="287"/>
      <c r="N433" s="287"/>
    </row>
    <row r="434" spans="13:14" ht="12.75">
      <c r="M434" s="287"/>
      <c r="N434" s="287"/>
    </row>
    <row r="435" spans="13:14" ht="12.75">
      <c r="M435" s="287"/>
      <c r="N435" s="287"/>
    </row>
    <row r="436" spans="13:14" ht="12.75">
      <c r="M436" s="287"/>
      <c r="N436" s="287"/>
    </row>
    <row r="437" spans="13:14" ht="12.75">
      <c r="M437" s="287"/>
      <c r="N437" s="287"/>
    </row>
    <row r="438" spans="13:14" ht="12.75">
      <c r="M438" s="287"/>
      <c r="N438" s="287"/>
    </row>
    <row r="439" spans="13:14" ht="12.75">
      <c r="M439" s="287"/>
      <c r="N439" s="287"/>
    </row>
    <row r="440" spans="13:14" ht="12.75">
      <c r="M440" s="287"/>
      <c r="N440" s="287"/>
    </row>
    <row r="441" spans="13:14" ht="12.75">
      <c r="M441" s="287"/>
      <c r="N441" s="287"/>
    </row>
    <row r="442" spans="13:14" ht="12.75">
      <c r="M442" s="287"/>
      <c r="N442" s="287"/>
    </row>
    <row r="443" spans="13:14" ht="12.75">
      <c r="M443" s="287"/>
      <c r="N443" s="287"/>
    </row>
    <row r="444" spans="13:14" ht="12.75">
      <c r="M444" s="287"/>
      <c r="N444" s="287"/>
    </row>
    <row r="445" spans="13:14" ht="12.75">
      <c r="M445" s="287"/>
      <c r="N445" s="287"/>
    </row>
    <row r="446" spans="13:14" ht="12.75">
      <c r="M446" s="287"/>
      <c r="N446" s="287"/>
    </row>
    <row r="447" spans="13:14" ht="12.75">
      <c r="M447" s="287"/>
      <c r="N447" s="287"/>
    </row>
    <row r="448" spans="13:14" ht="12.75">
      <c r="M448" s="287"/>
      <c r="N448" s="287"/>
    </row>
    <row r="449" spans="13:14" ht="12.75">
      <c r="M449" s="287"/>
      <c r="N449" s="287"/>
    </row>
    <row r="450" spans="13:14" ht="12.75">
      <c r="M450" s="287"/>
      <c r="N450" s="287"/>
    </row>
    <row r="451" spans="13:14" ht="12.75">
      <c r="M451" s="287"/>
      <c r="N451" s="287"/>
    </row>
    <row r="452" spans="13:14" ht="12.75">
      <c r="M452" s="287"/>
      <c r="N452" s="287"/>
    </row>
    <row r="453" spans="13:14" ht="12.75">
      <c r="M453" s="287"/>
      <c r="N453" s="287"/>
    </row>
    <row r="454" spans="13:14" ht="12.75">
      <c r="M454" s="287"/>
      <c r="N454" s="287"/>
    </row>
    <row r="455" spans="13:14" ht="12.75">
      <c r="M455" s="287"/>
      <c r="N455" s="287"/>
    </row>
    <row r="456" spans="13:14" ht="12.75">
      <c r="M456" s="287"/>
      <c r="N456" s="287"/>
    </row>
    <row r="457" spans="13:14" ht="12.75">
      <c r="M457" s="287"/>
      <c r="N457" s="287"/>
    </row>
    <row r="458" spans="13:14" ht="12.75">
      <c r="M458" s="287"/>
      <c r="N458" s="287"/>
    </row>
    <row r="459" spans="13:14" ht="12.75">
      <c r="M459" s="287"/>
      <c r="N459" s="287"/>
    </row>
    <row r="460" spans="13:14" ht="12.75">
      <c r="M460" s="287"/>
      <c r="N460" s="287"/>
    </row>
    <row r="461" spans="13:14" ht="12.75">
      <c r="M461" s="287"/>
      <c r="N461" s="287"/>
    </row>
    <row r="462" spans="13:14" ht="12.75">
      <c r="M462" s="287"/>
      <c r="N462" s="287"/>
    </row>
    <row r="463" spans="13:14" ht="12.75">
      <c r="M463" s="287"/>
      <c r="N463" s="287"/>
    </row>
    <row r="464" spans="13:14" ht="12.75">
      <c r="M464" s="287"/>
      <c r="N464" s="287"/>
    </row>
    <row r="465" spans="13:14" ht="12.75">
      <c r="M465" s="287"/>
      <c r="N465" s="287"/>
    </row>
    <row r="466" spans="13:14" ht="12.75">
      <c r="M466" s="287"/>
      <c r="N466" s="287"/>
    </row>
    <row r="467" spans="13:14" ht="12.75">
      <c r="M467" s="287"/>
      <c r="N467" s="287"/>
    </row>
    <row r="468" spans="13:14" ht="12.75">
      <c r="M468" s="287"/>
      <c r="N468" s="287"/>
    </row>
    <row r="469" spans="13:14" ht="12.75">
      <c r="M469" s="287"/>
      <c r="N469" s="287"/>
    </row>
    <row r="470" spans="13:14" ht="12.75">
      <c r="M470" s="287"/>
      <c r="N470" s="287"/>
    </row>
    <row r="471" spans="13:14" ht="12.75">
      <c r="M471" s="287"/>
      <c r="N471" s="287"/>
    </row>
    <row r="472" spans="13:14" ht="12.75">
      <c r="M472" s="287"/>
      <c r="N472" s="287"/>
    </row>
    <row r="473" spans="13:14" ht="12.75">
      <c r="M473" s="287"/>
      <c r="N473" s="287"/>
    </row>
    <row r="474" spans="13:14" ht="12.75">
      <c r="M474" s="287"/>
      <c r="N474" s="287"/>
    </row>
    <row r="475" spans="13:14" ht="12.75">
      <c r="M475" s="287"/>
      <c r="N475" s="287"/>
    </row>
    <row r="476" spans="13:14" ht="12.75">
      <c r="M476" s="287"/>
      <c r="N476" s="287"/>
    </row>
    <row r="477" spans="13:14" ht="12.75">
      <c r="M477" s="287"/>
      <c r="N477" s="287"/>
    </row>
    <row r="478" spans="13:14" ht="12.75">
      <c r="M478" s="287"/>
      <c r="N478" s="287"/>
    </row>
    <row r="479" spans="13:14" ht="12.75">
      <c r="M479" s="287"/>
      <c r="N479" s="287"/>
    </row>
    <row r="480" spans="13:14" ht="12.75">
      <c r="M480" s="287"/>
      <c r="N480" s="287"/>
    </row>
    <row r="481" spans="13:14" ht="12.75">
      <c r="M481" s="287"/>
      <c r="N481" s="287"/>
    </row>
    <row r="482" spans="13:14" ht="12.75">
      <c r="M482" s="287"/>
      <c r="N482" s="287"/>
    </row>
    <row r="483" spans="13:14" ht="12.75">
      <c r="M483" s="287"/>
      <c r="N483" s="287"/>
    </row>
    <row r="484" spans="13:14" ht="12.75">
      <c r="M484" s="287"/>
      <c r="N484" s="287"/>
    </row>
    <row r="485" spans="13:14" ht="12.75">
      <c r="M485" s="287"/>
      <c r="N485" s="287"/>
    </row>
    <row r="486" spans="13:14" ht="12.75">
      <c r="M486" s="287"/>
      <c r="N486" s="287"/>
    </row>
    <row r="487" spans="13:14" ht="12.75">
      <c r="M487" s="287"/>
      <c r="N487" s="287"/>
    </row>
    <row r="488" spans="13:14" ht="12.75">
      <c r="M488" s="287"/>
      <c r="N488" s="287"/>
    </row>
    <row r="489" spans="13:14" ht="12.75">
      <c r="M489" s="287"/>
      <c r="N489" s="287"/>
    </row>
    <row r="490" spans="13:14" ht="12.75">
      <c r="M490" s="287"/>
      <c r="N490" s="287"/>
    </row>
    <row r="491" spans="13:14" ht="12.75">
      <c r="M491" s="287"/>
      <c r="N491" s="287"/>
    </row>
    <row r="492" spans="13:14" ht="12.75">
      <c r="M492" s="287"/>
      <c r="N492" s="287"/>
    </row>
    <row r="493" spans="13:14" ht="12.75">
      <c r="M493" s="287"/>
      <c r="N493" s="287"/>
    </row>
    <row r="494" spans="13:14" ht="12.75">
      <c r="M494" s="287"/>
      <c r="N494" s="287"/>
    </row>
    <row r="495" spans="13:14" ht="12.75">
      <c r="M495" s="287"/>
      <c r="N495" s="287"/>
    </row>
    <row r="496" spans="13:14" ht="12.75">
      <c r="M496" s="287"/>
      <c r="N496" s="287"/>
    </row>
    <row r="497" spans="13:14" ht="12.75">
      <c r="M497" s="287"/>
      <c r="N497" s="287"/>
    </row>
    <row r="498" spans="13:14" ht="12.75">
      <c r="M498" s="287"/>
      <c r="N498" s="287"/>
    </row>
    <row r="499" spans="13:14" ht="12.75">
      <c r="M499" s="287"/>
      <c r="N499" s="287"/>
    </row>
    <row r="500" spans="13:14" ht="12.75">
      <c r="M500" s="287"/>
      <c r="N500" s="287"/>
    </row>
    <row r="501" spans="13:14" ht="12.75">
      <c r="M501" s="287"/>
      <c r="N501" s="287"/>
    </row>
    <row r="502" spans="13:14" ht="12.75">
      <c r="M502" s="287"/>
      <c r="N502" s="287"/>
    </row>
    <row r="503" spans="13:14" ht="12.75">
      <c r="M503" s="287"/>
      <c r="N503" s="287"/>
    </row>
    <row r="504" spans="13:14" ht="12.75">
      <c r="M504" s="287"/>
      <c r="N504" s="287"/>
    </row>
    <row r="505" spans="13:14" ht="12.75">
      <c r="M505" s="287"/>
      <c r="N505" s="287"/>
    </row>
    <row r="506" spans="13:14" ht="12.75">
      <c r="M506" s="287"/>
      <c r="N506" s="287"/>
    </row>
    <row r="507" spans="13:14" ht="12.75">
      <c r="M507" s="287"/>
      <c r="N507" s="287"/>
    </row>
    <row r="508" spans="13:14" ht="12.75">
      <c r="M508" s="287"/>
      <c r="N508" s="287"/>
    </row>
    <row r="509" spans="13:14" ht="12.75">
      <c r="M509" s="287"/>
      <c r="N509" s="287"/>
    </row>
    <row r="510" spans="13:14" ht="12.75">
      <c r="M510" s="287"/>
      <c r="N510" s="287"/>
    </row>
    <row r="511" spans="13:14" ht="12.75">
      <c r="M511" s="287"/>
      <c r="N511" s="287"/>
    </row>
    <row r="512" spans="13:14" ht="12.75">
      <c r="M512" s="287"/>
      <c r="N512" s="287"/>
    </row>
    <row r="513" spans="13:14" ht="12.75">
      <c r="M513" s="287"/>
      <c r="N513" s="287"/>
    </row>
    <row r="514" spans="13:14" ht="12.75">
      <c r="M514" s="287"/>
      <c r="N514" s="287"/>
    </row>
    <row r="515" spans="13:14" ht="12.75">
      <c r="M515" s="287"/>
      <c r="N515" s="287"/>
    </row>
    <row r="516" spans="13:14" ht="12.75">
      <c r="M516" s="287"/>
      <c r="N516" s="287"/>
    </row>
    <row r="517" spans="13:14" ht="12.75">
      <c r="M517" s="287"/>
      <c r="N517" s="287"/>
    </row>
    <row r="518" spans="13:14" ht="12.75">
      <c r="M518" s="287"/>
      <c r="N518" s="287"/>
    </row>
    <row r="519" spans="13:14" ht="12.75">
      <c r="M519" s="287"/>
      <c r="N519" s="287"/>
    </row>
    <row r="520" spans="13:14" ht="12.75">
      <c r="M520" s="287"/>
      <c r="N520" s="287"/>
    </row>
    <row r="521" spans="13:14" ht="12.75">
      <c r="M521" s="287"/>
      <c r="N521" s="287"/>
    </row>
    <row r="522" spans="13:14" ht="12.75">
      <c r="M522" s="287"/>
      <c r="N522" s="287"/>
    </row>
    <row r="523" spans="13:14" ht="12.75">
      <c r="M523" s="287"/>
      <c r="N523" s="287"/>
    </row>
    <row r="524" spans="13:14" ht="12.75">
      <c r="M524" s="287"/>
      <c r="N524" s="287"/>
    </row>
    <row r="525" spans="13:14" ht="12.75">
      <c r="M525" s="287"/>
      <c r="N525" s="287"/>
    </row>
    <row r="526" spans="13:14" ht="12.75">
      <c r="M526" s="287"/>
      <c r="N526" s="287"/>
    </row>
    <row r="527" spans="13:14" ht="12.75">
      <c r="M527" s="287"/>
      <c r="N527" s="287"/>
    </row>
    <row r="528" spans="13:14" ht="12.75">
      <c r="M528" s="287"/>
      <c r="N528" s="287"/>
    </row>
    <row r="529" spans="13:14" ht="12.75">
      <c r="M529" s="287"/>
      <c r="N529" s="287"/>
    </row>
    <row r="530" spans="13:14" ht="12.75">
      <c r="M530" s="287"/>
      <c r="N530" s="287"/>
    </row>
    <row r="531" spans="13:14" ht="12.75">
      <c r="M531" s="287"/>
      <c r="N531" s="287"/>
    </row>
    <row r="532" spans="13:14" ht="12.75">
      <c r="M532" s="287"/>
      <c r="N532" s="287"/>
    </row>
    <row r="533" spans="13:14" ht="12.75">
      <c r="M533" s="287"/>
      <c r="N533" s="287"/>
    </row>
    <row r="534" spans="13:14" ht="12.75">
      <c r="M534" s="287"/>
      <c r="N534" s="287"/>
    </row>
    <row r="535" spans="13:14" ht="12.75">
      <c r="M535" s="287"/>
      <c r="N535" s="287"/>
    </row>
    <row r="536" spans="13:14" ht="12.75">
      <c r="M536" s="287"/>
      <c r="N536" s="287"/>
    </row>
    <row r="537" spans="13:14" ht="12.75">
      <c r="M537" s="287"/>
      <c r="N537" s="287"/>
    </row>
    <row r="538" spans="13:14" ht="12.75">
      <c r="M538" s="287"/>
      <c r="N538" s="287"/>
    </row>
    <row r="539" spans="13:14" ht="12.75">
      <c r="M539" s="287"/>
      <c r="N539" s="287"/>
    </row>
    <row r="540" spans="13:14" ht="12.75">
      <c r="M540" s="287"/>
      <c r="N540" s="287"/>
    </row>
    <row r="541" spans="13:14" ht="12.75">
      <c r="M541" s="287"/>
      <c r="N541" s="287"/>
    </row>
    <row r="542" spans="13:14" ht="12.75">
      <c r="M542" s="287"/>
      <c r="N542" s="287"/>
    </row>
    <row r="543" spans="13:14" ht="12.75">
      <c r="M543" s="287"/>
      <c r="N543" s="287"/>
    </row>
    <row r="544" spans="13:14" ht="12.75">
      <c r="M544" s="287"/>
      <c r="N544" s="287"/>
    </row>
    <row r="545" spans="13:14" ht="12.75">
      <c r="M545" s="287"/>
      <c r="N545" s="287"/>
    </row>
    <row r="546" spans="13:14" ht="12.75">
      <c r="M546" s="287"/>
      <c r="N546" s="287"/>
    </row>
    <row r="547" spans="13:14" ht="12.75">
      <c r="M547" s="287"/>
      <c r="N547" s="287"/>
    </row>
    <row r="548" spans="13:14" ht="12.75">
      <c r="M548" s="287"/>
      <c r="N548" s="287"/>
    </row>
    <row r="549" spans="13:14" ht="12.75">
      <c r="M549" s="287"/>
      <c r="N549" s="287"/>
    </row>
    <row r="550" spans="13:14" ht="12.75">
      <c r="M550" s="287"/>
      <c r="N550" s="287"/>
    </row>
    <row r="551" spans="13:14" ht="12.75">
      <c r="M551" s="287"/>
      <c r="N551" s="287"/>
    </row>
    <row r="552" spans="13:14" ht="12.75">
      <c r="M552" s="287"/>
      <c r="N552" s="287"/>
    </row>
    <row r="553" spans="13:14" ht="12.75">
      <c r="M553" s="287"/>
      <c r="N553" s="287"/>
    </row>
    <row r="554" spans="13:14" ht="12.75">
      <c r="M554" s="287"/>
      <c r="N554" s="287"/>
    </row>
    <row r="555" spans="13:14" ht="12.75">
      <c r="M555" s="287"/>
      <c r="N555" s="287"/>
    </row>
    <row r="556" spans="13:14" ht="12.75">
      <c r="M556" s="287"/>
      <c r="N556" s="287"/>
    </row>
    <row r="557" spans="13:14" ht="12.75">
      <c r="M557" s="287"/>
      <c r="N557" s="287"/>
    </row>
    <row r="558" spans="13:14" ht="12.75">
      <c r="M558" s="287"/>
      <c r="N558" s="287"/>
    </row>
    <row r="559" spans="13:14" ht="12.75">
      <c r="M559" s="287"/>
      <c r="N559" s="287"/>
    </row>
    <row r="560" spans="13:14" ht="12.75">
      <c r="M560" s="287"/>
      <c r="N560" s="287"/>
    </row>
    <row r="561" spans="13:14" ht="12.75">
      <c r="M561" s="287"/>
      <c r="N561" s="287"/>
    </row>
    <row r="562" spans="13:14" ht="12.75">
      <c r="M562" s="287"/>
      <c r="N562" s="287"/>
    </row>
    <row r="563" spans="13:14" ht="12.75">
      <c r="M563" s="287"/>
      <c r="N563" s="287"/>
    </row>
    <row r="564" spans="13:14" ht="12.75">
      <c r="M564" s="287"/>
      <c r="N564" s="287"/>
    </row>
    <row r="565" spans="13:14" ht="12.75">
      <c r="M565" s="287"/>
      <c r="N565" s="287"/>
    </row>
    <row r="566" spans="13:14" ht="12.75">
      <c r="M566" s="287"/>
      <c r="N566" s="287"/>
    </row>
    <row r="567" spans="13:14" ht="12.75">
      <c r="M567" s="287"/>
      <c r="N567" s="287"/>
    </row>
    <row r="568" spans="13:14" ht="12.75">
      <c r="M568" s="287"/>
      <c r="N568" s="287"/>
    </row>
    <row r="569" spans="13:14" ht="12.75">
      <c r="M569" s="287"/>
      <c r="N569" s="287"/>
    </row>
    <row r="570" spans="13:14" ht="12.75">
      <c r="M570" s="287"/>
      <c r="N570" s="287"/>
    </row>
    <row r="571" spans="13:14" ht="12.75">
      <c r="M571" s="287"/>
      <c r="N571" s="287"/>
    </row>
    <row r="572" spans="13:14" ht="12.75">
      <c r="M572" s="287"/>
      <c r="N572" s="287"/>
    </row>
    <row r="573" spans="13:14" ht="12.75">
      <c r="M573" s="287"/>
      <c r="N573" s="287"/>
    </row>
    <row r="574" spans="13:14" ht="12.75">
      <c r="M574" s="287"/>
      <c r="N574" s="287"/>
    </row>
    <row r="575" spans="13:14" ht="12.75">
      <c r="M575" s="287"/>
      <c r="N575" s="287"/>
    </row>
    <row r="576" spans="13:14" ht="12.75">
      <c r="M576" s="287"/>
      <c r="N576" s="287"/>
    </row>
    <row r="577" spans="13:14" ht="12.75">
      <c r="M577" s="287"/>
      <c r="N577" s="287"/>
    </row>
    <row r="578" spans="13:14" ht="12.75">
      <c r="M578" s="287"/>
      <c r="N578" s="287"/>
    </row>
    <row r="579" spans="13:14" ht="12.75">
      <c r="M579" s="287"/>
      <c r="N579" s="287"/>
    </row>
    <row r="580" spans="13:14" ht="12.75">
      <c r="M580" s="287"/>
      <c r="N580" s="287"/>
    </row>
    <row r="581" spans="13:14" ht="12.75">
      <c r="M581" s="287"/>
      <c r="N581" s="287"/>
    </row>
    <row r="582" spans="13:14" ht="12.75">
      <c r="M582" s="287"/>
      <c r="N582" s="287"/>
    </row>
    <row r="583" spans="13:14" ht="12.75">
      <c r="M583" s="287"/>
      <c r="N583" s="287"/>
    </row>
    <row r="584" spans="13:14" ht="12.75">
      <c r="M584" s="287"/>
      <c r="N584" s="287"/>
    </row>
    <row r="585" spans="13:14" ht="12.75">
      <c r="M585" s="287"/>
      <c r="N585" s="287"/>
    </row>
    <row r="586" spans="13:14" ht="12.75">
      <c r="M586" s="287"/>
      <c r="N586" s="287"/>
    </row>
    <row r="587" spans="13:14" ht="12.75">
      <c r="M587" s="287"/>
      <c r="N587" s="287"/>
    </row>
    <row r="588" spans="13:14" ht="12.75">
      <c r="M588" s="287"/>
      <c r="N588" s="287"/>
    </row>
    <row r="589" spans="13:14" ht="12.75">
      <c r="M589" s="287"/>
      <c r="N589" s="287"/>
    </row>
    <row r="590" spans="13:14" ht="12.75">
      <c r="M590" s="287"/>
      <c r="N590" s="287"/>
    </row>
    <row r="591" spans="13:14" ht="12.75">
      <c r="M591" s="287"/>
      <c r="N591" s="287"/>
    </row>
    <row r="592" spans="13:14" ht="12.75">
      <c r="M592" s="287"/>
      <c r="N592" s="287"/>
    </row>
    <row r="593" spans="13:14" ht="12.75">
      <c r="M593" s="287"/>
      <c r="N593" s="287"/>
    </row>
    <row r="594" spans="13:14" ht="12.75">
      <c r="M594" s="287"/>
      <c r="N594" s="287"/>
    </row>
    <row r="595" spans="13:14" ht="12.75">
      <c r="M595" s="287"/>
      <c r="N595" s="287"/>
    </row>
    <row r="596" spans="13:14" ht="12.75">
      <c r="M596" s="287"/>
      <c r="N596" s="287"/>
    </row>
    <row r="597" spans="13:14" ht="12.75">
      <c r="M597" s="287"/>
      <c r="N597" s="287"/>
    </row>
    <row r="598" spans="13:14" ht="12.75">
      <c r="M598" s="287"/>
      <c r="N598" s="287"/>
    </row>
    <row r="599" spans="13:14" ht="12.75">
      <c r="M599" s="287"/>
      <c r="N599" s="287"/>
    </row>
    <row r="600" spans="13:14" ht="12.75">
      <c r="M600" s="287"/>
      <c r="N600" s="287"/>
    </row>
    <row r="601" spans="13:14" ht="12.75">
      <c r="M601" s="287"/>
      <c r="N601" s="287"/>
    </row>
    <row r="602" spans="13:14" ht="12.75">
      <c r="M602" s="287"/>
      <c r="N602" s="287"/>
    </row>
    <row r="603" spans="13:14" ht="12.75">
      <c r="M603" s="287"/>
      <c r="N603" s="287"/>
    </row>
    <row r="604" spans="13:14" ht="12.75">
      <c r="M604" s="287"/>
      <c r="N604" s="287"/>
    </row>
    <row r="605" spans="13:14" ht="12.75">
      <c r="M605" s="287"/>
      <c r="N605" s="287"/>
    </row>
    <row r="606" spans="13:14" ht="12.75">
      <c r="M606" s="287"/>
      <c r="N606" s="287"/>
    </row>
    <row r="607" spans="13:14" ht="12.75">
      <c r="M607" s="287"/>
      <c r="N607" s="287"/>
    </row>
    <row r="608" spans="13:14" ht="12.75">
      <c r="M608" s="287"/>
      <c r="N608" s="287"/>
    </row>
    <row r="609" spans="13:14" ht="12.75">
      <c r="M609" s="287"/>
      <c r="N609" s="287"/>
    </row>
    <row r="610" spans="13:14" ht="12.75">
      <c r="M610" s="287"/>
      <c r="N610" s="287"/>
    </row>
    <row r="611" spans="13:14" ht="12.75">
      <c r="M611" s="287"/>
      <c r="N611" s="287"/>
    </row>
    <row r="612" spans="13:14" ht="12.75">
      <c r="M612" s="287"/>
      <c r="N612" s="287"/>
    </row>
    <row r="613" spans="13:14" ht="12.75">
      <c r="M613" s="287"/>
      <c r="N613" s="287"/>
    </row>
    <row r="614" spans="13:14" ht="12.75">
      <c r="M614" s="287"/>
      <c r="N614" s="287"/>
    </row>
    <row r="615" spans="13:14" ht="12.75">
      <c r="M615" s="287"/>
      <c r="N615" s="287"/>
    </row>
    <row r="616" spans="13:14" ht="12.75">
      <c r="M616" s="287"/>
      <c r="N616" s="287"/>
    </row>
    <row r="617" spans="13:14" ht="12.75">
      <c r="M617" s="287"/>
      <c r="N617" s="287"/>
    </row>
    <row r="618" spans="13:14" ht="12.75">
      <c r="M618" s="287"/>
      <c r="N618" s="287"/>
    </row>
    <row r="619" spans="13:14" ht="12.75">
      <c r="M619" s="287"/>
      <c r="N619" s="287"/>
    </row>
    <row r="620" spans="13:14" ht="12.75">
      <c r="M620" s="287"/>
      <c r="N620" s="287"/>
    </row>
    <row r="621" spans="13:14" ht="12.75">
      <c r="M621" s="287"/>
      <c r="N621" s="287"/>
    </row>
    <row r="622" spans="13:14" ht="12.75">
      <c r="M622" s="287"/>
      <c r="N622" s="287"/>
    </row>
    <row r="623" spans="13:14" ht="12.75">
      <c r="M623" s="287"/>
      <c r="N623" s="287"/>
    </row>
    <row r="624" spans="13:14" ht="12.75">
      <c r="M624" s="287"/>
      <c r="N624" s="287"/>
    </row>
    <row r="625" spans="13:14" ht="12.75">
      <c r="M625" s="287"/>
      <c r="N625" s="287"/>
    </row>
    <row r="626" spans="13:14" ht="12.75">
      <c r="M626" s="287"/>
      <c r="N626" s="287"/>
    </row>
    <row r="627" spans="13:14" ht="12.75">
      <c r="M627" s="287"/>
      <c r="N627" s="287"/>
    </row>
    <row r="628" spans="13:14" ht="12.75">
      <c r="M628" s="287"/>
      <c r="N628" s="287"/>
    </row>
    <row r="629" spans="13:14" ht="12.75">
      <c r="M629" s="287"/>
      <c r="N629" s="287"/>
    </row>
    <row r="630" spans="13:14" ht="12.75">
      <c r="M630" s="287"/>
      <c r="N630" s="287"/>
    </row>
    <row r="631" spans="13:14" ht="12.75">
      <c r="M631" s="287"/>
      <c r="N631" s="287"/>
    </row>
    <row r="632" spans="13:14" ht="12.75">
      <c r="M632" s="287"/>
      <c r="N632" s="287"/>
    </row>
    <row r="633" spans="13:14" ht="12.75">
      <c r="M633" s="287"/>
      <c r="N633" s="287"/>
    </row>
    <row r="634" spans="13:14" ht="12.75">
      <c r="M634" s="287"/>
      <c r="N634" s="287"/>
    </row>
    <row r="635" spans="13:14" ht="12.75">
      <c r="M635" s="287"/>
      <c r="N635" s="287"/>
    </row>
    <row r="636" spans="13:14" ht="12.75">
      <c r="M636" s="287"/>
      <c r="N636" s="287"/>
    </row>
    <row r="637" spans="13:14" ht="12.75">
      <c r="M637" s="287"/>
      <c r="N637" s="287"/>
    </row>
    <row r="638" spans="13:14" ht="12.75">
      <c r="M638" s="287"/>
      <c r="N638" s="287"/>
    </row>
    <row r="639" spans="13:14" ht="12.75">
      <c r="M639" s="287"/>
      <c r="N639" s="287"/>
    </row>
    <row r="640" spans="13:14" ht="12.75">
      <c r="M640" s="287"/>
      <c r="N640" s="287"/>
    </row>
    <row r="641" spans="13:14" ht="12.75">
      <c r="M641" s="287"/>
      <c r="N641" s="287"/>
    </row>
    <row r="642" spans="13:14" ht="12.75">
      <c r="M642" s="287"/>
      <c r="N642" s="287"/>
    </row>
    <row r="643" spans="13:14" ht="12.75">
      <c r="M643" s="287"/>
      <c r="N643" s="287"/>
    </row>
    <row r="644" spans="13:14" ht="12.75">
      <c r="M644" s="287"/>
      <c r="N644" s="287"/>
    </row>
    <row r="645" spans="13:14" ht="12.75">
      <c r="M645" s="287"/>
      <c r="N645" s="287"/>
    </row>
    <row r="646" spans="13:14" ht="12.75">
      <c r="M646" s="287"/>
      <c r="N646" s="287"/>
    </row>
    <row r="647" spans="13:14" ht="12.75">
      <c r="M647" s="287"/>
      <c r="N647" s="287"/>
    </row>
    <row r="648" spans="13:14" ht="12.75">
      <c r="M648" s="287"/>
      <c r="N648" s="287"/>
    </row>
    <row r="649" spans="13:14" ht="12.75">
      <c r="M649" s="287"/>
      <c r="N649" s="287"/>
    </row>
    <row r="650" spans="13:14" ht="12.75">
      <c r="M650" s="287"/>
      <c r="N650" s="287"/>
    </row>
    <row r="651" spans="13:14" ht="12.75">
      <c r="M651" s="287"/>
      <c r="N651" s="287"/>
    </row>
    <row r="652" spans="13:14" ht="12.75">
      <c r="M652" s="287"/>
      <c r="N652" s="287"/>
    </row>
    <row r="653" spans="13:14" ht="12.75">
      <c r="M653" s="287"/>
      <c r="N653" s="287"/>
    </row>
    <row r="654" spans="13:14" ht="12.75">
      <c r="M654" s="287"/>
      <c r="N654" s="287"/>
    </row>
    <row r="655" spans="13:14" ht="12.75">
      <c r="M655" s="287"/>
      <c r="N655" s="287"/>
    </row>
    <row r="656" spans="13:14" ht="12.75">
      <c r="M656" s="287"/>
      <c r="N656" s="287"/>
    </row>
    <row r="657" spans="13:14" ht="12.75">
      <c r="M657" s="287"/>
      <c r="N657" s="287"/>
    </row>
    <row r="658" spans="13:14" ht="12.75">
      <c r="M658" s="287"/>
      <c r="N658" s="287"/>
    </row>
    <row r="659" spans="13:14" ht="12.75">
      <c r="M659" s="287"/>
      <c r="N659" s="287"/>
    </row>
    <row r="660" spans="13:14" ht="12.75">
      <c r="M660" s="287"/>
      <c r="N660" s="287"/>
    </row>
    <row r="661" spans="13:14" ht="12.75">
      <c r="M661" s="287"/>
      <c r="N661" s="287"/>
    </row>
    <row r="662" spans="13:14" ht="12.75">
      <c r="M662" s="287"/>
      <c r="N662" s="287"/>
    </row>
    <row r="663" spans="13:14" ht="12.75">
      <c r="M663" s="287"/>
      <c r="N663" s="287"/>
    </row>
    <row r="664" spans="13:14" ht="12.75">
      <c r="M664" s="287"/>
      <c r="N664" s="287"/>
    </row>
    <row r="665" spans="13:14" ht="12.75">
      <c r="M665" s="287"/>
      <c r="N665" s="287"/>
    </row>
    <row r="666" spans="13:14" ht="12.75">
      <c r="M666" s="287"/>
      <c r="N666" s="287"/>
    </row>
    <row r="667" spans="13:14" ht="12.75">
      <c r="M667" s="287"/>
      <c r="N667" s="287"/>
    </row>
    <row r="668" spans="13:14" ht="12.75">
      <c r="M668" s="287"/>
      <c r="N668" s="287"/>
    </row>
    <row r="669" spans="13:14" ht="12.75">
      <c r="M669" s="287"/>
      <c r="N669" s="287"/>
    </row>
    <row r="670" spans="13:14" ht="12.75">
      <c r="M670" s="287"/>
      <c r="N670" s="287"/>
    </row>
    <row r="671" spans="13:14" ht="12.75">
      <c r="M671" s="287"/>
      <c r="N671" s="287"/>
    </row>
    <row r="672" spans="13:14" ht="12.75">
      <c r="M672" s="287"/>
      <c r="N672" s="287"/>
    </row>
    <row r="673" spans="13:14" ht="12.75">
      <c r="M673" s="287"/>
      <c r="N673" s="287"/>
    </row>
    <row r="674" spans="13:14" ht="12.75">
      <c r="M674" s="287"/>
      <c r="N674" s="287"/>
    </row>
    <row r="675" spans="13:14" ht="12.75">
      <c r="M675" s="287"/>
      <c r="N675" s="287"/>
    </row>
    <row r="676" spans="13:14" ht="12.75">
      <c r="M676" s="287"/>
      <c r="N676" s="287"/>
    </row>
    <row r="677" spans="13:14" ht="12.75">
      <c r="M677" s="287"/>
      <c r="N677" s="287"/>
    </row>
    <row r="678" spans="13:14" ht="12.75">
      <c r="M678" s="287"/>
      <c r="N678" s="287"/>
    </row>
    <row r="679" spans="13:14" ht="12.75">
      <c r="M679" s="287"/>
      <c r="N679" s="287"/>
    </row>
    <row r="680" spans="13:14" ht="12.75">
      <c r="M680" s="287"/>
      <c r="N680" s="287"/>
    </row>
    <row r="681" spans="13:14" ht="12.75">
      <c r="M681" s="287"/>
      <c r="N681" s="287"/>
    </row>
    <row r="682" spans="13:14" ht="12.75">
      <c r="M682" s="287"/>
      <c r="N682" s="287"/>
    </row>
    <row r="683" spans="13:14" ht="12.75">
      <c r="M683" s="287"/>
      <c r="N683" s="287"/>
    </row>
    <row r="684" spans="13:14" ht="12.75">
      <c r="M684" s="287"/>
      <c r="N684" s="287"/>
    </row>
    <row r="685" spans="13:14" ht="12.75">
      <c r="M685" s="287"/>
      <c r="N685" s="287"/>
    </row>
    <row r="686" spans="13:14" ht="12.75">
      <c r="M686" s="287"/>
      <c r="N686" s="287"/>
    </row>
    <row r="687" spans="13:14" ht="12.75">
      <c r="M687" s="287"/>
      <c r="N687" s="287"/>
    </row>
    <row r="688" spans="13:14" ht="12.75">
      <c r="M688" s="287"/>
      <c r="N688" s="287"/>
    </row>
    <row r="689" spans="13:14" ht="12.75">
      <c r="M689" s="287"/>
      <c r="N689" s="287"/>
    </row>
    <row r="690" spans="13:14" ht="12.75">
      <c r="M690" s="287"/>
      <c r="N690" s="287"/>
    </row>
    <row r="691" spans="13:14" ht="12.75">
      <c r="M691" s="287"/>
      <c r="N691" s="287"/>
    </row>
    <row r="692" spans="13:14" ht="12.75">
      <c r="M692" s="287"/>
      <c r="N692" s="287"/>
    </row>
    <row r="693" spans="13:14" ht="12.75">
      <c r="M693" s="287"/>
      <c r="N693" s="287"/>
    </row>
    <row r="694" spans="13:14" ht="12.75">
      <c r="M694" s="287"/>
      <c r="N694" s="287"/>
    </row>
    <row r="695" spans="13:14" ht="12.75">
      <c r="M695" s="287"/>
      <c r="N695" s="287"/>
    </row>
    <row r="696" spans="13:14" ht="12.75">
      <c r="M696" s="287"/>
      <c r="N696" s="287"/>
    </row>
    <row r="697" spans="13:14" ht="12.75">
      <c r="M697" s="287"/>
      <c r="N697" s="287"/>
    </row>
    <row r="698" spans="13:14" ht="12.75">
      <c r="M698" s="287"/>
      <c r="N698" s="287"/>
    </row>
    <row r="699" spans="13:14" ht="12.75">
      <c r="M699" s="287"/>
      <c r="N699" s="287"/>
    </row>
    <row r="700" spans="13:14" ht="12.75">
      <c r="M700" s="287"/>
      <c r="N700" s="287"/>
    </row>
    <row r="701" spans="13:14" ht="12.75">
      <c r="M701" s="287"/>
      <c r="N701" s="287"/>
    </row>
    <row r="702" spans="13:14" ht="12.75">
      <c r="M702" s="287"/>
      <c r="N702" s="287"/>
    </row>
    <row r="703" spans="13:14" ht="12.75">
      <c r="M703" s="287"/>
      <c r="N703" s="287"/>
    </row>
    <row r="704" spans="13:14" ht="12.75">
      <c r="M704" s="287"/>
      <c r="N704" s="287"/>
    </row>
    <row r="705" spans="13:14" ht="12.75">
      <c r="M705" s="287"/>
      <c r="N705" s="287"/>
    </row>
    <row r="706" spans="13:14" ht="12.75">
      <c r="M706" s="287"/>
      <c r="N706" s="287"/>
    </row>
    <row r="707" spans="13:14" ht="12.75">
      <c r="M707" s="287"/>
      <c r="N707" s="287"/>
    </row>
    <row r="708" spans="13:14" ht="12.75">
      <c r="M708" s="287"/>
      <c r="N708" s="287"/>
    </row>
    <row r="709" spans="13:14" ht="12.75">
      <c r="M709" s="287"/>
      <c r="N709" s="287"/>
    </row>
    <row r="710" spans="13:14" ht="12.75">
      <c r="M710" s="287"/>
      <c r="N710" s="287"/>
    </row>
    <row r="711" spans="13:14" ht="12.75">
      <c r="M711" s="287"/>
      <c r="N711" s="287"/>
    </row>
    <row r="712" spans="13:14" ht="12.75">
      <c r="M712" s="287"/>
      <c r="N712" s="287"/>
    </row>
    <row r="713" spans="13:14" ht="12.75">
      <c r="M713" s="287"/>
      <c r="N713" s="287"/>
    </row>
    <row r="714" spans="13:14" ht="12.75">
      <c r="M714" s="287"/>
      <c r="N714" s="287"/>
    </row>
    <row r="715" spans="13:14" ht="12.75">
      <c r="M715" s="287"/>
      <c r="N715" s="287"/>
    </row>
    <row r="716" spans="13:14" ht="12.75">
      <c r="M716" s="287"/>
      <c r="N716" s="287"/>
    </row>
    <row r="717" spans="13:14" ht="12.75">
      <c r="M717" s="287"/>
      <c r="N717" s="287"/>
    </row>
    <row r="718" spans="13:14" ht="12.75">
      <c r="M718" s="287"/>
      <c r="N718" s="287"/>
    </row>
    <row r="719" spans="13:14" ht="12.75">
      <c r="M719" s="287"/>
      <c r="N719" s="287"/>
    </row>
    <row r="720" spans="13:14" ht="12.75">
      <c r="M720" s="287"/>
      <c r="N720" s="287"/>
    </row>
    <row r="721" spans="13:14" ht="12.75">
      <c r="M721" s="287"/>
      <c r="N721" s="287"/>
    </row>
    <row r="722" spans="13:14" ht="12.75">
      <c r="M722" s="287"/>
      <c r="N722" s="287"/>
    </row>
    <row r="723" spans="13:14" ht="12.75">
      <c r="M723" s="287"/>
      <c r="N723" s="287"/>
    </row>
    <row r="724" spans="13:14" ht="12.75">
      <c r="M724" s="287"/>
      <c r="N724" s="287"/>
    </row>
    <row r="725" spans="13:14" ht="12.75">
      <c r="M725" s="287"/>
      <c r="N725" s="287"/>
    </row>
    <row r="726" spans="13:14" ht="12.75">
      <c r="M726" s="287"/>
      <c r="N726" s="287"/>
    </row>
    <row r="727" spans="13:14" ht="12.75">
      <c r="M727" s="287"/>
      <c r="N727" s="287"/>
    </row>
    <row r="728" spans="13:14" ht="12.75">
      <c r="M728" s="287"/>
      <c r="N728" s="287"/>
    </row>
    <row r="729" spans="13:14" ht="12.75">
      <c r="M729" s="287"/>
      <c r="N729" s="287"/>
    </row>
    <row r="730" spans="13:14" ht="12.75">
      <c r="M730" s="287"/>
      <c r="N730" s="287"/>
    </row>
    <row r="731" spans="13:14" ht="12.75">
      <c r="M731" s="287"/>
      <c r="N731" s="287"/>
    </row>
    <row r="732" spans="13:14" ht="12.75">
      <c r="M732" s="287"/>
      <c r="N732" s="287"/>
    </row>
    <row r="733" spans="13:14" ht="12.75">
      <c r="M733" s="287"/>
      <c r="N733" s="287"/>
    </row>
    <row r="734" spans="13:14" ht="12.75">
      <c r="M734" s="287"/>
      <c r="N734" s="287"/>
    </row>
    <row r="735" spans="13:14" ht="12.75">
      <c r="M735" s="287"/>
      <c r="N735" s="287"/>
    </row>
    <row r="736" spans="13:14" ht="12.75">
      <c r="M736" s="287"/>
      <c r="N736" s="287"/>
    </row>
    <row r="737" spans="13:14" ht="12.75">
      <c r="M737" s="287"/>
      <c r="N737" s="287"/>
    </row>
    <row r="738" spans="13:14" ht="12.75">
      <c r="M738" s="287"/>
      <c r="N738" s="287"/>
    </row>
    <row r="739" spans="13:14" ht="12.75">
      <c r="M739" s="287"/>
      <c r="N739" s="287"/>
    </row>
    <row r="740" spans="13:14" ht="12.75">
      <c r="M740" s="287"/>
      <c r="N740" s="287"/>
    </row>
    <row r="741" spans="13:14" ht="12.75">
      <c r="M741" s="287"/>
      <c r="N741" s="287"/>
    </row>
    <row r="742" spans="13:14" ht="12.75">
      <c r="M742" s="287"/>
      <c r="N742" s="287"/>
    </row>
    <row r="743" spans="13:14" ht="12.75">
      <c r="M743" s="287"/>
      <c r="N743" s="287"/>
    </row>
    <row r="744" spans="13:14" ht="12.75">
      <c r="M744" s="287"/>
      <c r="N744" s="287"/>
    </row>
    <row r="745" spans="13:14" ht="12.75">
      <c r="M745" s="287"/>
      <c r="N745" s="287"/>
    </row>
    <row r="746" spans="13:14" ht="12.75">
      <c r="M746" s="287"/>
      <c r="N746" s="287"/>
    </row>
    <row r="747" spans="13:14" ht="12.75">
      <c r="M747" s="287"/>
      <c r="N747" s="287"/>
    </row>
    <row r="748" spans="13:14" ht="12.75">
      <c r="M748" s="287"/>
      <c r="N748" s="287"/>
    </row>
    <row r="749" spans="13:14" ht="12.75">
      <c r="M749" s="287"/>
      <c r="N749" s="287"/>
    </row>
    <row r="750" spans="13:14" ht="12.75">
      <c r="M750" s="287"/>
      <c r="N750" s="287"/>
    </row>
    <row r="751" spans="13:14" ht="12.75">
      <c r="M751" s="287"/>
      <c r="N751" s="287"/>
    </row>
    <row r="752" spans="13:14" ht="12.75">
      <c r="M752" s="287"/>
      <c r="N752" s="287"/>
    </row>
    <row r="753" spans="13:14" ht="12.75">
      <c r="M753" s="287"/>
      <c r="N753" s="287"/>
    </row>
    <row r="754" spans="13:14" ht="12.75">
      <c r="M754" s="287"/>
      <c r="N754" s="287"/>
    </row>
    <row r="755" spans="13:14" ht="12.75">
      <c r="M755" s="287"/>
      <c r="N755" s="287"/>
    </row>
    <row r="756" spans="13:14" ht="12.75">
      <c r="M756" s="287"/>
      <c r="N756" s="287"/>
    </row>
    <row r="757" spans="13:14" ht="12.75">
      <c r="M757" s="287"/>
      <c r="N757" s="287"/>
    </row>
    <row r="758" spans="13:14" ht="12.75">
      <c r="M758" s="287"/>
      <c r="N758" s="287"/>
    </row>
    <row r="759" spans="13:14" ht="12.75">
      <c r="M759" s="287"/>
      <c r="N759" s="287"/>
    </row>
    <row r="760" spans="13:14" ht="12.75">
      <c r="M760" s="287"/>
      <c r="N760" s="287"/>
    </row>
    <row r="761" spans="13:14" ht="12.75">
      <c r="M761" s="287"/>
      <c r="N761" s="287"/>
    </row>
    <row r="762" spans="13:14" ht="12.75">
      <c r="M762" s="287"/>
      <c r="N762" s="287"/>
    </row>
    <row r="763" spans="13:14" ht="12.75">
      <c r="M763" s="287"/>
      <c r="N763" s="287"/>
    </row>
    <row r="764" spans="13:14" ht="12.75">
      <c r="M764" s="287"/>
      <c r="N764" s="287"/>
    </row>
    <row r="765" spans="13:14" ht="12.75">
      <c r="M765" s="287"/>
      <c r="N765" s="287"/>
    </row>
    <row r="766" spans="13:14" ht="12.75">
      <c r="M766" s="287"/>
      <c r="N766" s="287"/>
    </row>
    <row r="767" spans="13:14" ht="12.75">
      <c r="M767" s="287"/>
      <c r="N767" s="287"/>
    </row>
    <row r="768" spans="13:14" ht="12.75">
      <c r="M768" s="287"/>
      <c r="N768" s="287"/>
    </row>
    <row r="769" spans="13:14" ht="12.75">
      <c r="M769" s="287"/>
      <c r="N769" s="287"/>
    </row>
    <row r="770" spans="13:14" ht="12.75">
      <c r="M770" s="287"/>
      <c r="N770" s="287"/>
    </row>
    <row r="771" spans="13:14" ht="12.75">
      <c r="M771" s="287"/>
      <c r="N771" s="287"/>
    </row>
    <row r="772" spans="13:14" ht="12.75">
      <c r="M772" s="287"/>
      <c r="N772" s="287"/>
    </row>
    <row r="773" spans="13:14" ht="12.75">
      <c r="M773" s="287"/>
      <c r="N773" s="287"/>
    </row>
    <row r="774" spans="13:14" ht="12.75">
      <c r="M774" s="287"/>
      <c r="N774" s="287"/>
    </row>
    <row r="775" spans="13:14" ht="12.75">
      <c r="M775" s="287"/>
      <c r="N775" s="287"/>
    </row>
    <row r="776" spans="13:14" ht="12.75">
      <c r="M776" s="287"/>
      <c r="N776" s="287"/>
    </row>
    <row r="777" spans="13:14" ht="12.75">
      <c r="M777" s="287"/>
      <c r="N777" s="287"/>
    </row>
    <row r="778" spans="13:14" ht="12.75">
      <c r="M778" s="287"/>
      <c r="N778" s="287"/>
    </row>
    <row r="779" spans="13:14" ht="12.75">
      <c r="M779" s="287"/>
      <c r="N779" s="287"/>
    </row>
    <row r="780" spans="13:14" ht="12.75">
      <c r="M780" s="287"/>
      <c r="N780" s="287"/>
    </row>
    <row r="781" spans="13:14" ht="12.75">
      <c r="M781" s="287"/>
      <c r="N781" s="287"/>
    </row>
    <row r="782" spans="13:14" ht="12.75">
      <c r="M782" s="287"/>
      <c r="N782" s="287"/>
    </row>
    <row r="783" spans="13:14" ht="12.75">
      <c r="M783" s="287"/>
      <c r="N783" s="287"/>
    </row>
    <row r="784" spans="13:14" ht="12.75">
      <c r="M784" s="287"/>
      <c r="N784" s="287"/>
    </row>
    <row r="785" spans="13:14" ht="12.75">
      <c r="M785" s="287"/>
      <c r="N785" s="287"/>
    </row>
    <row r="786" spans="13:14" ht="12.75">
      <c r="M786" s="287"/>
      <c r="N786" s="287"/>
    </row>
    <row r="787" spans="13:14" ht="12.75">
      <c r="M787" s="287"/>
      <c r="N787" s="287"/>
    </row>
    <row r="788" spans="13:14" ht="12.75">
      <c r="M788" s="287"/>
      <c r="N788" s="287"/>
    </row>
    <row r="789" spans="13:14" ht="12.75">
      <c r="M789" s="287"/>
      <c r="N789" s="287"/>
    </row>
    <row r="790" spans="13:14" ht="12.75">
      <c r="M790" s="287"/>
      <c r="N790" s="287"/>
    </row>
    <row r="791" spans="13:14" ht="12.75">
      <c r="M791" s="287"/>
      <c r="N791" s="287"/>
    </row>
    <row r="792" spans="13:14" ht="12.75">
      <c r="M792" s="287"/>
      <c r="N792" s="287"/>
    </row>
    <row r="793" spans="13:14" ht="12.75">
      <c r="M793" s="287"/>
      <c r="N793" s="287"/>
    </row>
    <row r="794" spans="13:14" ht="12.75">
      <c r="M794" s="287"/>
      <c r="N794" s="287"/>
    </row>
    <row r="795" spans="13:14" ht="12.75">
      <c r="M795" s="287"/>
      <c r="N795" s="287"/>
    </row>
    <row r="796" spans="13:14" ht="12.75">
      <c r="M796" s="287"/>
      <c r="N796" s="287"/>
    </row>
    <row r="797" spans="13:14" ht="12.75">
      <c r="M797" s="287"/>
      <c r="N797" s="287"/>
    </row>
    <row r="798" spans="13:14" ht="12.75">
      <c r="M798" s="287"/>
      <c r="N798" s="287"/>
    </row>
    <row r="799" spans="13:14" ht="12.75">
      <c r="M799" s="287"/>
      <c r="N799" s="287"/>
    </row>
    <row r="800" spans="13:14" ht="12.75">
      <c r="M800" s="287"/>
      <c r="N800" s="287"/>
    </row>
    <row r="801" spans="13:14" ht="12.75">
      <c r="M801" s="287"/>
      <c r="N801" s="287"/>
    </row>
    <row r="802" spans="13:14" ht="12.75">
      <c r="M802" s="287"/>
      <c r="N802" s="287"/>
    </row>
    <row r="803" spans="13:14" ht="12.75">
      <c r="M803" s="287"/>
      <c r="N803" s="287"/>
    </row>
    <row r="804" spans="13:14" ht="12.75">
      <c r="M804" s="287"/>
      <c r="N804" s="287"/>
    </row>
    <row r="805" spans="13:14" ht="12.75">
      <c r="M805" s="287"/>
      <c r="N805" s="287"/>
    </row>
    <row r="806" spans="13:14" ht="12.75">
      <c r="M806" s="287"/>
      <c r="N806" s="287"/>
    </row>
    <row r="807" spans="13:14" ht="12.75">
      <c r="M807" s="287"/>
      <c r="N807" s="287"/>
    </row>
    <row r="808" spans="13:14" ht="12.75">
      <c r="M808" s="287"/>
      <c r="N808" s="287"/>
    </row>
    <row r="809" spans="13:14" ht="12.75">
      <c r="M809" s="287"/>
      <c r="N809" s="287"/>
    </row>
    <row r="810" spans="13:14" ht="12.75">
      <c r="M810" s="287"/>
      <c r="N810" s="287"/>
    </row>
    <row r="811" spans="13:14" ht="12.75">
      <c r="M811" s="287"/>
      <c r="N811" s="287"/>
    </row>
    <row r="812" spans="13:14" ht="12.75">
      <c r="M812" s="287"/>
      <c r="N812" s="287"/>
    </row>
    <row r="813" spans="13:14" ht="12.75">
      <c r="M813" s="287"/>
      <c r="N813" s="287"/>
    </row>
    <row r="814" spans="13:14" ht="12.75">
      <c r="M814" s="287"/>
      <c r="N814" s="287"/>
    </row>
    <row r="815" spans="13:14" ht="12.75">
      <c r="M815" s="287"/>
      <c r="N815" s="287"/>
    </row>
    <row r="816" spans="13:14" ht="12.75">
      <c r="M816" s="287"/>
      <c r="N816" s="287"/>
    </row>
    <row r="817" spans="13:14" ht="12.75">
      <c r="M817" s="287"/>
      <c r="N817" s="287"/>
    </row>
    <row r="818" spans="13:14" ht="12.75">
      <c r="M818" s="287"/>
      <c r="N818" s="287"/>
    </row>
    <row r="819" spans="13:14" ht="12.75">
      <c r="M819" s="287"/>
      <c r="N819" s="287"/>
    </row>
    <row r="820" spans="13:14" ht="12.75">
      <c r="M820" s="287"/>
      <c r="N820" s="287"/>
    </row>
    <row r="821" spans="13:14" ht="12.75">
      <c r="M821" s="287"/>
      <c r="N821" s="287"/>
    </row>
    <row r="822" spans="13:14" ht="12.75">
      <c r="M822" s="287"/>
      <c r="N822" s="287"/>
    </row>
    <row r="823" spans="13:14" ht="12.75">
      <c r="M823" s="287"/>
      <c r="N823" s="287"/>
    </row>
    <row r="824" spans="13:14" ht="12.75">
      <c r="M824" s="287"/>
      <c r="N824" s="287"/>
    </row>
    <row r="825" spans="13:14" ht="12.75">
      <c r="M825" s="287"/>
      <c r="N825" s="287"/>
    </row>
    <row r="826" spans="13:14" ht="12.75">
      <c r="M826" s="287"/>
      <c r="N826" s="287"/>
    </row>
    <row r="827" spans="13:14" ht="12.75">
      <c r="M827" s="287"/>
      <c r="N827" s="287"/>
    </row>
    <row r="828" spans="13:14" ht="12.75">
      <c r="M828" s="287"/>
      <c r="N828" s="287"/>
    </row>
    <row r="829" spans="13:14" ht="12.75">
      <c r="M829" s="287"/>
      <c r="N829" s="287"/>
    </row>
    <row r="830" spans="13:14" ht="12.75">
      <c r="M830" s="287"/>
      <c r="N830" s="287"/>
    </row>
    <row r="831" spans="13:14" ht="12.75">
      <c r="M831" s="287"/>
      <c r="N831" s="287"/>
    </row>
    <row r="832" spans="13:14" ht="12.75">
      <c r="M832" s="287"/>
      <c r="N832" s="287"/>
    </row>
    <row r="833" spans="13:14" ht="12.75">
      <c r="M833" s="287"/>
      <c r="N833" s="287"/>
    </row>
    <row r="834" spans="13:14" ht="12.75">
      <c r="M834" s="287"/>
      <c r="N834" s="287"/>
    </row>
    <row r="835" spans="13:14" ht="12.75">
      <c r="M835" s="287"/>
      <c r="N835" s="287"/>
    </row>
    <row r="836" spans="13:14" ht="12.75">
      <c r="M836" s="287"/>
      <c r="N836" s="287"/>
    </row>
    <row r="837" spans="13:14" ht="12.75">
      <c r="M837" s="287"/>
      <c r="N837" s="287"/>
    </row>
    <row r="838" spans="13:14" ht="12.75">
      <c r="M838" s="287"/>
      <c r="N838" s="287"/>
    </row>
    <row r="839" spans="13:14" ht="12.75">
      <c r="M839" s="287"/>
      <c r="N839" s="287"/>
    </row>
    <row r="840" spans="13:14" ht="12.75">
      <c r="M840" s="287"/>
      <c r="N840" s="287"/>
    </row>
    <row r="841" spans="13:14" ht="12.75">
      <c r="M841" s="287"/>
      <c r="N841" s="287"/>
    </row>
    <row r="842" spans="13:14" ht="12.75">
      <c r="M842" s="287"/>
      <c r="N842" s="287"/>
    </row>
    <row r="843" spans="13:14" ht="12.75">
      <c r="M843" s="287"/>
      <c r="N843" s="287"/>
    </row>
    <row r="844" spans="13:14" ht="12.75">
      <c r="M844" s="287"/>
      <c r="N844" s="287"/>
    </row>
    <row r="845" spans="13:14" ht="12.75">
      <c r="M845" s="287"/>
      <c r="N845" s="287"/>
    </row>
    <row r="846" spans="13:14" ht="12.75">
      <c r="M846" s="287"/>
      <c r="N846" s="287"/>
    </row>
    <row r="847" spans="13:14" ht="12.75">
      <c r="M847" s="287"/>
      <c r="N847" s="287"/>
    </row>
    <row r="848" spans="13:14" ht="12.75">
      <c r="M848" s="287"/>
      <c r="N848" s="287"/>
    </row>
    <row r="849" spans="13:14" ht="12.75">
      <c r="M849" s="287"/>
      <c r="N849" s="287"/>
    </row>
    <row r="850" spans="13:14" ht="12.75">
      <c r="M850" s="287"/>
      <c r="N850" s="287"/>
    </row>
    <row r="851" spans="13:14" ht="12.75">
      <c r="M851" s="287"/>
      <c r="N851" s="287"/>
    </row>
    <row r="852" spans="13:14" ht="12.75">
      <c r="M852" s="287"/>
      <c r="N852" s="287"/>
    </row>
    <row r="853" spans="13:14" ht="12.75">
      <c r="M853" s="287"/>
      <c r="N853" s="287"/>
    </row>
    <row r="854" spans="13:14" ht="12.75">
      <c r="M854" s="287"/>
      <c r="N854" s="287"/>
    </row>
    <row r="855" spans="13:14" ht="12.75">
      <c r="M855" s="287"/>
      <c r="N855" s="287"/>
    </row>
    <row r="856" spans="13:14" ht="12.75">
      <c r="M856" s="287"/>
      <c r="N856" s="287"/>
    </row>
    <row r="857" spans="13:14" ht="12.75">
      <c r="M857" s="287"/>
      <c r="N857" s="287"/>
    </row>
    <row r="858" spans="13:14" ht="12.75">
      <c r="M858" s="287"/>
      <c r="N858" s="287"/>
    </row>
    <row r="859" spans="13:14" ht="12.75">
      <c r="M859" s="287"/>
      <c r="N859" s="287"/>
    </row>
    <row r="860" spans="13:14" ht="12.75">
      <c r="M860" s="287"/>
      <c r="N860" s="287"/>
    </row>
    <row r="861" spans="13:14" ht="12.75">
      <c r="M861" s="287"/>
      <c r="N861" s="287"/>
    </row>
    <row r="862" spans="13:14" ht="12.75">
      <c r="M862" s="287"/>
      <c r="N862" s="287"/>
    </row>
    <row r="863" spans="13:14" ht="12.75">
      <c r="M863" s="287"/>
      <c r="N863" s="287"/>
    </row>
    <row r="864" spans="13:14" ht="12.75">
      <c r="M864" s="287"/>
      <c r="N864" s="287"/>
    </row>
    <row r="865" spans="13:14" ht="12.75">
      <c r="M865" s="287"/>
      <c r="N865" s="287"/>
    </row>
    <row r="866" spans="13:14" ht="12.75">
      <c r="M866" s="287"/>
      <c r="N866" s="287"/>
    </row>
    <row r="867" spans="13:14" ht="12.75">
      <c r="M867" s="287"/>
      <c r="N867" s="287"/>
    </row>
    <row r="868" spans="13:14" ht="12.75">
      <c r="M868" s="287"/>
      <c r="N868" s="287"/>
    </row>
    <row r="869" spans="13:14" ht="12.75">
      <c r="M869" s="287"/>
      <c r="N869" s="287"/>
    </row>
    <row r="870" spans="13:14" ht="12.75">
      <c r="M870" s="287"/>
      <c r="N870" s="287"/>
    </row>
    <row r="871" spans="13:14" ht="12.75">
      <c r="M871" s="287"/>
      <c r="N871" s="287"/>
    </row>
    <row r="872" spans="13:14" ht="12.75">
      <c r="M872" s="287"/>
      <c r="N872" s="287"/>
    </row>
    <row r="873" spans="13:14" ht="12.75">
      <c r="M873" s="287"/>
      <c r="N873" s="287"/>
    </row>
    <row r="874" spans="13:14" ht="12.75">
      <c r="M874" s="287"/>
      <c r="N874" s="287"/>
    </row>
    <row r="875" spans="13:14" ht="12.75">
      <c r="M875" s="287"/>
      <c r="N875" s="287"/>
    </row>
    <row r="876" spans="13:14" ht="12.75">
      <c r="M876" s="287"/>
      <c r="N876" s="287"/>
    </row>
    <row r="877" spans="13:14" ht="12.75">
      <c r="M877" s="287"/>
      <c r="N877" s="287"/>
    </row>
    <row r="878" spans="13:14" ht="12.75">
      <c r="M878" s="287"/>
      <c r="N878" s="287"/>
    </row>
    <row r="879" spans="13:14" ht="12.75">
      <c r="M879" s="287"/>
      <c r="N879" s="287"/>
    </row>
    <row r="880" spans="13:14" ht="12.75">
      <c r="M880" s="287"/>
      <c r="N880" s="287"/>
    </row>
    <row r="881" spans="13:14" ht="12.75">
      <c r="M881" s="287"/>
      <c r="N881" s="287"/>
    </row>
    <row r="882" spans="13:14" ht="12.75">
      <c r="M882" s="287"/>
      <c r="N882" s="287"/>
    </row>
    <row r="883" spans="13:14" ht="12.75">
      <c r="M883" s="287"/>
      <c r="N883" s="287"/>
    </row>
    <row r="884" spans="13:14" ht="12.75">
      <c r="M884" s="287"/>
      <c r="N884" s="287"/>
    </row>
    <row r="885" spans="13:14" ht="12.75">
      <c r="M885" s="287"/>
      <c r="N885" s="287"/>
    </row>
    <row r="886" spans="13:14" ht="12.75">
      <c r="M886" s="287"/>
      <c r="N886" s="287"/>
    </row>
    <row r="887" spans="13:14" ht="12.75">
      <c r="M887" s="287"/>
      <c r="N887" s="287"/>
    </row>
    <row r="888" spans="13:14" ht="12.75">
      <c r="M888" s="287"/>
      <c r="N888" s="287"/>
    </row>
    <row r="889" spans="13:14" ht="12.75">
      <c r="M889" s="287"/>
      <c r="N889" s="287"/>
    </row>
    <row r="890" spans="13:14" ht="12.75">
      <c r="M890" s="287"/>
      <c r="N890" s="287"/>
    </row>
    <row r="891" spans="13:14" ht="12.75">
      <c r="M891" s="287"/>
      <c r="N891" s="287"/>
    </row>
    <row r="892" spans="13:14" ht="12.75">
      <c r="M892" s="287"/>
      <c r="N892" s="287"/>
    </row>
    <row r="893" spans="13:14" ht="12.75">
      <c r="M893" s="287"/>
      <c r="N893" s="287"/>
    </row>
    <row r="894" spans="13:14" ht="12.75">
      <c r="M894" s="287"/>
      <c r="N894" s="287"/>
    </row>
    <row r="895" spans="13:14" ht="12.75">
      <c r="M895" s="287"/>
      <c r="N895" s="287"/>
    </row>
    <row r="896" spans="13:14" ht="12.75">
      <c r="M896" s="287"/>
      <c r="N896" s="287"/>
    </row>
    <row r="897" spans="13:14" ht="12.75">
      <c r="M897" s="287"/>
      <c r="N897" s="287"/>
    </row>
    <row r="898" spans="13:14" ht="12.75">
      <c r="M898" s="287"/>
      <c r="N898" s="287"/>
    </row>
    <row r="899" spans="13:14" ht="12.75">
      <c r="M899" s="287"/>
      <c r="N899" s="287"/>
    </row>
    <row r="900" spans="13:14" ht="12.75">
      <c r="M900" s="287"/>
      <c r="N900" s="287"/>
    </row>
    <row r="901" spans="13:14" ht="12.75">
      <c r="M901" s="287"/>
      <c r="N901" s="287"/>
    </row>
    <row r="902" spans="13:14" ht="12.75">
      <c r="M902" s="287"/>
      <c r="N902" s="287"/>
    </row>
    <row r="903" spans="13:14" ht="12.75">
      <c r="M903" s="287"/>
      <c r="N903" s="287"/>
    </row>
    <row r="904" spans="13:14" ht="12.75">
      <c r="M904" s="287"/>
      <c r="N904" s="287"/>
    </row>
    <row r="905" spans="13:14" ht="12.75">
      <c r="M905" s="287"/>
      <c r="N905" s="287"/>
    </row>
    <row r="906" spans="13:14" ht="12.75">
      <c r="M906" s="287"/>
      <c r="N906" s="287"/>
    </row>
    <row r="907" spans="13:14" ht="12.75">
      <c r="M907" s="287"/>
      <c r="N907" s="287"/>
    </row>
    <row r="908" spans="13:14" ht="12.75">
      <c r="M908" s="287"/>
      <c r="N908" s="287"/>
    </row>
    <row r="909" spans="13:14" ht="12.75">
      <c r="M909" s="287"/>
      <c r="N909" s="287"/>
    </row>
    <row r="910" spans="13:14" ht="12.75">
      <c r="M910" s="287"/>
      <c r="N910" s="287"/>
    </row>
    <row r="911" spans="13:14" ht="12.75">
      <c r="M911" s="287"/>
      <c r="N911" s="287"/>
    </row>
    <row r="912" spans="13:14" ht="12.75">
      <c r="M912" s="287"/>
      <c r="N912" s="287"/>
    </row>
    <row r="913" spans="13:14" ht="12.75">
      <c r="M913" s="287"/>
      <c r="N913" s="287"/>
    </row>
    <row r="914" spans="13:14" ht="12.75">
      <c r="M914" s="287"/>
      <c r="N914" s="287"/>
    </row>
    <row r="915" spans="13:14" ht="12.75">
      <c r="M915" s="287"/>
      <c r="N915" s="287"/>
    </row>
    <row r="916" spans="13:14" ht="12.75">
      <c r="M916" s="287"/>
      <c r="N916" s="287"/>
    </row>
    <row r="917" spans="13:14" ht="12.75">
      <c r="M917" s="287"/>
      <c r="N917" s="287"/>
    </row>
    <row r="918" spans="13:14" ht="12.75">
      <c r="M918" s="287"/>
      <c r="N918" s="287"/>
    </row>
    <row r="919" spans="13:14" ht="12.75">
      <c r="M919" s="287"/>
      <c r="N919" s="287"/>
    </row>
    <row r="920" spans="13:14" ht="12.75">
      <c r="M920" s="287"/>
      <c r="N920" s="287"/>
    </row>
    <row r="921" spans="13:14" ht="12.75">
      <c r="M921" s="287"/>
      <c r="N921" s="287"/>
    </row>
    <row r="922" spans="13:14" ht="12.75">
      <c r="M922" s="287"/>
      <c r="N922" s="287"/>
    </row>
    <row r="923" spans="13:14" ht="12.75">
      <c r="M923" s="287"/>
      <c r="N923" s="287"/>
    </row>
    <row r="924" spans="13:14" ht="12.75">
      <c r="M924" s="287"/>
      <c r="N924" s="287"/>
    </row>
    <row r="925" spans="13:14" ht="12.75">
      <c r="M925" s="287"/>
      <c r="N925" s="287"/>
    </row>
    <row r="926" spans="13:14" ht="12.75">
      <c r="M926" s="287"/>
      <c r="N926" s="287"/>
    </row>
    <row r="927" spans="13:14" ht="12.75">
      <c r="M927" s="287"/>
      <c r="N927" s="287"/>
    </row>
    <row r="928" spans="13:14" ht="12.75">
      <c r="M928" s="287"/>
      <c r="N928" s="287"/>
    </row>
    <row r="929" spans="13:14" ht="12.75">
      <c r="M929" s="287"/>
      <c r="N929" s="287"/>
    </row>
    <row r="930" spans="13:14" ht="12.75">
      <c r="M930" s="287"/>
      <c r="N930" s="287"/>
    </row>
    <row r="931" spans="13:14" ht="12.75">
      <c r="M931" s="287"/>
      <c r="N931" s="287"/>
    </row>
    <row r="932" spans="13:14" ht="12.75">
      <c r="M932" s="287"/>
      <c r="N932" s="287"/>
    </row>
    <row r="933" spans="13:14" ht="12.75">
      <c r="M933" s="287"/>
      <c r="N933" s="287"/>
    </row>
    <row r="934" spans="13:14" ht="12.75">
      <c r="M934" s="287"/>
      <c r="N934" s="287"/>
    </row>
    <row r="935" spans="13:14" ht="12.75">
      <c r="M935" s="287"/>
      <c r="N935" s="287"/>
    </row>
    <row r="936" spans="13:14" ht="12.75">
      <c r="M936" s="287"/>
      <c r="N936" s="287"/>
    </row>
    <row r="937" spans="13:14" ht="12.75">
      <c r="M937" s="287"/>
      <c r="N937" s="287"/>
    </row>
    <row r="938" spans="13:14" ht="12.75">
      <c r="M938" s="287"/>
      <c r="N938" s="287"/>
    </row>
    <row r="939" spans="13:14" ht="12.75">
      <c r="M939" s="287"/>
      <c r="N939" s="287"/>
    </row>
    <row r="940" spans="13:14" ht="12.75">
      <c r="M940" s="287"/>
      <c r="N940" s="287"/>
    </row>
    <row r="941" spans="13:14" ht="12.75">
      <c r="M941" s="287"/>
      <c r="N941" s="287"/>
    </row>
    <row r="942" spans="13:14" ht="12.75">
      <c r="M942" s="287"/>
      <c r="N942" s="287"/>
    </row>
    <row r="943" spans="13:14" ht="12.75">
      <c r="M943" s="287"/>
      <c r="N943" s="287"/>
    </row>
    <row r="944" spans="13:14" ht="12.75">
      <c r="M944" s="287"/>
      <c r="N944" s="287"/>
    </row>
    <row r="945" spans="13:14" ht="12.75">
      <c r="M945" s="287"/>
      <c r="N945" s="287"/>
    </row>
    <row r="946" spans="13:14" ht="12.75">
      <c r="M946" s="287"/>
      <c r="N946" s="287"/>
    </row>
    <row r="947" spans="13:14" ht="12.75">
      <c r="M947" s="287"/>
      <c r="N947" s="287"/>
    </row>
    <row r="948" spans="13:14" ht="12.75">
      <c r="M948" s="287"/>
      <c r="N948" s="287"/>
    </row>
    <row r="949" spans="13:14" ht="12.75">
      <c r="M949" s="287"/>
      <c r="N949" s="287"/>
    </row>
    <row r="950" spans="13:14" ht="12.75">
      <c r="M950" s="287"/>
      <c r="N950" s="287"/>
    </row>
    <row r="951" spans="13:14" ht="12.75">
      <c r="M951" s="287"/>
      <c r="N951" s="287"/>
    </row>
    <row r="952" spans="13:14" ht="12.75">
      <c r="M952" s="287"/>
      <c r="N952" s="287"/>
    </row>
    <row r="953" spans="13:14" ht="12.75">
      <c r="M953" s="287"/>
      <c r="N953" s="287"/>
    </row>
    <row r="954" spans="13:14" ht="12.75">
      <c r="M954" s="287"/>
      <c r="N954" s="287"/>
    </row>
    <row r="955" spans="13:14" ht="12.75">
      <c r="M955" s="287"/>
      <c r="N955" s="287"/>
    </row>
    <row r="956" spans="13:14" ht="12.75">
      <c r="M956" s="287"/>
      <c r="N956" s="287"/>
    </row>
    <row r="957" spans="13:14" ht="12.75">
      <c r="M957" s="287"/>
      <c r="N957" s="287"/>
    </row>
    <row r="958" spans="13:14" ht="12.75">
      <c r="M958" s="287"/>
      <c r="N958" s="287"/>
    </row>
    <row r="959" spans="13:14" ht="12.75">
      <c r="M959" s="287"/>
      <c r="N959" s="287"/>
    </row>
    <row r="960" spans="13:14" ht="12.75">
      <c r="M960" s="287"/>
      <c r="N960" s="287"/>
    </row>
    <row r="961" spans="13:14" ht="12.75">
      <c r="M961" s="287"/>
      <c r="N961" s="287"/>
    </row>
    <row r="962" spans="13:14" ht="12.75">
      <c r="M962" s="287"/>
      <c r="N962" s="287"/>
    </row>
    <row r="963" spans="13:14" ht="12.75">
      <c r="M963" s="287"/>
      <c r="N963" s="287"/>
    </row>
    <row r="964" spans="13:14" ht="12.75">
      <c r="M964" s="287"/>
      <c r="N964" s="287"/>
    </row>
    <row r="965" spans="13:14" ht="12.75">
      <c r="M965" s="287"/>
      <c r="N965" s="287"/>
    </row>
    <row r="966" spans="13:14" ht="12.75">
      <c r="M966" s="287"/>
      <c r="N966" s="287"/>
    </row>
    <row r="967" spans="13:14" ht="12.75">
      <c r="M967" s="287"/>
      <c r="N967" s="287"/>
    </row>
    <row r="968" spans="13:14" ht="12.75">
      <c r="M968" s="287"/>
      <c r="N968" s="287"/>
    </row>
    <row r="969" spans="13:14" ht="12.75">
      <c r="M969" s="287"/>
      <c r="N969" s="287"/>
    </row>
    <row r="970" spans="13:14" ht="12.75">
      <c r="M970" s="287"/>
      <c r="N970" s="287"/>
    </row>
    <row r="971" spans="13:14" ht="12.75">
      <c r="M971" s="287"/>
      <c r="N971" s="287"/>
    </row>
    <row r="972" spans="13:14" ht="12.75">
      <c r="M972" s="287"/>
      <c r="N972" s="287"/>
    </row>
    <row r="973" spans="13:14" ht="12.75">
      <c r="M973" s="287"/>
      <c r="N973" s="287"/>
    </row>
    <row r="974" spans="13:14" ht="12.75">
      <c r="M974" s="287"/>
      <c r="N974" s="287"/>
    </row>
    <row r="975" spans="13:14" ht="12.75">
      <c r="M975" s="287"/>
      <c r="N975" s="287"/>
    </row>
    <row r="976" spans="13:14" ht="12.75">
      <c r="M976" s="287"/>
      <c r="N976" s="287"/>
    </row>
    <row r="977" spans="13:14" ht="12.75">
      <c r="M977" s="287"/>
      <c r="N977" s="287"/>
    </row>
    <row r="978" spans="13:14" ht="12.75">
      <c r="M978" s="287"/>
      <c r="N978" s="287"/>
    </row>
    <row r="979" spans="13:14" ht="12.75">
      <c r="M979" s="287"/>
      <c r="N979" s="287"/>
    </row>
    <row r="980" spans="13:14" ht="12.75">
      <c r="M980" s="287"/>
      <c r="N980" s="287"/>
    </row>
    <row r="981" spans="13:14" ht="12.75">
      <c r="M981" s="287"/>
      <c r="N981" s="287"/>
    </row>
    <row r="982" spans="13:14" ht="12.75">
      <c r="M982" s="287"/>
      <c r="N982" s="287"/>
    </row>
    <row r="983" spans="13:14" ht="12.75">
      <c r="M983" s="287"/>
      <c r="N983" s="287"/>
    </row>
    <row r="984" spans="13:14" ht="12.75">
      <c r="M984" s="287"/>
      <c r="N984" s="287"/>
    </row>
    <row r="985" spans="13:14" ht="12.75">
      <c r="M985" s="287"/>
      <c r="N985" s="287"/>
    </row>
    <row r="986" spans="13:14" ht="12.75">
      <c r="M986" s="287"/>
      <c r="N986" s="287"/>
    </row>
    <row r="987" spans="13:14" ht="12.75">
      <c r="M987" s="287"/>
      <c r="N987" s="287"/>
    </row>
    <row r="988" spans="13:14" ht="12.75">
      <c r="M988" s="287"/>
      <c r="N988" s="287"/>
    </row>
    <row r="989" spans="13:14" ht="12.75">
      <c r="M989" s="287"/>
      <c r="N989" s="287"/>
    </row>
    <row r="990" spans="13:14" ht="12.75">
      <c r="M990" s="287"/>
      <c r="N990" s="287"/>
    </row>
    <row r="991" spans="13:14" ht="12.75">
      <c r="M991" s="287"/>
      <c r="N991" s="287"/>
    </row>
    <row r="992" spans="13:14" ht="12.75">
      <c r="M992" s="287"/>
      <c r="N992" s="287"/>
    </row>
    <row r="993" spans="13:14" ht="12.75">
      <c r="M993" s="287"/>
      <c r="N993" s="287"/>
    </row>
    <row r="994" spans="13:14" ht="12.75">
      <c r="M994" s="287"/>
      <c r="N994" s="287"/>
    </row>
    <row r="995" spans="13:14" ht="12.75">
      <c r="M995" s="287"/>
      <c r="N995" s="287"/>
    </row>
    <row r="996" spans="13:14" ht="12.75">
      <c r="M996" s="287"/>
      <c r="N996" s="287"/>
    </row>
    <row r="997" spans="13:14" ht="12.75">
      <c r="M997" s="287"/>
      <c r="N997" s="287"/>
    </row>
    <row r="998" spans="13:14" ht="12.75">
      <c r="M998" s="287"/>
      <c r="N998" s="287"/>
    </row>
    <row r="999" spans="13:14" ht="12.75">
      <c r="M999" s="287"/>
      <c r="N999" s="287"/>
    </row>
    <row r="1000" spans="13:14" ht="12.75">
      <c r="M1000" s="287"/>
      <c r="N1000" s="287"/>
    </row>
    <row r="1001" spans="13:14" ht="12.75">
      <c r="M1001" s="287"/>
      <c r="N1001" s="287"/>
    </row>
    <row r="1002" spans="13:14" ht="12.75">
      <c r="M1002" s="287"/>
      <c r="N1002" s="287"/>
    </row>
    <row r="1003" spans="13:14" ht="12.75">
      <c r="M1003" s="287"/>
      <c r="N1003" s="287"/>
    </row>
    <row r="1004" spans="13:14" ht="12.75">
      <c r="M1004" s="287"/>
      <c r="N1004" s="287"/>
    </row>
    <row r="1005" spans="13:14" ht="12.75">
      <c r="M1005" s="287"/>
      <c r="N1005" s="287"/>
    </row>
    <row r="1006" spans="13:14" ht="12.75">
      <c r="M1006" s="287"/>
      <c r="N1006" s="287"/>
    </row>
    <row r="1007" spans="13:14" ht="12.75">
      <c r="M1007" s="287"/>
      <c r="N1007" s="287"/>
    </row>
    <row r="1008" spans="13:14" ht="12.75">
      <c r="M1008" s="287"/>
      <c r="N1008" s="287"/>
    </row>
    <row r="1009" spans="13:14" ht="12.75">
      <c r="M1009" s="287"/>
      <c r="N1009" s="287"/>
    </row>
    <row r="1010" spans="13:14" ht="12.75">
      <c r="M1010" s="287"/>
      <c r="N1010" s="287"/>
    </row>
    <row r="1011" spans="13:14" ht="12.75">
      <c r="M1011" s="287"/>
      <c r="N1011" s="287"/>
    </row>
    <row r="1012" spans="13:14" ht="12.75">
      <c r="M1012" s="287"/>
      <c r="N1012" s="287"/>
    </row>
    <row r="1013" spans="13:14" ht="12.75">
      <c r="M1013" s="287"/>
      <c r="N1013" s="287"/>
    </row>
    <row r="1014" spans="13:14" ht="12.75">
      <c r="M1014" s="287"/>
      <c r="N1014" s="287"/>
    </row>
    <row r="1015" spans="13:14" ht="12.75">
      <c r="M1015" s="287"/>
      <c r="N1015" s="287"/>
    </row>
    <row r="1016" spans="13:14" ht="12.75">
      <c r="M1016" s="287"/>
      <c r="N1016" s="287"/>
    </row>
    <row r="1017" spans="13:14" ht="12.75">
      <c r="M1017" s="287"/>
      <c r="N1017" s="287"/>
    </row>
    <row r="1018" spans="13:14" ht="12.75">
      <c r="M1018" s="287"/>
      <c r="N1018" s="287"/>
    </row>
    <row r="1019" spans="13:14" ht="12.75">
      <c r="M1019" s="287"/>
      <c r="N1019" s="287"/>
    </row>
    <row r="1020" spans="13:14" ht="12.75">
      <c r="M1020" s="287"/>
      <c r="N1020" s="287"/>
    </row>
    <row r="1021" spans="13:14" ht="12.75">
      <c r="M1021" s="287"/>
      <c r="N1021" s="287"/>
    </row>
    <row r="1022" spans="13:14" ht="12.75">
      <c r="M1022" s="287"/>
      <c r="N1022" s="287"/>
    </row>
    <row r="1023" spans="13:14" ht="12.75">
      <c r="M1023" s="287"/>
      <c r="N1023" s="287"/>
    </row>
    <row r="1024" spans="13:14" ht="12.75">
      <c r="M1024" s="287"/>
      <c r="N1024" s="287"/>
    </row>
  </sheetData>
  <mergeCells count="2">
    <mergeCell ref="M2:P2"/>
    <mergeCell ref="K64:K65"/>
  </mergeCells>
  <printOptions horizontalCentered="1" gridLines="1"/>
  <pageMargins left="0.25" right="0.25" top="0.75" bottom="0.75" header="0" footer="0"/>
  <pageSetup paperSize="9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K116"/>
  <sheetViews>
    <sheetView workbookViewId="0"/>
  </sheetViews>
  <sheetFormatPr defaultColWidth="12.5703125" defaultRowHeight="15.75" customHeight="1"/>
  <cols>
    <col min="1" max="1" width="9.28515625" customWidth="1"/>
    <col min="2" max="2" width="28.42578125" customWidth="1"/>
    <col min="4" max="4" width="19.28515625" customWidth="1"/>
    <col min="9" max="9" width="18.5703125" customWidth="1"/>
    <col min="10" max="10" width="19.85546875" customWidth="1"/>
    <col min="11" max="11" width="19.5703125" customWidth="1"/>
  </cols>
  <sheetData>
    <row r="1" spans="1:11" ht="12.75">
      <c r="A1" s="1" t="s">
        <v>0</v>
      </c>
    </row>
    <row r="3" spans="1:11" ht="63.75">
      <c r="A3" s="18" t="s">
        <v>5</v>
      </c>
      <c r="B3" s="20" t="s">
        <v>7</v>
      </c>
      <c r="C3" s="217" t="s">
        <v>159</v>
      </c>
      <c r="D3" s="24" t="s">
        <v>10</v>
      </c>
      <c r="E3" s="288" t="s">
        <v>243</v>
      </c>
      <c r="F3" s="289" t="s">
        <v>244</v>
      </c>
      <c r="G3" s="290" t="s">
        <v>245</v>
      </c>
      <c r="H3" s="291" t="s">
        <v>246</v>
      </c>
      <c r="I3" s="22" t="s">
        <v>13</v>
      </c>
      <c r="J3" s="134" t="s">
        <v>162</v>
      </c>
      <c r="K3" s="14"/>
    </row>
    <row r="4" spans="1:11" ht="12.75">
      <c r="A4" s="219">
        <v>1</v>
      </c>
      <c r="B4" s="328" t="s">
        <v>248</v>
      </c>
      <c r="C4" s="311">
        <v>7</v>
      </c>
      <c r="D4" s="312" t="s">
        <v>209</v>
      </c>
      <c r="E4" s="379"/>
      <c r="F4" s="315"/>
      <c r="G4" s="315"/>
      <c r="H4" s="315"/>
      <c r="I4" s="314"/>
      <c r="J4" s="380" t="s">
        <v>118</v>
      </c>
      <c r="K4" s="33"/>
    </row>
    <row r="5" spans="1:11" ht="12.75">
      <c r="A5" s="269">
        <v>2</v>
      </c>
      <c r="B5" s="328" t="s">
        <v>327</v>
      </c>
      <c r="C5" s="311">
        <v>7</v>
      </c>
      <c r="D5" s="312"/>
      <c r="E5" s="313"/>
      <c r="F5" s="314"/>
      <c r="G5" s="314"/>
      <c r="H5" s="315"/>
      <c r="I5" s="315"/>
      <c r="J5" s="380" t="s">
        <v>118</v>
      </c>
      <c r="K5" s="14"/>
    </row>
    <row r="6" spans="1:11" ht="25.5">
      <c r="A6" s="269">
        <v>3</v>
      </c>
      <c r="B6" s="381" t="s">
        <v>328</v>
      </c>
      <c r="C6" s="13">
        <v>10</v>
      </c>
      <c r="D6" s="13" t="s">
        <v>329</v>
      </c>
      <c r="E6" s="13">
        <v>10</v>
      </c>
      <c r="F6" s="30"/>
      <c r="G6" s="13">
        <v>12350</v>
      </c>
      <c r="H6" s="13">
        <v>12350</v>
      </c>
      <c r="I6" s="30"/>
      <c r="J6" s="382" t="s">
        <v>330</v>
      </c>
      <c r="K6" s="324"/>
    </row>
    <row r="7" spans="1:11" ht="12.75">
      <c r="A7" s="219">
        <v>4</v>
      </c>
      <c r="B7" s="29" t="s">
        <v>23</v>
      </c>
      <c r="C7" s="59">
        <v>10</v>
      </c>
      <c r="D7" s="45" t="s">
        <v>209</v>
      </c>
      <c r="E7" s="47">
        <v>31</v>
      </c>
      <c r="F7" s="222">
        <v>31</v>
      </c>
      <c r="G7" s="222">
        <v>30000</v>
      </c>
      <c r="H7" s="221">
        <f>G7/E7*F7</f>
        <v>30000</v>
      </c>
      <c r="I7" s="221"/>
      <c r="J7" s="228" t="s">
        <v>331</v>
      </c>
      <c r="K7" s="14"/>
    </row>
    <row r="8" spans="1:11" ht="12.75">
      <c r="A8" s="269">
        <v>5</v>
      </c>
      <c r="B8" s="253" t="s">
        <v>332</v>
      </c>
      <c r="C8" s="59">
        <v>7</v>
      </c>
      <c r="D8" s="45" t="s">
        <v>333</v>
      </c>
      <c r="E8" s="47"/>
      <c r="F8" s="223"/>
      <c r="G8" s="223">
        <v>20000</v>
      </c>
      <c r="H8" s="223">
        <v>20000</v>
      </c>
      <c r="I8" s="220"/>
      <c r="J8" s="228" t="s">
        <v>331</v>
      </c>
      <c r="K8" s="14"/>
    </row>
    <row r="9" spans="1:11" ht="12.75">
      <c r="A9" s="269">
        <v>6</v>
      </c>
      <c r="B9" s="4" t="s">
        <v>273</v>
      </c>
      <c r="C9" s="59">
        <v>7</v>
      </c>
      <c r="D9" s="59" t="s">
        <v>334</v>
      </c>
      <c r="E9" s="47"/>
      <c r="F9" s="223"/>
      <c r="G9" s="223"/>
      <c r="H9" s="223"/>
      <c r="I9" s="223">
        <v>37000</v>
      </c>
      <c r="J9" s="228"/>
      <c r="K9" s="14"/>
    </row>
    <row r="10" spans="1:11" ht="12.75">
      <c r="A10" s="383">
        <v>7</v>
      </c>
      <c r="B10" s="384" t="s">
        <v>335</v>
      </c>
      <c r="C10" s="385">
        <v>7</v>
      </c>
      <c r="D10" s="385" t="s">
        <v>336</v>
      </c>
      <c r="E10" s="386"/>
      <c r="F10" s="387"/>
      <c r="G10" s="387">
        <v>46000</v>
      </c>
      <c r="H10" s="387">
        <v>46000</v>
      </c>
      <c r="I10" s="388"/>
      <c r="J10" s="389" t="s">
        <v>331</v>
      </c>
      <c r="K10" s="390"/>
    </row>
    <row r="11" spans="1:11" ht="12.75">
      <c r="A11" s="269">
        <v>8</v>
      </c>
      <c r="B11" s="4" t="s">
        <v>26</v>
      </c>
      <c r="C11" s="59">
        <v>7</v>
      </c>
      <c r="D11" s="45" t="s">
        <v>209</v>
      </c>
      <c r="E11" s="47">
        <v>31</v>
      </c>
      <c r="F11" s="223">
        <v>31</v>
      </c>
      <c r="G11" s="223">
        <v>14000</v>
      </c>
      <c r="H11" s="221">
        <f t="shared" ref="H11:H12" si="0">G11/E11*F11</f>
        <v>14000</v>
      </c>
      <c r="I11" s="220"/>
      <c r="J11" s="228" t="s">
        <v>337</v>
      </c>
      <c r="K11" s="14"/>
    </row>
    <row r="12" spans="1:11" ht="12.75">
      <c r="A12" s="269">
        <v>9</v>
      </c>
      <c r="B12" s="29" t="s">
        <v>29</v>
      </c>
      <c r="C12" s="59">
        <v>10</v>
      </c>
      <c r="D12" s="45" t="s">
        <v>209</v>
      </c>
      <c r="E12" s="47">
        <v>31</v>
      </c>
      <c r="F12" s="222">
        <v>31</v>
      </c>
      <c r="G12" s="222">
        <v>32000</v>
      </c>
      <c r="H12" s="221">
        <f t="shared" si="0"/>
        <v>32000</v>
      </c>
      <c r="I12" s="220"/>
      <c r="J12" s="228" t="s">
        <v>331</v>
      </c>
      <c r="K12" s="14"/>
    </row>
    <row r="13" spans="1:11" ht="12.75">
      <c r="A13" s="383">
        <v>10</v>
      </c>
      <c r="B13" s="384" t="s">
        <v>253</v>
      </c>
      <c r="C13" s="385">
        <v>7</v>
      </c>
      <c r="D13" s="391" t="s">
        <v>254</v>
      </c>
      <c r="E13" s="386">
        <v>31</v>
      </c>
      <c r="F13" s="392">
        <v>31</v>
      </c>
      <c r="G13" s="392">
        <v>29000</v>
      </c>
      <c r="H13" s="392">
        <v>29000</v>
      </c>
      <c r="I13" s="393"/>
      <c r="J13" s="389" t="s">
        <v>331</v>
      </c>
      <c r="K13" s="390"/>
    </row>
    <row r="14" spans="1:11" ht="12.75">
      <c r="A14" s="269">
        <v>11</v>
      </c>
      <c r="B14" s="394" t="s">
        <v>338</v>
      </c>
      <c r="C14" s="59">
        <v>7</v>
      </c>
      <c r="D14" s="394" t="s">
        <v>339</v>
      </c>
      <c r="E14" s="395"/>
      <c r="F14" s="395"/>
      <c r="G14" s="300">
        <v>20000</v>
      </c>
      <c r="H14" s="300">
        <v>20000</v>
      </c>
      <c r="I14" s="395"/>
      <c r="J14" s="228" t="s">
        <v>210</v>
      </c>
      <c r="K14" s="303"/>
    </row>
    <row r="15" spans="1:11" ht="12.75">
      <c r="A15" s="269">
        <v>12</v>
      </c>
      <c r="B15" s="394" t="s">
        <v>340</v>
      </c>
      <c r="C15" s="59">
        <v>7</v>
      </c>
      <c r="D15" s="394" t="s">
        <v>341</v>
      </c>
      <c r="E15" s="395"/>
      <c r="F15" s="395"/>
      <c r="G15" s="300">
        <v>17500</v>
      </c>
      <c r="H15" s="300">
        <v>17500</v>
      </c>
      <c r="I15" s="395"/>
      <c r="J15" s="338" t="s">
        <v>331</v>
      </c>
      <c r="K15" s="303"/>
    </row>
    <row r="16" spans="1:11" ht="15.75" customHeight="1">
      <c r="A16" s="269">
        <v>13</v>
      </c>
      <c r="B16" s="254" t="s">
        <v>342</v>
      </c>
      <c r="C16" s="311">
        <v>14</v>
      </c>
      <c r="D16" s="311" t="s">
        <v>343</v>
      </c>
      <c r="E16" s="396"/>
      <c r="F16" s="397"/>
      <c r="G16" s="398">
        <v>70000</v>
      </c>
      <c r="H16" s="314">
        <v>70000</v>
      </c>
      <c r="I16" s="399"/>
      <c r="J16" s="277" t="s">
        <v>344</v>
      </c>
      <c r="K16" s="303"/>
    </row>
    <row r="17" spans="1:11" ht="15.75" customHeight="1">
      <c r="A17" s="269">
        <v>14</v>
      </c>
      <c r="B17" s="253" t="s">
        <v>345</v>
      </c>
      <c r="C17" s="59">
        <v>7</v>
      </c>
      <c r="D17" s="251" t="s">
        <v>346</v>
      </c>
      <c r="E17" s="400"/>
      <c r="F17" s="401"/>
      <c r="G17" s="402">
        <v>29000</v>
      </c>
      <c r="H17" s="222">
        <v>29000</v>
      </c>
      <c r="I17" s="395"/>
      <c r="J17" s="260" t="s">
        <v>347</v>
      </c>
      <c r="K17" s="303"/>
    </row>
    <row r="18" spans="1:11" ht="12.75">
      <c r="A18" s="114"/>
      <c r="B18" s="236" t="s">
        <v>177</v>
      </c>
      <c r="C18" s="144"/>
      <c r="D18" s="109"/>
      <c r="E18" s="110"/>
      <c r="F18" s="237"/>
      <c r="G18" s="237">
        <f t="shared" ref="G18:I18" si="1">SUM(G4:G17)</f>
        <v>319850</v>
      </c>
      <c r="H18" s="237">
        <f t="shared" si="1"/>
        <v>319850</v>
      </c>
      <c r="I18" s="237">
        <f t="shared" si="1"/>
        <v>37000</v>
      </c>
      <c r="J18" s="238">
        <f>H18+I18</f>
        <v>356850</v>
      </c>
      <c r="K18" s="14"/>
    </row>
    <row r="19" spans="1:11" ht="12.75">
      <c r="A19" s="114"/>
      <c r="B19" s="29"/>
      <c r="C19" s="6"/>
      <c r="D19" s="118"/>
      <c r="E19" s="120"/>
      <c r="F19" s="239"/>
      <c r="G19" s="239"/>
      <c r="H19" s="114"/>
      <c r="I19" s="114"/>
      <c r="J19" s="100"/>
      <c r="K19" s="14"/>
    </row>
    <row r="20" spans="1:11" ht="12.75">
      <c r="A20" s="316">
        <v>1</v>
      </c>
      <c r="B20" s="234" t="s">
        <v>348</v>
      </c>
      <c r="C20" s="153"/>
      <c r="D20" s="234" t="s">
        <v>349</v>
      </c>
      <c r="E20" s="235"/>
      <c r="F20" s="235"/>
      <c r="G20" s="300">
        <v>5250</v>
      </c>
      <c r="H20" s="300">
        <v>5250</v>
      </c>
      <c r="I20" s="227"/>
      <c r="J20" s="403" t="s">
        <v>350</v>
      </c>
      <c r="K20" s="33"/>
    </row>
    <row r="21" spans="1:11" ht="12.75">
      <c r="A21" s="317"/>
      <c r="B21" s="253" t="s">
        <v>351</v>
      </c>
      <c r="C21" s="153"/>
      <c r="D21" s="404">
        <v>45543</v>
      </c>
      <c r="E21" s="47"/>
      <c r="F21" s="300"/>
      <c r="G21" s="300">
        <v>20000</v>
      </c>
      <c r="H21" s="300">
        <v>20000</v>
      </c>
      <c r="I21" s="300"/>
      <c r="J21" s="144"/>
      <c r="K21" s="33"/>
    </row>
    <row r="22" spans="1:11" ht="25.5">
      <c r="A22" s="317"/>
      <c r="B22" s="405" t="s">
        <v>352</v>
      </c>
      <c r="C22" s="406">
        <v>7</v>
      </c>
      <c r="D22" s="407" t="s">
        <v>353</v>
      </c>
      <c r="E22" s="408"/>
      <c r="F22" s="398"/>
      <c r="G22" s="398"/>
      <c r="H22" s="409"/>
      <c r="I22" s="410"/>
      <c r="J22" s="380" t="s">
        <v>118</v>
      </c>
      <c r="K22" s="33"/>
    </row>
    <row r="23" spans="1:11" ht="12.75">
      <c r="A23" s="317"/>
      <c r="B23" s="305"/>
      <c r="C23" s="98"/>
      <c r="D23" s="105"/>
      <c r="E23" s="200"/>
      <c r="F23" s="281"/>
      <c r="G23" s="281"/>
      <c r="H23" s="306"/>
      <c r="I23" s="306"/>
      <c r="J23" s="307"/>
      <c r="K23" s="33"/>
    </row>
    <row r="24" spans="1:11" ht="12.75">
      <c r="A24" s="317"/>
      <c r="B24" s="231"/>
      <c r="C24" s="98"/>
      <c r="D24" s="105"/>
      <c r="E24" s="47"/>
      <c r="F24" s="225"/>
      <c r="G24" s="225"/>
      <c r="H24" s="221"/>
      <c r="I24" s="225"/>
      <c r="J24" s="192"/>
      <c r="K24" s="33"/>
    </row>
    <row r="26" spans="1:11" ht="12.75">
      <c r="A26" s="2"/>
      <c r="B26" s="4"/>
      <c r="C26" s="6"/>
      <c r="D26" s="8"/>
      <c r="E26" s="11"/>
      <c r="F26" s="220"/>
      <c r="G26" s="220"/>
      <c r="H26" s="6"/>
      <c r="I26" s="6"/>
      <c r="J26" s="100"/>
      <c r="K26" s="14"/>
    </row>
    <row r="27" spans="1:11" ht="63.75">
      <c r="A27" s="219" t="s">
        <v>5</v>
      </c>
      <c r="B27" s="125" t="s">
        <v>74</v>
      </c>
      <c r="C27" s="217" t="s">
        <v>159</v>
      </c>
      <c r="D27" s="129" t="s">
        <v>10</v>
      </c>
      <c r="E27" s="288" t="s">
        <v>243</v>
      </c>
      <c r="F27" s="289" t="s">
        <v>244</v>
      </c>
      <c r="G27" s="290" t="s">
        <v>245</v>
      </c>
      <c r="H27" s="291" t="s">
        <v>246</v>
      </c>
      <c r="I27" s="22" t="s">
        <v>13</v>
      </c>
      <c r="J27" s="240" t="s">
        <v>162</v>
      </c>
      <c r="K27" s="14"/>
    </row>
    <row r="28" spans="1:11" ht="12.75">
      <c r="A28" s="269">
        <v>1</v>
      </c>
      <c r="B28" s="411" t="s">
        <v>354</v>
      </c>
      <c r="C28" s="311">
        <v>7</v>
      </c>
      <c r="D28" s="312" t="s">
        <v>209</v>
      </c>
      <c r="E28" s="313"/>
      <c r="F28" s="314"/>
      <c r="G28" s="314"/>
      <c r="H28" s="412"/>
      <c r="I28" s="412"/>
      <c r="J28" s="413" t="s">
        <v>118</v>
      </c>
      <c r="K28" s="324"/>
    </row>
    <row r="29" spans="1:11" ht="12.75">
      <c r="A29" s="269">
        <v>2</v>
      </c>
      <c r="B29" s="328" t="s">
        <v>355</v>
      </c>
      <c r="C29" s="412"/>
      <c r="D29" s="312"/>
      <c r="E29" s="313"/>
      <c r="F29" s="314"/>
      <c r="G29" s="314"/>
      <c r="H29" s="315"/>
      <c r="I29" s="412"/>
      <c r="J29" s="413" t="s">
        <v>118</v>
      </c>
      <c r="K29" s="14"/>
    </row>
    <row r="30" spans="1:11" ht="12.75">
      <c r="A30" s="269">
        <v>3</v>
      </c>
      <c r="B30" s="29" t="s">
        <v>29</v>
      </c>
      <c r="C30" s="6">
        <v>10</v>
      </c>
      <c r="D30" s="45" t="s">
        <v>209</v>
      </c>
      <c r="E30" s="47">
        <v>31</v>
      </c>
      <c r="F30" s="223">
        <v>31</v>
      </c>
      <c r="G30" s="223">
        <v>32000</v>
      </c>
      <c r="H30" s="221">
        <f>G30/E30*F30</f>
        <v>32000</v>
      </c>
      <c r="I30" s="6"/>
      <c r="J30" s="144" t="s">
        <v>331</v>
      </c>
      <c r="K30" s="14"/>
    </row>
    <row r="31" spans="1:11" ht="16.5" customHeight="1">
      <c r="A31" s="269">
        <v>4</v>
      </c>
      <c r="B31" s="394" t="s">
        <v>356</v>
      </c>
      <c r="C31" s="394"/>
      <c r="D31" s="394" t="s">
        <v>357</v>
      </c>
      <c r="E31" s="395"/>
      <c r="F31" s="395"/>
      <c r="G31" s="300">
        <v>29750</v>
      </c>
      <c r="H31" s="300">
        <v>29750</v>
      </c>
      <c r="I31" s="301"/>
      <c r="J31" s="144" t="s">
        <v>331</v>
      </c>
      <c r="K31" s="14"/>
    </row>
    <row r="32" spans="1:11" ht="16.5" customHeight="1">
      <c r="A32" s="316">
        <v>5</v>
      </c>
      <c r="B32" s="414" t="s">
        <v>358</v>
      </c>
      <c r="C32" s="414"/>
      <c r="D32" s="414" t="s">
        <v>359</v>
      </c>
      <c r="E32" s="415"/>
      <c r="F32" s="415"/>
      <c r="G32" s="392">
        <v>55827.42</v>
      </c>
      <c r="H32" s="392">
        <v>55827.42</v>
      </c>
      <c r="I32" s="416"/>
      <c r="J32" s="417" t="s">
        <v>331</v>
      </c>
      <c r="K32" s="390"/>
    </row>
    <row r="33" spans="1:11" ht="16.5" customHeight="1">
      <c r="A33" s="269">
        <v>6</v>
      </c>
      <c r="B33" s="394" t="s">
        <v>328</v>
      </c>
      <c r="C33" s="394">
        <v>10</v>
      </c>
      <c r="D33" s="394" t="s">
        <v>329</v>
      </c>
      <c r="E33" s="394">
        <v>10</v>
      </c>
      <c r="F33" s="394"/>
      <c r="G33" s="394">
        <v>11700</v>
      </c>
      <c r="H33" s="394">
        <v>11700</v>
      </c>
      <c r="I33" s="394"/>
      <c r="J33" s="394" t="s">
        <v>330</v>
      </c>
      <c r="K33" s="14"/>
    </row>
    <row r="34" spans="1:11" ht="16.5" customHeight="1">
      <c r="A34" s="269">
        <v>7</v>
      </c>
      <c r="B34" s="29" t="s">
        <v>26</v>
      </c>
      <c r="C34" s="59">
        <v>7</v>
      </c>
      <c r="D34" s="45" t="s">
        <v>148</v>
      </c>
      <c r="E34" s="47">
        <v>31</v>
      </c>
      <c r="F34" s="223">
        <v>31</v>
      </c>
      <c r="G34" s="223">
        <v>14000</v>
      </c>
      <c r="H34" s="221">
        <f>G34/E34*F34</f>
        <v>14000</v>
      </c>
      <c r="I34" s="6"/>
      <c r="J34" s="228" t="s">
        <v>210</v>
      </c>
      <c r="K34" s="14"/>
    </row>
    <row r="35" spans="1:11" ht="12.75">
      <c r="A35" s="132">
        <v>9</v>
      </c>
      <c r="B35" s="418" t="s">
        <v>360</v>
      </c>
      <c r="C35" s="98"/>
      <c r="D35" s="154" t="s">
        <v>361</v>
      </c>
      <c r="E35" s="200"/>
      <c r="F35" s="225"/>
      <c r="G35" s="272">
        <v>20000</v>
      </c>
      <c r="H35" s="223">
        <v>20000</v>
      </c>
      <c r="I35" s="6"/>
      <c r="J35" s="144" t="s">
        <v>210</v>
      </c>
      <c r="K35" s="324"/>
    </row>
    <row r="36" spans="1:11" ht="12.75">
      <c r="A36" s="269">
        <v>10</v>
      </c>
      <c r="B36" s="253" t="s">
        <v>273</v>
      </c>
      <c r="C36" s="98"/>
      <c r="D36" s="59" t="s">
        <v>334</v>
      </c>
      <c r="E36" s="200"/>
      <c r="F36" s="225"/>
      <c r="G36" s="225"/>
      <c r="H36" s="221"/>
      <c r="I36" s="59">
        <v>35000</v>
      </c>
      <c r="J36" s="295"/>
      <c r="K36" s="324"/>
    </row>
    <row r="37" spans="1:11" ht="12.75">
      <c r="A37" s="269">
        <v>11</v>
      </c>
      <c r="B37" s="253" t="s">
        <v>332</v>
      </c>
      <c r="C37" s="98"/>
      <c r="D37" s="45" t="s">
        <v>333</v>
      </c>
      <c r="E37" s="200"/>
      <c r="F37" s="225"/>
      <c r="G37" s="272">
        <v>20000</v>
      </c>
      <c r="H37" s="222">
        <v>20000</v>
      </c>
      <c r="I37" s="6"/>
      <c r="J37" s="419" t="s">
        <v>362</v>
      </c>
      <c r="K37" s="324"/>
    </row>
    <row r="38" spans="1:11" ht="12.75">
      <c r="A38" s="316">
        <v>12</v>
      </c>
      <c r="B38" s="384" t="s">
        <v>363</v>
      </c>
      <c r="C38" s="420"/>
      <c r="D38" s="385" t="s">
        <v>336</v>
      </c>
      <c r="E38" s="421"/>
      <c r="F38" s="422"/>
      <c r="G38" s="392">
        <v>55827.42</v>
      </c>
      <c r="H38" s="392">
        <v>55827.42</v>
      </c>
      <c r="I38" s="423"/>
      <c r="J38" s="424" t="s">
        <v>331</v>
      </c>
      <c r="K38" s="425"/>
    </row>
    <row r="39" spans="1:11" ht="12.75">
      <c r="A39" s="316">
        <v>13</v>
      </c>
      <c r="B39" s="384" t="s">
        <v>364</v>
      </c>
      <c r="C39" s="426"/>
      <c r="D39" s="391" t="s">
        <v>365</v>
      </c>
      <c r="E39" s="427"/>
      <c r="F39" s="428"/>
      <c r="G39" s="428">
        <v>35000</v>
      </c>
      <c r="H39" s="392">
        <v>35000</v>
      </c>
      <c r="I39" s="429"/>
      <c r="J39" s="330" t="s">
        <v>331</v>
      </c>
      <c r="K39" s="430"/>
    </row>
    <row r="40" spans="1:11" ht="12.75">
      <c r="A40" s="316">
        <v>14</v>
      </c>
      <c r="B40" s="431" t="s">
        <v>366</v>
      </c>
      <c r="C40" s="385">
        <v>7</v>
      </c>
      <c r="D40" s="432" t="s">
        <v>367</v>
      </c>
      <c r="E40" s="386"/>
      <c r="F40" s="387"/>
      <c r="G40" s="387">
        <v>17500</v>
      </c>
      <c r="H40" s="387">
        <v>17500</v>
      </c>
      <c r="I40" s="423"/>
      <c r="J40" s="330" t="s">
        <v>331</v>
      </c>
      <c r="K40" s="425"/>
    </row>
    <row r="41" spans="1:11" ht="12.75">
      <c r="A41" s="269"/>
      <c r="B41" s="328" t="s">
        <v>342</v>
      </c>
      <c r="C41" s="406">
        <v>14</v>
      </c>
      <c r="D41" s="312" t="s">
        <v>368</v>
      </c>
      <c r="E41" s="313"/>
      <c r="F41" s="314"/>
      <c r="G41" s="314">
        <v>70000</v>
      </c>
      <c r="H41" s="314">
        <v>70000</v>
      </c>
      <c r="I41" s="315"/>
      <c r="J41" s="277" t="s">
        <v>344</v>
      </c>
      <c r="K41" s="324"/>
    </row>
    <row r="42" spans="1:11" ht="12.75">
      <c r="A42" s="269">
        <v>15</v>
      </c>
      <c r="B42" s="283" t="s">
        <v>290</v>
      </c>
      <c r="C42" s="340">
        <v>7</v>
      </c>
      <c r="D42" s="51" t="s">
        <v>369</v>
      </c>
      <c r="E42" s="52"/>
      <c r="F42" s="222"/>
      <c r="G42" s="222">
        <v>30000</v>
      </c>
      <c r="H42" s="222">
        <v>30000</v>
      </c>
      <c r="I42" s="221"/>
      <c r="J42" s="144" t="s">
        <v>331</v>
      </c>
      <c r="K42" s="324" t="s">
        <v>199</v>
      </c>
    </row>
    <row r="43" spans="1:11" ht="12.75">
      <c r="A43" s="2"/>
      <c r="B43" s="236" t="s">
        <v>177</v>
      </c>
      <c r="C43" s="6">
        <f>SUM(C28:C42)</f>
        <v>62</v>
      </c>
      <c r="D43" s="8"/>
      <c r="E43" s="11">
        <f>SUM(E28:E42)</f>
        <v>72</v>
      </c>
      <c r="F43" s="220"/>
      <c r="G43" s="220">
        <f t="shared" ref="G43:I43" si="2">SUM(G28:G42)</f>
        <v>391604.83999999997</v>
      </c>
      <c r="H43" s="220">
        <f t="shared" si="2"/>
        <v>391604.83999999997</v>
      </c>
      <c r="I43" s="220">
        <f t="shared" si="2"/>
        <v>35000</v>
      </c>
      <c r="J43" s="238">
        <f>H43+I43</f>
        <v>426604.83999999997</v>
      </c>
      <c r="K43" s="14"/>
    </row>
    <row r="44" spans="1:11" ht="12.75">
      <c r="A44" s="116"/>
      <c r="B44" s="29"/>
      <c r="C44" s="6"/>
      <c r="D44" s="118"/>
      <c r="E44" s="120"/>
      <c r="F44" s="255"/>
      <c r="G44" s="255"/>
      <c r="H44" s="116"/>
      <c r="I44" s="116"/>
      <c r="J44" s="100"/>
      <c r="K44" s="14"/>
    </row>
    <row r="45" spans="1:11" ht="12.75">
      <c r="A45" s="433">
        <v>1</v>
      </c>
      <c r="B45" s="234" t="s">
        <v>348</v>
      </c>
      <c r="C45" s="234"/>
      <c r="D45" s="234" t="s">
        <v>349</v>
      </c>
      <c r="E45" s="235"/>
      <c r="F45" s="235"/>
      <c r="G45" s="300">
        <v>5250</v>
      </c>
      <c r="H45" s="300">
        <v>5250</v>
      </c>
      <c r="I45" s="301"/>
      <c r="J45" s="403" t="s">
        <v>350</v>
      </c>
      <c r="K45" s="14"/>
    </row>
    <row r="46" spans="1:11" ht="12.75">
      <c r="A46" s="433">
        <v>2</v>
      </c>
      <c r="B46" s="4" t="s">
        <v>370</v>
      </c>
      <c r="C46" s="59"/>
      <c r="D46" s="45" t="s">
        <v>371</v>
      </c>
      <c r="E46" s="47"/>
      <c r="F46" s="223"/>
      <c r="G46" s="223">
        <v>20000</v>
      </c>
      <c r="H46" s="222">
        <v>20000</v>
      </c>
      <c r="I46" s="6"/>
      <c r="J46" s="228"/>
      <c r="K46" s="14"/>
    </row>
    <row r="47" spans="1:11" ht="12.75">
      <c r="A47" s="433">
        <v>3</v>
      </c>
      <c r="B47" s="4" t="s">
        <v>293</v>
      </c>
      <c r="C47" s="192">
        <v>7</v>
      </c>
      <c r="D47" s="45" t="s">
        <v>294</v>
      </c>
      <c r="E47" s="326">
        <v>31</v>
      </c>
      <c r="F47" s="220"/>
      <c r="G47" s="223">
        <v>36484</v>
      </c>
      <c r="H47" s="223">
        <v>36484</v>
      </c>
      <c r="I47" s="220"/>
      <c r="J47" s="338"/>
      <c r="K47" s="14"/>
    </row>
    <row r="48" spans="1:11" ht="12.75">
      <c r="A48" s="433">
        <v>4</v>
      </c>
      <c r="B48" s="310" t="s">
        <v>297</v>
      </c>
      <c r="C48" s="311">
        <v>7</v>
      </c>
      <c r="D48" s="312" t="s">
        <v>294</v>
      </c>
      <c r="E48" s="412"/>
      <c r="F48" s="315"/>
      <c r="G48" s="412"/>
      <c r="H48" s="315"/>
      <c r="I48" s="315"/>
      <c r="J48" s="329" t="s">
        <v>118</v>
      </c>
      <c r="K48" s="14"/>
    </row>
    <row r="49" spans="1:11" ht="12.75">
      <c r="A49" s="433"/>
      <c r="B49" s="434" t="s">
        <v>372</v>
      </c>
      <c r="C49" s="435"/>
      <c r="D49" s="436"/>
      <c r="E49" s="437"/>
      <c r="F49" s="438"/>
      <c r="G49" s="438"/>
      <c r="H49" s="438"/>
      <c r="I49" s="438"/>
      <c r="J49" s="439" t="s">
        <v>118</v>
      </c>
      <c r="K49" s="14"/>
    </row>
    <row r="50" spans="1:11" ht="12.75">
      <c r="A50" s="433">
        <v>5</v>
      </c>
      <c r="B50" s="236" t="s">
        <v>285</v>
      </c>
      <c r="C50" s="59">
        <v>7</v>
      </c>
      <c r="D50" s="45" t="s">
        <v>295</v>
      </c>
      <c r="E50" s="6"/>
      <c r="F50" s="220"/>
      <c r="G50" s="223">
        <v>20000</v>
      </c>
      <c r="H50" s="223">
        <v>20000</v>
      </c>
      <c r="I50" s="220"/>
      <c r="J50" s="440" t="s">
        <v>373</v>
      </c>
      <c r="K50" s="14"/>
    </row>
    <row r="51" spans="1:11" ht="12.75">
      <c r="A51" s="433"/>
      <c r="B51" s="328" t="s">
        <v>374</v>
      </c>
      <c r="C51" s="311"/>
      <c r="D51" s="312"/>
      <c r="E51" s="313"/>
      <c r="F51" s="314"/>
      <c r="G51" s="314"/>
      <c r="H51" s="315"/>
      <c r="I51" s="412"/>
      <c r="J51" s="413" t="s">
        <v>118</v>
      </c>
      <c r="K51" s="14"/>
    </row>
    <row r="52" spans="1:11" ht="12.75">
      <c r="A52" s="2"/>
      <c r="B52" s="29"/>
      <c r="C52" s="6"/>
      <c r="D52" s="8"/>
      <c r="E52" s="11"/>
      <c r="F52" s="220"/>
      <c r="G52" s="220"/>
      <c r="H52" s="6"/>
      <c r="I52" s="6"/>
      <c r="J52" s="100"/>
      <c r="K52" s="14"/>
    </row>
    <row r="53" spans="1:11" ht="63.75">
      <c r="A53" s="219" t="s">
        <v>5</v>
      </c>
      <c r="B53" s="335" t="s">
        <v>375</v>
      </c>
      <c r="C53" s="217"/>
      <c r="D53" s="129" t="s">
        <v>10</v>
      </c>
      <c r="E53" s="288" t="s">
        <v>243</v>
      </c>
      <c r="F53" s="289" t="s">
        <v>244</v>
      </c>
      <c r="G53" s="290" t="s">
        <v>245</v>
      </c>
      <c r="H53" s="291" t="s">
        <v>246</v>
      </c>
      <c r="I53" s="22" t="s">
        <v>13</v>
      </c>
      <c r="J53" s="240" t="s">
        <v>162</v>
      </c>
      <c r="K53" s="14"/>
    </row>
    <row r="54" spans="1:11" ht="12.75">
      <c r="A54" s="2">
        <v>1</v>
      </c>
      <c r="B54" s="4" t="s">
        <v>101</v>
      </c>
      <c r="C54" s="59"/>
      <c r="D54" s="8"/>
      <c r="E54" s="47">
        <v>31</v>
      </c>
      <c r="F54" s="223">
        <v>31</v>
      </c>
      <c r="G54" s="223">
        <v>27000</v>
      </c>
      <c r="H54" s="223">
        <v>27000</v>
      </c>
      <c r="I54" s="6"/>
      <c r="J54" s="144" t="s">
        <v>331</v>
      </c>
      <c r="K54" s="340"/>
    </row>
    <row r="55" spans="1:11" ht="12.75">
      <c r="A55" s="116"/>
      <c r="B55" s="172"/>
      <c r="C55" s="116"/>
      <c r="D55" s="118"/>
      <c r="E55" s="120"/>
      <c r="F55" s="255"/>
      <c r="G55" s="236" t="s">
        <v>177</v>
      </c>
      <c r="H55" s="336">
        <f>SUM(H54:I54)</f>
        <v>27000</v>
      </c>
      <c r="I55" s="116"/>
      <c r="J55" s="100"/>
      <c r="K55" s="14"/>
    </row>
    <row r="56" spans="1:11" ht="63.75">
      <c r="A56" s="219" t="s">
        <v>5</v>
      </c>
      <c r="B56" s="177" t="s">
        <v>106</v>
      </c>
      <c r="C56" s="217"/>
      <c r="D56" s="129" t="s">
        <v>10</v>
      </c>
      <c r="E56" s="288" t="s">
        <v>243</v>
      </c>
      <c r="F56" s="289" t="s">
        <v>244</v>
      </c>
      <c r="G56" s="290" t="s">
        <v>245</v>
      </c>
      <c r="H56" s="291" t="s">
        <v>246</v>
      </c>
      <c r="I56" s="22" t="s">
        <v>13</v>
      </c>
      <c r="J56" s="240" t="s">
        <v>162</v>
      </c>
      <c r="K56" s="14"/>
    </row>
    <row r="57" spans="1:11" ht="12.75">
      <c r="A57" s="100">
        <v>1</v>
      </c>
      <c r="B57" s="181" t="s">
        <v>101</v>
      </c>
      <c r="C57" s="144"/>
      <c r="D57" s="109"/>
      <c r="E57" s="103">
        <v>31</v>
      </c>
      <c r="F57" s="258">
        <v>31</v>
      </c>
      <c r="G57" s="258">
        <v>25000</v>
      </c>
      <c r="H57" s="258">
        <v>25000</v>
      </c>
      <c r="I57" s="100"/>
      <c r="J57" s="144" t="s">
        <v>331</v>
      </c>
      <c r="K57" s="340"/>
    </row>
    <row r="58" spans="1:11" ht="12.75">
      <c r="A58" s="14"/>
      <c r="B58" s="183"/>
      <c r="C58" s="14"/>
      <c r="D58" s="185"/>
      <c r="E58" s="35"/>
      <c r="F58" s="209"/>
      <c r="G58" s="236" t="s">
        <v>177</v>
      </c>
      <c r="H58" s="336">
        <f>SUM(H57:I57)</f>
        <v>25000</v>
      </c>
      <c r="I58" s="14"/>
      <c r="J58" s="100"/>
      <c r="K58" s="14"/>
    </row>
    <row r="59" spans="1:11" ht="63.75">
      <c r="A59" s="219" t="s">
        <v>5</v>
      </c>
      <c r="B59" s="191" t="s">
        <v>122</v>
      </c>
      <c r="C59" s="189"/>
      <c r="D59" s="129" t="s">
        <v>10</v>
      </c>
      <c r="E59" s="288" t="s">
        <v>243</v>
      </c>
      <c r="F59" s="289" t="s">
        <v>244</v>
      </c>
      <c r="G59" s="290" t="s">
        <v>245</v>
      </c>
      <c r="H59" s="291" t="s">
        <v>246</v>
      </c>
      <c r="I59" s="22" t="s">
        <v>13</v>
      </c>
      <c r="J59" s="240" t="s">
        <v>162</v>
      </c>
      <c r="K59" s="14"/>
    </row>
    <row r="60" spans="1:11" ht="12.75">
      <c r="A60" s="2" t="s">
        <v>114</v>
      </c>
      <c r="B60" s="4" t="s">
        <v>128</v>
      </c>
      <c r="C60" s="59"/>
      <c r="D60" s="45" t="s">
        <v>148</v>
      </c>
      <c r="E60" s="47">
        <v>31</v>
      </c>
      <c r="F60" s="47">
        <v>31</v>
      </c>
      <c r="G60" s="223">
        <v>25000</v>
      </c>
      <c r="H60" s="221">
        <f t="shared" ref="H60:H64" si="3">G60/E60*F60</f>
        <v>25000</v>
      </c>
      <c r="I60" s="6"/>
      <c r="J60" s="144" t="s">
        <v>376</v>
      </c>
      <c r="K60" s="14"/>
    </row>
    <row r="61" spans="1:11" ht="12.75">
      <c r="A61" s="59" t="s">
        <v>151</v>
      </c>
      <c r="B61" s="4" t="s">
        <v>191</v>
      </c>
      <c r="C61" s="59"/>
      <c r="D61" s="45" t="s">
        <v>193</v>
      </c>
      <c r="E61" s="47">
        <v>31</v>
      </c>
      <c r="F61" s="47">
        <v>31</v>
      </c>
      <c r="G61" s="223">
        <v>21250</v>
      </c>
      <c r="H61" s="221">
        <f t="shared" si="3"/>
        <v>21250</v>
      </c>
      <c r="I61" s="6"/>
      <c r="J61" s="338" t="s">
        <v>377</v>
      </c>
      <c r="K61" s="14"/>
    </row>
    <row r="62" spans="1:11" ht="12.75">
      <c r="A62" s="59" t="s">
        <v>152</v>
      </c>
      <c r="B62" s="253" t="s">
        <v>332</v>
      </c>
      <c r="C62" s="59"/>
      <c r="D62" s="45" t="s">
        <v>378</v>
      </c>
      <c r="E62" s="47">
        <v>31</v>
      </c>
      <c r="F62" s="47">
        <v>31</v>
      </c>
      <c r="G62" s="223">
        <v>18000</v>
      </c>
      <c r="H62" s="221">
        <f t="shared" si="3"/>
        <v>18000</v>
      </c>
      <c r="I62" s="6"/>
      <c r="J62" s="260" t="s">
        <v>379</v>
      </c>
      <c r="K62" s="14"/>
    </row>
    <row r="63" spans="1:11" ht="12.75">
      <c r="A63" s="385" t="s">
        <v>153</v>
      </c>
      <c r="B63" s="441" t="s">
        <v>237</v>
      </c>
      <c r="C63" s="385"/>
      <c r="D63" s="432" t="s">
        <v>238</v>
      </c>
      <c r="E63" s="386">
        <v>31</v>
      </c>
      <c r="F63" s="386">
        <v>31</v>
      </c>
      <c r="G63" s="387">
        <v>21250</v>
      </c>
      <c r="H63" s="388">
        <f t="shared" si="3"/>
        <v>21250</v>
      </c>
      <c r="I63" s="423"/>
      <c r="J63" s="330" t="s">
        <v>331</v>
      </c>
      <c r="K63" s="442" t="s">
        <v>380</v>
      </c>
    </row>
    <row r="64" spans="1:11" ht="12.75">
      <c r="A64" s="385" t="s">
        <v>132</v>
      </c>
      <c r="B64" s="384" t="s">
        <v>197</v>
      </c>
      <c r="C64" s="385"/>
      <c r="D64" s="432" t="s">
        <v>381</v>
      </c>
      <c r="E64" s="386">
        <v>31</v>
      </c>
      <c r="F64" s="386">
        <v>31</v>
      </c>
      <c r="G64" s="387">
        <v>9500</v>
      </c>
      <c r="H64" s="388">
        <f t="shared" si="3"/>
        <v>9500</v>
      </c>
      <c r="I64" s="423"/>
      <c r="J64" s="330" t="s">
        <v>331</v>
      </c>
      <c r="K64" s="442"/>
    </row>
    <row r="65" spans="1:11" ht="12.75">
      <c r="A65" s="14"/>
      <c r="B65" s="183"/>
      <c r="C65" s="14"/>
      <c r="D65" s="185"/>
      <c r="E65" s="35"/>
      <c r="F65" s="209"/>
      <c r="G65" s="236" t="s">
        <v>177</v>
      </c>
      <c r="H65" s="264">
        <f>SUM(H60:I64)</f>
        <v>95000</v>
      </c>
      <c r="I65" s="14"/>
      <c r="J65" s="100"/>
      <c r="K65" s="14"/>
    </row>
    <row r="66" spans="1:11" ht="63.75">
      <c r="A66" s="219" t="s">
        <v>5</v>
      </c>
      <c r="B66" s="196" t="s">
        <v>111</v>
      </c>
      <c r="C66" s="189"/>
      <c r="D66" s="129" t="s">
        <v>10</v>
      </c>
      <c r="E66" s="288" t="s">
        <v>243</v>
      </c>
      <c r="F66" s="289" t="s">
        <v>244</v>
      </c>
      <c r="G66" s="290" t="s">
        <v>245</v>
      </c>
      <c r="H66" s="291" t="s">
        <v>246</v>
      </c>
      <c r="I66" s="22" t="s">
        <v>13</v>
      </c>
      <c r="J66" s="240" t="s">
        <v>162</v>
      </c>
      <c r="K66" s="14"/>
    </row>
    <row r="67" spans="1:11" ht="12.75">
      <c r="A67" s="2" t="s">
        <v>114</v>
      </c>
      <c r="B67" s="339" t="s">
        <v>382</v>
      </c>
      <c r="C67" s="59"/>
      <c r="D67" s="45" t="s">
        <v>148</v>
      </c>
      <c r="E67" s="47">
        <v>31</v>
      </c>
      <c r="F67" s="47">
        <v>31</v>
      </c>
      <c r="G67" s="223">
        <v>7447.74</v>
      </c>
      <c r="H67" s="223">
        <v>7447.74</v>
      </c>
      <c r="I67" s="6"/>
      <c r="J67" s="144" t="s">
        <v>331</v>
      </c>
      <c r="K67" s="14"/>
    </row>
    <row r="68" spans="1:11" ht="12.75">
      <c r="A68" s="6" t="s">
        <v>119</v>
      </c>
      <c r="B68" s="339" t="s">
        <v>382</v>
      </c>
      <c r="C68" s="59"/>
      <c r="D68" s="45" t="s">
        <v>148</v>
      </c>
      <c r="E68" s="47">
        <v>31</v>
      </c>
      <c r="F68" s="47">
        <v>31</v>
      </c>
      <c r="G68" s="223">
        <v>6406.4</v>
      </c>
      <c r="H68" s="223">
        <v>6406.4</v>
      </c>
      <c r="I68" s="6"/>
      <c r="J68" s="144" t="s">
        <v>331</v>
      </c>
      <c r="K68" s="14"/>
    </row>
    <row r="69" spans="1:11" ht="12.75">
      <c r="A69" s="116"/>
      <c r="B69" s="443"/>
      <c r="C69" s="116"/>
      <c r="D69" s="118"/>
      <c r="E69" s="120"/>
      <c r="F69" s="255"/>
      <c r="G69" s="236" t="s">
        <v>177</v>
      </c>
      <c r="H69" s="351">
        <v>13853.84</v>
      </c>
      <c r="I69" s="116"/>
      <c r="J69" s="150"/>
      <c r="K69" s="14"/>
    </row>
    <row r="70" spans="1:11" ht="63.75">
      <c r="A70" s="219" t="s">
        <v>5</v>
      </c>
      <c r="B70" s="186"/>
      <c r="C70" s="187"/>
      <c r="D70" s="129" t="s">
        <v>10</v>
      </c>
      <c r="E70" s="288" t="s">
        <v>243</v>
      </c>
      <c r="F70" s="289" t="s">
        <v>244</v>
      </c>
      <c r="G70" s="290" t="s">
        <v>245</v>
      </c>
      <c r="H70" s="291" t="s">
        <v>246</v>
      </c>
      <c r="I70" s="22" t="s">
        <v>13</v>
      </c>
      <c r="J70" s="240" t="s">
        <v>162</v>
      </c>
      <c r="K70" s="14"/>
    </row>
    <row r="71" spans="1:11" ht="12.75">
      <c r="A71" s="2" t="s">
        <v>114</v>
      </c>
      <c r="B71" s="29" t="s">
        <v>125</v>
      </c>
      <c r="C71" s="59"/>
      <c r="D71" s="51" t="s">
        <v>383</v>
      </c>
      <c r="E71" s="47">
        <v>31</v>
      </c>
      <c r="F71" s="47">
        <v>31</v>
      </c>
      <c r="G71" s="223">
        <v>10000</v>
      </c>
      <c r="H71" s="221">
        <f t="shared" ref="H71:H72" si="4">G71/E71*F71</f>
        <v>10000</v>
      </c>
      <c r="I71" s="6"/>
      <c r="J71" s="230"/>
      <c r="K71" s="1204" t="s">
        <v>314</v>
      </c>
    </row>
    <row r="72" spans="1:11" ht="12.75">
      <c r="A72" s="383" t="s">
        <v>119</v>
      </c>
      <c r="B72" s="441" t="s">
        <v>386</v>
      </c>
      <c r="C72" s="385"/>
      <c r="D72" s="385" t="s">
        <v>387</v>
      </c>
      <c r="E72" s="386">
        <v>31</v>
      </c>
      <c r="F72" s="386">
        <v>31</v>
      </c>
      <c r="G72" s="387">
        <v>15000</v>
      </c>
      <c r="H72" s="388">
        <f t="shared" si="4"/>
        <v>15000</v>
      </c>
      <c r="I72" s="423"/>
      <c r="J72" s="330" t="s">
        <v>331</v>
      </c>
      <c r="K72" s="1205"/>
    </row>
    <row r="73" spans="1:11" ht="12.75">
      <c r="A73" s="132"/>
      <c r="B73" s="29"/>
      <c r="C73" s="6"/>
      <c r="D73" s="8"/>
      <c r="E73" s="52"/>
      <c r="F73" s="221"/>
      <c r="G73" s="236" t="s">
        <v>177</v>
      </c>
      <c r="H73" s="264">
        <f>SUM(H71:I72)</f>
        <v>25000</v>
      </c>
      <c r="I73" s="59"/>
      <c r="J73" s="260"/>
      <c r="K73" s="341"/>
    </row>
    <row r="74" spans="1:11" ht="12.75">
      <c r="A74" s="14"/>
      <c r="F74" s="286"/>
      <c r="G74" s="286"/>
    </row>
    <row r="75" spans="1:11" ht="63.75">
      <c r="A75" s="219" t="s">
        <v>5</v>
      </c>
      <c r="B75" s="342" t="s">
        <v>315</v>
      </c>
      <c r="C75" s="217" t="s">
        <v>159</v>
      </c>
      <c r="D75" s="129" t="s">
        <v>10</v>
      </c>
      <c r="E75" s="288" t="s">
        <v>243</v>
      </c>
      <c r="F75" s="289" t="s">
        <v>244</v>
      </c>
      <c r="G75" s="290" t="s">
        <v>245</v>
      </c>
      <c r="H75" s="291" t="s">
        <v>246</v>
      </c>
      <c r="I75" s="22" t="s">
        <v>13</v>
      </c>
      <c r="J75" s="240" t="s">
        <v>162</v>
      </c>
      <c r="K75" s="14"/>
    </row>
    <row r="76" spans="1:11" ht="12.75">
      <c r="A76" s="132">
        <v>1</v>
      </c>
      <c r="B76" s="4" t="s">
        <v>134</v>
      </c>
      <c r="C76" s="59"/>
      <c r="D76" s="51"/>
      <c r="E76" s="47"/>
      <c r="F76" s="47"/>
      <c r="G76" s="223"/>
      <c r="H76" s="221"/>
      <c r="I76" s="6"/>
      <c r="J76" s="100"/>
      <c r="K76" s="14"/>
    </row>
    <row r="77" spans="1:11" ht="12.75">
      <c r="A77" s="132">
        <v>2</v>
      </c>
      <c r="B77" s="4"/>
      <c r="C77" s="59"/>
      <c r="D77" s="59"/>
      <c r="E77" s="47"/>
      <c r="F77" s="47"/>
      <c r="G77" s="223"/>
      <c r="H77" s="221"/>
      <c r="I77" s="6"/>
      <c r="J77" s="144"/>
      <c r="K77" s="14"/>
    </row>
    <row r="78" spans="1:11" ht="12.75">
      <c r="A78" s="132">
        <v>3</v>
      </c>
      <c r="B78" s="4"/>
      <c r="C78" s="59"/>
      <c r="D78" s="59"/>
      <c r="E78" s="47"/>
      <c r="F78" s="47"/>
      <c r="G78" s="223"/>
      <c r="H78" s="221"/>
      <c r="I78" s="6"/>
      <c r="J78" s="144"/>
      <c r="K78" s="14"/>
    </row>
    <row r="79" spans="1:11" ht="12.75">
      <c r="A79" s="132">
        <v>4</v>
      </c>
      <c r="B79" s="4"/>
      <c r="C79" s="59"/>
      <c r="D79" s="59"/>
      <c r="E79" s="47"/>
      <c r="F79" s="47"/>
      <c r="G79" s="223"/>
      <c r="H79" s="221"/>
      <c r="I79" s="6"/>
      <c r="J79" s="144"/>
      <c r="K79" s="14"/>
    </row>
    <row r="80" spans="1:11" ht="12.75">
      <c r="A80" s="132">
        <v>5</v>
      </c>
      <c r="B80" s="4"/>
      <c r="C80" s="59"/>
      <c r="D80" s="59"/>
      <c r="E80" s="47"/>
      <c r="F80" s="47"/>
      <c r="G80" s="223"/>
      <c r="H80" s="221"/>
      <c r="I80" s="6"/>
      <c r="J80" s="144"/>
      <c r="K80" s="14"/>
    </row>
    <row r="81" spans="1:11" ht="12.75">
      <c r="A81" s="132">
        <v>6</v>
      </c>
      <c r="B81" s="4"/>
      <c r="C81" s="59"/>
      <c r="D81" s="59"/>
      <c r="E81" s="47"/>
      <c r="F81" s="47"/>
      <c r="G81" s="223"/>
      <c r="H81" s="221"/>
      <c r="I81" s="6"/>
      <c r="J81" s="144"/>
      <c r="K81" s="14"/>
    </row>
    <row r="82" spans="1:11" ht="12.75">
      <c r="A82" s="132">
        <v>7</v>
      </c>
      <c r="B82" s="29"/>
      <c r="C82" s="6"/>
      <c r="D82" s="8"/>
      <c r="E82" s="52"/>
      <c r="F82" s="221"/>
      <c r="G82" s="236" t="s">
        <v>177</v>
      </c>
      <c r="H82" s="264">
        <f>SUM(H76:I81)</f>
        <v>0</v>
      </c>
      <c r="I82" s="59"/>
      <c r="J82" s="260"/>
      <c r="K82" s="14"/>
    </row>
    <row r="83" spans="1:11" ht="12.75">
      <c r="A83" s="14"/>
      <c r="B83" s="183"/>
      <c r="C83" s="14"/>
      <c r="D83" s="185"/>
      <c r="E83" s="35"/>
      <c r="F83" s="209"/>
      <c r="G83" s="209"/>
      <c r="H83" s="14"/>
      <c r="I83" s="14"/>
      <c r="J83" s="14"/>
      <c r="K83" s="14"/>
    </row>
    <row r="84" spans="1:11" ht="12.75">
      <c r="K84" s="287"/>
    </row>
    <row r="85" spans="1:11" ht="63.75">
      <c r="A85" s="219" t="s">
        <v>5</v>
      </c>
      <c r="B85" s="342" t="s">
        <v>316</v>
      </c>
      <c r="C85" s="217"/>
      <c r="D85" s="129" t="s">
        <v>10</v>
      </c>
      <c r="E85" s="288" t="s">
        <v>243</v>
      </c>
      <c r="F85" s="289" t="s">
        <v>244</v>
      </c>
      <c r="G85" s="290" t="s">
        <v>245</v>
      </c>
      <c r="H85" s="291" t="s">
        <v>246</v>
      </c>
      <c r="I85" s="22" t="s">
        <v>13</v>
      </c>
      <c r="J85" s="240" t="s">
        <v>162</v>
      </c>
      <c r="K85" s="287"/>
    </row>
    <row r="86" spans="1:11" ht="12.75">
      <c r="A86" s="132" t="s">
        <v>204</v>
      </c>
      <c r="B86" s="4" t="s">
        <v>317</v>
      </c>
      <c r="C86" s="59"/>
      <c r="D86" s="51"/>
      <c r="E86" s="47"/>
      <c r="F86" s="47"/>
      <c r="G86" s="353">
        <v>28000</v>
      </c>
      <c r="H86" s="353">
        <v>28000</v>
      </c>
      <c r="I86" s="6"/>
      <c r="J86" s="144" t="s">
        <v>210</v>
      </c>
      <c r="K86" s="287"/>
    </row>
    <row r="87" spans="1:11" ht="12.75">
      <c r="A87" s="132" t="s">
        <v>204</v>
      </c>
      <c r="B87" s="4" t="s">
        <v>392</v>
      </c>
      <c r="C87" s="6"/>
      <c r="D87" s="8"/>
      <c r="E87" s="52"/>
      <c r="F87" s="221"/>
      <c r="G87" s="449">
        <v>21250</v>
      </c>
      <c r="H87" s="449">
        <v>21250</v>
      </c>
      <c r="I87" s="59"/>
      <c r="J87" s="260" t="s">
        <v>331</v>
      </c>
      <c r="K87" s="325" t="s">
        <v>393</v>
      </c>
    </row>
    <row r="88" spans="1:11" ht="12.75">
      <c r="A88" s="132" t="s">
        <v>204</v>
      </c>
      <c r="B88" s="4" t="s">
        <v>394</v>
      </c>
      <c r="C88" s="6"/>
      <c r="D88" s="8"/>
      <c r="E88" s="52"/>
      <c r="F88" s="221"/>
      <c r="G88" s="355"/>
      <c r="H88" s="356"/>
      <c r="I88" s="59"/>
      <c r="J88" s="260"/>
      <c r="K88" s="287"/>
    </row>
    <row r="89" spans="1:11" ht="12.75">
      <c r="A89" s="132"/>
      <c r="B89" s="29"/>
      <c r="C89" s="6"/>
      <c r="D89" s="8"/>
      <c r="E89" s="52"/>
      <c r="F89" s="221"/>
      <c r="G89" s="236" t="s">
        <v>177</v>
      </c>
      <c r="H89" s="264">
        <f>SUM(H86:I86)</f>
        <v>28000</v>
      </c>
      <c r="I89" s="59"/>
      <c r="J89" s="260"/>
      <c r="K89" s="287"/>
    </row>
    <row r="90" spans="1:11" ht="12.75">
      <c r="K90" s="287"/>
    </row>
    <row r="91" spans="1:11" ht="12.75">
      <c r="K91" s="287"/>
    </row>
    <row r="92" spans="1:11" ht="63.75">
      <c r="A92" s="357" t="s">
        <v>5</v>
      </c>
      <c r="B92" s="358" t="s">
        <v>319</v>
      </c>
      <c r="C92" s="359"/>
      <c r="D92" s="360" t="s">
        <v>10</v>
      </c>
      <c r="E92" s="361" t="s">
        <v>243</v>
      </c>
      <c r="F92" s="362" t="s">
        <v>244</v>
      </c>
      <c r="G92" s="362" t="s">
        <v>245</v>
      </c>
      <c r="H92" s="363" t="s">
        <v>246</v>
      </c>
      <c r="I92" s="363" t="s">
        <v>13</v>
      </c>
      <c r="J92" s="364" t="s">
        <v>162</v>
      </c>
      <c r="K92" s="287"/>
    </row>
    <row r="93" spans="1:11" ht="12.75">
      <c r="A93" s="365">
        <v>14</v>
      </c>
      <c r="B93" s="371" t="s">
        <v>317</v>
      </c>
      <c r="C93" s="366"/>
      <c r="D93" s="457" t="s">
        <v>397</v>
      </c>
      <c r="E93" s="12"/>
      <c r="F93" s="12"/>
      <c r="G93" s="459">
        <v>25000</v>
      </c>
      <c r="H93" s="459">
        <v>25000</v>
      </c>
      <c r="I93" s="7"/>
      <c r="J93" s="144" t="s">
        <v>210</v>
      </c>
      <c r="K93" s="287"/>
    </row>
    <row r="94" spans="1:11" ht="12.75">
      <c r="A94" s="370">
        <v>38</v>
      </c>
      <c r="B94" s="371" t="s">
        <v>290</v>
      </c>
      <c r="C94" s="366"/>
      <c r="D94" s="371" t="s">
        <v>398</v>
      </c>
      <c r="E94" s="50"/>
      <c r="F94" s="368"/>
      <c r="G94" s="461">
        <v>22000</v>
      </c>
      <c r="H94" s="374">
        <v>22000</v>
      </c>
      <c r="I94" s="7"/>
      <c r="J94" s="375" t="s">
        <v>376</v>
      </c>
      <c r="K94" s="287"/>
    </row>
    <row r="95" spans="1:11" ht="12.75">
      <c r="A95" s="370"/>
      <c r="B95" s="371"/>
      <c r="C95" s="366"/>
      <c r="D95" s="372"/>
      <c r="E95" s="50"/>
      <c r="F95" s="368"/>
      <c r="G95" s="376" t="s">
        <v>177</v>
      </c>
      <c r="H95" s="377">
        <f>SUM(H94+H93)</f>
        <v>47000</v>
      </c>
      <c r="I95" s="7"/>
      <c r="J95" s="378"/>
      <c r="K95" s="287"/>
    </row>
    <row r="96" spans="1:11" ht="12.75">
      <c r="J96" s="287"/>
      <c r="K96" s="287"/>
    </row>
    <row r="98" spans="1:11" ht="63.75">
      <c r="A98" s="219" t="s">
        <v>5</v>
      </c>
      <c r="B98" s="342" t="s">
        <v>323</v>
      </c>
      <c r="C98" s="187"/>
      <c r="D98" s="129" t="s">
        <v>10</v>
      </c>
      <c r="E98" s="288" t="s">
        <v>243</v>
      </c>
      <c r="F98" s="289" t="s">
        <v>244</v>
      </c>
      <c r="G98" s="290" t="s">
        <v>245</v>
      </c>
      <c r="H98" s="291" t="s">
        <v>246</v>
      </c>
      <c r="I98" s="22" t="s">
        <v>13</v>
      </c>
      <c r="J98" s="240" t="s">
        <v>162</v>
      </c>
    </row>
    <row r="99" spans="1:11" ht="12.75">
      <c r="A99" s="2" t="s">
        <v>114</v>
      </c>
      <c r="B99" s="4"/>
      <c r="C99" s="59"/>
      <c r="D99" s="51"/>
      <c r="E99" s="47"/>
      <c r="F99" s="47"/>
      <c r="G99" s="223"/>
      <c r="H99" s="221"/>
      <c r="I99" s="6"/>
      <c r="J99" s="230"/>
    </row>
    <row r="100" spans="1:11" ht="12.75">
      <c r="A100" s="2" t="s">
        <v>119</v>
      </c>
      <c r="B100" s="4" t="s">
        <v>404</v>
      </c>
      <c r="C100" s="59"/>
      <c r="D100" s="59" t="s">
        <v>405</v>
      </c>
      <c r="E100" s="47"/>
      <c r="F100" s="47"/>
      <c r="G100" s="223">
        <v>23000</v>
      </c>
      <c r="H100" s="221"/>
      <c r="I100" s="6"/>
      <c r="J100" s="144" t="s">
        <v>210</v>
      </c>
    </row>
    <row r="101" spans="1:11" ht="12.75">
      <c r="A101" s="132"/>
      <c r="B101" s="29"/>
      <c r="C101" s="6"/>
      <c r="D101" s="8"/>
      <c r="E101" s="52"/>
      <c r="F101" s="221"/>
      <c r="G101" s="236" t="s">
        <v>177</v>
      </c>
      <c r="H101" s="264">
        <f>SUM(H99:I100)</f>
        <v>0</v>
      </c>
      <c r="I101" s="59"/>
      <c r="J101" s="260"/>
    </row>
    <row r="104" spans="1:11" ht="63.75">
      <c r="A104" s="219" t="s">
        <v>5</v>
      </c>
      <c r="B104" s="342" t="s">
        <v>325</v>
      </c>
      <c r="C104" s="187"/>
      <c r="D104" s="129" t="s">
        <v>10</v>
      </c>
      <c r="E104" s="288" t="s">
        <v>243</v>
      </c>
      <c r="F104" s="289" t="s">
        <v>244</v>
      </c>
      <c r="G104" s="290" t="s">
        <v>245</v>
      </c>
      <c r="H104" s="291" t="s">
        <v>246</v>
      </c>
      <c r="I104" s="22" t="s">
        <v>13</v>
      </c>
      <c r="J104" s="240" t="s">
        <v>162</v>
      </c>
    </row>
    <row r="105" spans="1:11" ht="12.75">
      <c r="A105" s="383" t="s">
        <v>114</v>
      </c>
      <c r="B105" s="441" t="s">
        <v>134</v>
      </c>
      <c r="C105" s="385"/>
      <c r="D105" s="432" t="s">
        <v>406</v>
      </c>
      <c r="E105" s="386"/>
      <c r="F105" s="386"/>
      <c r="G105" s="387">
        <v>17500</v>
      </c>
      <c r="H105" s="387">
        <v>17500</v>
      </c>
      <c r="I105" s="423"/>
      <c r="J105" s="464"/>
      <c r="K105" s="465"/>
    </row>
    <row r="106" spans="1:11" ht="12.75">
      <c r="A106" s="2" t="s">
        <v>119</v>
      </c>
      <c r="B106" s="4" t="s">
        <v>134</v>
      </c>
      <c r="C106" s="59"/>
      <c r="D106" s="59"/>
      <c r="E106" s="47"/>
      <c r="F106" s="47"/>
      <c r="G106" s="223">
        <v>17500</v>
      </c>
      <c r="H106" s="222">
        <v>17500</v>
      </c>
      <c r="I106" s="6"/>
      <c r="J106" s="144"/>
    </row>
    <row r="107" spans="1:11" ht="12.75">
      <c r="A107" s="132"/>
      <c r="B107" s="29"/>
      <c r="C107" s="6"/>
      <c r="D107" s="8"/>
      <c r="E107" s="52"/>
      <c r="F107" s="221"/>
      <c r="G107" s="236" t="s">
        <v>177</v>
      </c>
      <c r="H107" s="264">
        <f>SUM(H105:I106)</f>
        <v>35000</v>
      </c>
      <c r="I107" s="59"/>
      <c r="J107" s="260"/>
    </row>
    <row r="110" spans="1:11" ht="63.75">
      <c r="A110" s="219" t="s">
        <v>5</v>
      </c>
      <c r="B110" s="342" t="s">
        <v>326</v>
      </c>
      <c r="C110" s="187"/>
      <c r="D110" s="129" t="s">
        <v>10</v>
      </c>
      <c r="E110" s="288" t="s">
        <v>243</v>
      </c>
      <c r="F110" s="289" t="s">
        <v>244</v>
      </c>
      <c r="G110" s="290" t="s">
        <v>245</v>
      </c>
      <c r="H110" s="291" t="s">
        <v>246</v>
      </c>
      <c r="I110" s="22" t="s">
        <v>13</v>
      </c>
      <c r="J110" s="240" t="s">
        <v>162</v>
      </c>
    </row>
    <row r="111" spans="1:11" ht="12.75">
      <c r="A111" s="2" t="s">
        <v>114</v>
      </c>
      <c r="B111" s="4" t="s">
        <v>407</v>
      </c>
      <c r="C111" s="59"/>
      <c r="D111" s="51"/>
      <c r="E111" s="47"/>
      <c r="F111" s="47"/>
      <c r="G111" s="223">
        <v>21250</v>
      </c>
      <c r="H111" s="223">
        <v>21250</v>
      </c>
      <c r="I111" s="6"/>
      <c r="J111" s="230" t="s">
        <v>376</v>
      </c>
    </row>
    <row r="112" spans="1:11" ht="12.75">
      <c r="A112" s="2" t="s">
        <v>119</v>
      </c>
      <c r="B112" s="4" t="s">
        <v>134</v>
      </c>
      <c r="C112" s="59"/>
      <c r="D112" s="59"/>
      <c r="E112" s="47"/>
      <c r="F112" s="47"/>
      <c r="G112" s="223"/>
      <c r="H112" s="221"/>
      <c r="I112" s="6"/>
      <c r="J112" s="144"/>
    </row>
    <row r="113" spans="1:10" ht="12.75">
      <c r="A113" s="132"/>
      <c r="B113" s="29"/>
      <c r="C113" s="6"/>
      <c r="D113" s="8"/>
      <c r="E113" s="52"/>
      <c r="F113" s="221"/>
      <c r="G113" s="236" t="s">
        <v>177</v>
      </c>
      <c r="H113" s="264">
        <f>SUM(H111:I112)</f>
        <v>21250</v>
      </c>
      <c r="I113" s="59"/>
      <c r="J113" s="260"/>
    </row>
    <row r="116" spans="1:10" ht="16.5">
      <c r="H116" s="466" t="s">
        <v>408</v>
      </c>
      <c r="I116" s="470">
        <f>J18+J43+H55+H58+H65+H69+H73+H82+H89+H95+H101+H107+H113</f>
        <v>1100558.68</v>
      </c>
    </row>
  </sheetData>
  <mergeCells count="1">
    <mergeCell ref="K71:K72"/>
  </mergeCells>
  <printOptions horizontalCentered="1" gridLines="1"/>
  <pageMargins left="0.25" right="0.25" top="0.75" bottom="0.75" header="0" footer="0"/>
  <pageSetup paperSize="9" fitToHeight="0"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K126"/>
  <sheetViews>
    <sheetView workbookViewId="0"/>
  </sheetViews>
  <sheetFormatPr defaultColWidth="12.5703125" defaultRowHeight="15.75" customHeight="1"/>
  <cols>
    <col min="1" max="1" width="9.28515625" customWidth="1"/>
    <col min="2" max="2" width="28.42578125" customWidth="1"/>
    <col min="4" max="4" width="19.28515625" customWidth="1"/>
    <col min="9" max="9" width="18.5703125" customWidth="1"/>
    <col min="10" max="10" width="19.85546875" customWidth="1"/>
    <col min="11" max="11" width="19.5703125" customWidth="1"/>
  </cols>
  <sheetData>
    <row r="1" spans="1:11" ht="12.75">
      <c r="A1" s="1" t="s">
        <v>0</v>
      </c>
    </row>
    <row r="3" spans="1:11" ht="63.75">
      <c r="A3" s="18" t="s">
        <v>5</v>
      </c>
      <c r="B3" s="20" t="s">
        <v>7</v>
      </c>
      <c r="C3" s="217" t="s">
        <v>159</v>
      </c>
      <c r="D3" s="24" t="s">
        <v>10</v>
      </c>
      <c r="E3" s="288" t="s">
        <v>243</v>
      </c>
      <c r="F3" s="289" t="s">
        <v>244</v>
      </c>
      <c r="G3" s="290" t="s">
        <v>245</v>
      </c>
      <c r="H3" s="291" t="s">
        <v>246</v>
      </c>
      <c r="I3" s="22" t="s">
        <v>13</v>
      </c>
      <c r="J3" s="134" t="s">
        <v>162</v>
      </c>
      <c r="K3" s="14"/>
    </row>
    <row r="4" spans="1:11" ht="12.75">
      <c r="A4" s="219">
        <v>1</v>
      </c>
      <c r="B4" s="328" t="s">
        <v>248</v>
      </c>
      <c r="C4" s="311">
        <v>7</v>
      </c>
      <c r="D4" s="312" t="s">
        <v>209</v>
      </c>
      <c r="E4" s="379"/>
      <c r="F4" s="315"/>
      <c r="G4" s="315"/>
      <c r="H4" s="315"/>
      <c r="I4" s="314"/>
      <c r="J4" s="380" t="s">
        <v>118</v>
      </c>
      <c r="K4" s="33"/>
    </row>
    <row r="5" spans="1:11" ht="12.75">
      <c r="A5" s="269">
        <v>2</v>
      </c>
      <c r="B5" s="342" t="s">
        <v>384</v>
      </c>
      <c r="C5" s="444">
        <v>7</v>
      </c>
      <c r="D5" s="445" t="s">
        <v>385</v>
      </c>
      <c r="E5" s="446">
        <v>90</v>
      </c>
      <c r="F5" s="447">
        <v>30</v>
      </c>
      <c r="G5" s="447">
        <v>78750</v>
      </c>
      <c r="H5" s="447">
        <v>26250</v>
      </c>
      <c r="I5" s="261"/>
      <c r="J5" s="448" t="s">
        <v>388</v>
      </c>
      <c r="K5" s="14"/>
    </row>
    <row r="6" spans="1:11" ht="12.75">
      <c r="A6" s="269">
        <v>3</v>
      </c>
      <c r="B6" s="1" t="s">
        <v>328</v>
      </c>
      <c r="C6" s="1">
        <v>7</v>
      </c>
      <c r="D6" s="1" t="s">
        <v>329</v>
      </c>
      <c r="E6" s="1">
        <v>10</v>
      </c>
      <c r="F6" s="1">
        <v>5</v>
      </c>
      <c r="G6" s="1">
        <v>12350</v>
      </c>
      <c r="H6" s="1">
        <v>6175</v>
      </c>
      <c r="J6" s="1" t="s">
        <v>330</v>
      </c>
      <c r="K6" s="324"/>
    </row>
    <row r="7" spans="1:11" ht="12.75">
      <c r="A7" s="219">
        <v>4</v>
      </c>
      <c r="B7" s="29" t="s">
        <v>23</v>
      </c>
      <c r="C7" s="59">
        <v>10</v>
      </c>
      <c r="D7" s="45" t="s">
        <v>209</v>
      </c>
      <c r="E7" s="47">
        <v>31</v>
      </c>
      <c r="F7" s="222">
        <v>31</v>
      </c>
      <c r="G7" s="222">
        <v>30000</v>
      </c>
      <c r="H7" s="221">
        <f>G7/E7*F7</f>
        <v>30000</v>
      </c>
      <c r="I7" s="221"/>
      <c r="J7" s="228" t="s">
        <v>331</v>
      </c>
      <c r="K7" s="14"/>
    </row>
    <row r="8" spans="1:11" ht="12.75">
      <c r="A8" s="269">
        <v>5</v>
      </c>
      <c r="B8" s="253" t="s">
        <v>332</v>
      </c>
      <c r="C8" s="59">
        <v>7</v>
      </c>
      <c r="D8" s="45" t="s">
        <v>333</v>
      </c>
      <c r="E8" s="47">
        <v>31</v>
      </c>
      <c r="F8" s="223">
        <v>31</v>
      </c>
      <c r="G8" s="223">
        <v>20000</v>
      </c>
      <c r="H8" s="223">
        <v>20000</v>
      </c>
      <c r="I8" s="220"/>
      <c r="J8" s="228" t="s">
        <v>331</v>
      </c>
      <c r="K8" s="14"/>
    </row>
    <row r="9" spans="1:11" ht="12.75">
      <c r="A9" s="269">
        <v>6</v>
      </c>
      <c r="B9" s="4" t="s">
        <v>389</v>
      </c>
      <c r="C9" s="59">
        <v>14</v>
      </c>
      <c r="D9" s="59" t="s">
        <v>390</v>
      </c>
      <c r="E9" s="47">
        <v>31</v>
      </c>
      <c r="F9" s="223">
        <v>31</v>
      </c>
      <c r="G9" s="223">
        <v>70000</v>
      </c>
      <c r="H9" s="223">
        <v>70000</v>
      </c>
      <c r="I9" s="223"/>
      <c r="J9" s="228" t="s">
        <v>388</v>
      </c>
      <c r="K9" s="14"/>
    </row>
    <row r="10" spans="1:11" ht="12.75">
      <c r="A10" s="269">
        <v>7</v>
      </c>
      <c r="B10" s="4" t="s">
        <v>335</v>
      </c>
      <c r="C10" s="59">
        <v>7</v>
      </c>
      <c r="D10" s="59" t="s">
        <v>391</v>
      </c>
      <c r="E10" s="47">
        <v>31</v>
      </c>
      <c r="F10" s="223">
        <v>30</v>
      </c>
      <c r="G10" s="387">
        <v>46000</v>
      </c>
      <c r="H10" s="387">
        <v>46000</v>
      </c>
      <c r="I10" s="223"/>
      <c r="J10" s="450" t="s">
        <v>331</v>
      </c>
      <c r="K10" s="451"/>
    </row>
    <row r="11" spans="1:11" ht="12.75">
      <c r="A11" s="269">
        <v>8</v>
      </c>
      <c r="B11" s="4" t="s">
        <v>26</v>
      </c>
      <c r="C11" s="59">
        <v>7</v>
      </c>
      <c r="D11" s="45" t="s">
        <v>209</v>
      </c>
      <c r="E11" s="47">
        <v>31</v>
      </c>
      <c r="F11" s="223">
        <v>31</v>
      </c>
      <c r="G11" s="223">
        <v>14000</v>
      </c>
      <c r="H11" s="221">
        <f t="shared" ref="H11:H12" si="0">G11/E11*F11</f>
        <v>14000</v>
      </c>
      <c r="I11" s="220"/>
      <c r="J11" s="228" t="s">
        <v>337</v>
      </c>
      <c r="K11" s="14"/>
    </row>
    <row r="12" spans="1:11" ht="12.75">
      <c r="A12" s="269">
        <v>9</v>
      </c>
      <c r="B12" s="29" t="s">
        <v>29</v>
      </c>
      <c r="C12" s="59">
        <v>10</v>
      </c>
      <c r="D12" s="45" t="s">
        <v>209</v>
      </c>
      <c r="E12" s="47">
        <v>31</v>
      </c>
      <c r="F12" s="222">
        <v>31</v>
      </c>
      <c r="G12" s="222">
        <v>32000</v>
      </c>
      <c r="H12" s="221">
        <f t="shared" si="0"/>
        <v>32000</v>
      </c>
      <c r="I12" s="220"/>
      <c r="J12" s="228" t="s">
        <v>331</v>
      </c>
      <c r="K12" s="14"/>
    </row>
    <row r="13" spans="1:11" ht="12.75">
      <c r="A13" s="452">
        <v>10</v>
      </c>
      <c r="B13" s="453" t="s">
        <v>395</v>
      </c>
      <c r="C13" s="454">
        <v>10</v>
      </c>
      <c r="D13" s="455" t="s">
        <v>396</v>
      </c>
      <c r="E13" s="456">
        <v>21</v>
      </c>
      <c r="F13" s="458">
        <v>21</v>
      </c>
      <c r="G13" s="392">
        <v>55827.42</v>
      </c>
      <c r="H13" s="392"/>
      <c r="I13" s="460"/>
      <c r="J13" s="450" t="s">
        <v>331</v>
      </c>
      <c r="K13" s="451"/>
    </row>
    <row r="14" spans="1:11" ht="12.75">
      <c r="A14" s="269">
        <v>11</v>
      </c>
      <c r="B14" s="394" t="s">
        <v>338</v>
      </c>
      <c r="C14" s="59">
        <v>7</v>
      </c>
      <c r="D14" s="394" t="s">
        <v>399</v>
      </c>
      <c r="E14" s="395"/>
      <c r="F14" s="394">
        <v>18</v>
      </c>
      <c r="G14" s="300">
        <v>20000</v>
      </c>
      <c r="H14" s="300">
        <v>20000</v>
      </c>
      <c r="I14" s="395"/>
      <c r="J14" s="228" t="s">
        <v>210</v>
      </c>
      <c r="K14" s="303"/>
    </row>
    <row r="15" spans="1:11" ht="12.75">
      <c r="A15" s="269">
        <v>12</v>
      </c>
      <c r="B15" s="394" t="s">
        <v>340</v>
      </c>
      <c r="C15" s="59">
        <v>7</v>
      </c>
      <c r="D15" s="394" t="s">
        <v>400</v>
      </c>
      <c r="E15" s="395"/>
      <c r="F15" s="394">
        <v>19</v>
      </c>
      <c r="G15" s="300">
        <v>17500</v>
      </c>
      <c r="H15" s="300">
        <v>17500</v>
      </c>
      <c r="I15" s="395"/>
      <c r="J15" s="338" t="s">
        <v>331</v>
      </c>
      <c r="K15" s="303"/>
    </row>
    <row r="16" spans="1:11" ht="15.75" customHeight="1">
      <c r="A16" s="269"/>
      <c r="B16" s="453" t="s">
        <v>47</v>
      </c>
      <c r="C16" s="311"/>
      <c r="D16" s="454" t="s">
        <v>401</v>
      </c>
      <c r="E16" s="396">
        <v>30</v>
      </c>
      <c r="F16" s="397"/>
      <c r="G16" s="398" t="s">
        <v>402</v>
      </c>
      <c r="H16" s="314">
        <v>37000</v>
      </c>
      <c r="I16" s="462" t="s">
        <v>275</v>
      </c>
      <c r="J16" s="463" t="s">
        <v>403</v>
      </c>
      <c r="K16" s="303"/>
    </row>
    <row r="17" spans="1:11" ht="15.75" customHeight="1">
      <c r="A17" s="269">
        <v>14</v>
      </c>
      <c r="B17" s="253" t="s">
        <v>345</v>
      </c>
      <c r="C17" s="59">
        <v>7</v>
      </c>
      <c r="D17" s="251" t="s">
        <v>346</v>
      </c>
      <c r="E17" s="400"/>
      <c r="F17" s="401">
        <v>5</v>
      </c>
      <c r="G17" s="402">
        <v>29000</v>
      </c>
      <c r="H17" s="222"/>
      <c r="I17" s="395"/>
      <c r="J17" s="260" t="s">
        <v>347</v>
      </c>
      <c r="K17" s="303"/>
    </row>
    <row r="18" spans="1:11" ht="12.75">
      <c r="A18" s="114"/>
      <c r="B18" s="236" t="s">
        <v>177</v>
      </c>
      <c r="C18" s="144"/>
      <c r="D18" s="109"/>
      <c r="E18" s="110"/>
      <c r="F18" s="237"/>
      <c r="G18" s="237">
        <f t="shared" ref="G18:I18" si="1">SUM(G4:G17)</f>
        <v>425427.42</v>
      </c>
      <c r="H18" s="237">
        <f t="shared" si="1"/>
        <v>318925</v>
      </c>
      <c r="I18" s="237">
        <f t="shared" si="1"/>
        <v>0</v>
      </c>
      <c r="J18" s="238">
        <f>H18+I18</f>
        <v>318925</v>
      </c>
      <c r="K18" s="14"/>
    </row>
    <row r="19" spans="1:11" ht="12.75">
      <c r="A19" s="114"/>
      <c r="B19" s="29"/>
      <c r="C19" s="6"/>
      <c r="D19" s="118"/>
      <c r="E19" s="120"/>
      <c r="F19" s="239"/>
      <c r="G19" s="239"/>
      <c r="H19" s="114"/>
      <c r="I19" s="114"/>
      <c r="J19" s="100"/>
      <c r="K19" s="14"/>
    </row>
    <row r="20" spans="1:11" ht="12.75">
      <c r="A20" s="316">
        <v>1</v>
      </c>
      <c r="B20" s="234" t="s">
        <v>249</v>
      </c>
      <c r="C20" s="153">
        <v>5</v>
      </c>
      <c r="D20" s="234" t="s">
        <v>409</v>
      </c>
      <c r="E20" s="234">
        <v>14</v>
      </c>
      <c r="F20" s="234">
        <v>14</v>
      </c>
      <c r="G20" s="300">
        <v>12500</v>
      </c>
      <c r="H20" s="300">
        <v>12500</v>
      </c>
      <c r="I20" s="227"/>
      <c r="J20" s="403"/>
      <c r="K20" s="33"/>
    </row>
    <row r="21" spans="1:11" ht="12.75">
      <c r="A21" s="467"/>
      <c r="B21" s="468" t="s">
        <v>410</v>
      </c>
      <c r="C21" s="469"/>
      <c r="D21" s="469" t="s">
        <v>411</v>
      </c>
      <c r="E21" s="471"/>
      <c r="F21" s="472"/>
      <c r="G21" s="472">
        <v>26250</v>
      </c>
      <c r="H21" s="472"/>
      <c r="I21" s="472"/>
      <c r="J21" s="473"/>
      <c r="K21" s="474"/>
    </row>
    <row r="22" spans="1:11" ht="12.75">
      <c r="A22" s="317"/>
      <c r="B22" s="405" t="s">
        <v>412</v>
      </c>
      <c r="C22" s="406">
        <v>7</v>
      </c>
      <c r="D22" s="407" t="s">
        <v>413</v>
      </c>
      <c r="E22" s="408">
        <v>30</v>
      </c>
      <c r="F22" s="398">
        <v>9</v>
      </c>
      <c r="G22" s="398">
        <v>26250</v>
      </c>
      <c r="H22" s="475">
        <v>7875</v>
      </c>
      <c r="I22" s="410"/>
      <c r="J22" s="380" t="s">
        <v>414</v>
      </c>
      <c r="K22" s="33"/>
    </row>
    <row r="23" spans="1:11" ht="12.75">
      <c r="A23" s="317"/>
      <c r="B23" s="305"/>
      <c r="C23" s="98"/>
      <c r="D23" s="105"/>
      <c r="E23" s="200"/>
      <c r="F23" s="281"/>
      <c r="G23" s="281"/>
      <c r="H23" s="306"/>
      <c r="I23" s="306"/>
      <c r="J23" s="307"/>
      <c r="K23" s="33"/>
    </row>
    <row r="24" spans="1:11" ht="12.75">
      <c r="A24" s="317"/>
      <c r="B24" s="231"/>
      <c r="C24" s="98"/>
      <c r="D24" s="105"/>
      <c r="E24" s="47"/>
      <c r="F24" s="225"/>
      <c r="G24" s="225"/>
      <c r="H24" s="221"/>
      <c r="I24" s="225"/>
      <c r="J24" s="192"/>
      <c r="K24" s="33"/>
    </row>
    <row r="26" spans="1:11" ht="12.75">
      <c r="A26" s="2"/>
      <c r="B26" s="4"/>
      <c r="C26" s="6"/>
      <c r="D26" s="8"/>
      <c r="E26" s="11"/>
      <c r="F26" s="220"/>
      <c r="G26" s="220"/>
      <c r="H26" s="6"/>
      <c r="I26" s="6"/>
      <c r="J26" s="100"/>
      <c r="K26" s="14"/>
    </row>
    <row r="27" spans="1:11" ht="63.75">
      <c r="A27" s="219" t="s">
        <v>5</v>
      </c>
      <c r="B27" s="125" t="s">
        <v>74</v>
      </c>
      <c r="C27" s="217" t="s">
        <v>159</v>
      </c>
      <c r="D27" s="129" t="s">
        <v>10</v>
      </c>
      <c r="E27" s="288" t="s">
        <v>243</v>
      </c>
      <c r="F27" s="289" t="s">
        <v>244</v>
      </c>
      <c r="G27" s="290" t="s">
        <v>245</v>
      </c>
      <c r="H27" s="291" t="s">
        <v>246</v>
      </c>
      <c r="I27" s="22" t="s">
        <v>13</v>
      </c>
      <c r="J27" s="240" t="s">
        <v>162</v>
      </c>
      <c r="K27" s="14"/>
    </row>
    <row r="28" spans="1:11" ht="12.75">
      <c r="A28" s="269">
        <v>1</v>
      </c>
      <c r="B28" s="476" t="s">
        <v>415</v>
      </c>
      <c r="C28" s="454">
        <v>10</v>
      </c>
      <c r="D28" s="477" t="s">
        <v>396</v>
      </c>
      <c r="E28" s="456">
        <v>21</v>
      </c>
      <c r="F28" s="478">
        <v>21</v>
      </c>
      <c r="G28" s="387"/>
      <c r="H28" s="423"/>
      <c r="I28" s="479"/>
      <c r="J28" s="480"/>
      <c r="K28" s="324"/>
    </row>
    <row r="29" spans="1:11" ht="12.75">
      <c r="A29" s="269">
        <v>2</v>
      </c>
      <c r="B29" s="481" t="s">
        <v>416</v>
      </c>
      <c r="C29" s="454">
        <v>7</v>
      </c>
      <c r="D29" s="477" t="s">
        <v>385</v>
      </c>
      <c r="E29" s="456">
        <v>90</v>
      </c>
      <c r="F29" s="478">
        <v>30</v>
      </c>
      <c r="G29" s="478">
        <v>78750</v>
      </c>
      <c r="H29" s="478">
        <v>26250</v>
      </c>
      <c r="I29" s="479"/>
      <c r="J29" s="480" t="s">
        <v>331</v>
      </c>
      <c r="K29" s="14"/>
    </row>
    <row r="30" spans="1:11" ht="12.75">
      <c r="A30" s="269">
        <v>3</v>
      </c>
      <c r="B30" s="29" t="s">
        <v>29</v>
      </c>
      <c r="C30" s="6">
        <v>10</v>
      </c>
      <c r="D30" s="45" t="s">
        <v>209</v>
      </c>
      <c r="E30" s="47">
        <v>31</v>
      </c>
      <c r="F30" s="223">
        <v>31</v>
      </c>
      <c r="G30" s="223">
        <v>32000</v>
      </c>
      <c r="H30" s="221">
        <f>G30/E30*F30</f>
        <v>32000</v>
      </c>
      <c r="I30" s="6"/>
      <c r="J30" s="144" t="s">
        <v>331</v>
      </c>
      <c r="K30" s="14"/>
    </row>
    <row r="31" spans="1:11" ht="16.5" customHeight="1">
      <c r="A31" s="269">
        <v>4</v>
      </c>
      <c r="B31" s="394" t="s">
        <v>356</v>
      </c>
      <c r="C31" s="394">
        <v>7</v>
      </c>
      <c r="D31" s="394" t="s">
        <v>357</v>
      </c>
      <c r="E31" s="395"/>
      <c r="F31" s="394">
        <v>31</v>
      </c>
      <c r="G31" s="300">
        <v>29750</v>
      </c>
      <c r="H31" s="300">
        <v>29750</v>
      </c>
      <c r="I31" s="301"/>
      <c r="J31" s="144" t="s">
        <v>417</v>
      </c>
      <c r="K31" s="14"/>
    </row>
    <row r="32" spans="1:11" ht="16.5" customHeight="1">
      <c r="A32" s="482"/>
      <c r="B32" s="483" t="s">
        <v>418</v>
      </c>
      <c r="C32" s="483"/>
      <c r="D32" s="483" t="s">
        <v>419</v>
      </c>
      <c r="E32" s="483">
        <v>30</v>
      </c>
      <c r="F32" s="484"/>
      <c r="G32" s="458" t="s">
        <v>420</v>
      </c>
      <c r="H32" s="458">
        <v>35000</v>
      </c>
      <c r="I32" s="485" t="s">
        <v>275</v>
      </c>
      <c r="J32" s="486" t="s">
        <v>421</v>
      </c>
      <c r="K32" s="451"/>
    </row>
    <row r="33" spans="1:11" ht="16.5" customHeight="1">
      <c r="A33" s="269">
        <v>6</v>
      </c>
      <c r="B33" s="394" t="s">
        <v>328</v>
      </c>
      <c r="C33" s="394">
        <v>10</v>
      </c>
      <c r="D33" s="394" t="s">
        <v>329</v>
      </c>
      <c r="E33" s="394">
        <v>10</v>
      </c>
      <c r="F33" s="394">
        <v>5</v>
      </c>
      <c r="G33" s="394">
        <v>11700</v>
      </c>
      <c r="H33" s="394">
        <v>11700</v>
      </c>
      <c r="I33" s="394"/>
      <c r="J33" s="394" t="s">
        <v>331</v>
      </c>
      <c r="K33" s="14"/>
    </row>
    <row r="34" spans="1:11" ht="16.5" customHeight="1">
      <c r="A34" s="269">
        <v>7</v>
      </c>
      <c r="B34" s="29" t="s">
        <v>26</v>
      </c>
      <c r="C34" s="59">
        <v>7</v>
      </c>
      <c r="D34" s="45" t="s">
        <v>148</v>
      </c>
      <c r="E34" s="47">
        <v>31</v>
      </c>
      <c r="F34" s="223">
        <v>31</v>
      </c>
      <c r="G34" s="223">
        <v>14000</v>
      </c>
      <c r="H34" s="221">
        <f>G34/E34*F34</f>
        <v>14000</v>
      </c>
      <c r="I34" s="6"/>
      <c r="J34" s="228" t="s">
        <v>422</v>
      </c>
      <c r="K34" s="14"/>
    </row>
    <row r="35" spans="1:11" ht="12.75">
      <c r="A35" s="132">
        <v>9</v>
      </c>
      <c r="B35" s="418" t="s">
        <v>423</v>
      </c>
      <c r="C35" s="98">
        <v>7</v>
      </c>
      <c r="D35" s="154" t="s">
        <v>424</v>
      </c>
      <c r="E35" s="200"/>
      <c r="F35" s="225">
        <v>18</v>
      </c>
      <c r="G35" s="272">
        <v>20000</v>
      </c>
      <c r="H35" s="223">
        <v>20000</v>
      </c>
      <c r="I35" s="6"/>
      <c r="J35" s="144" t="s">
        <v>331</v>
      </c>
      <c r="K35" s="324"/>
    </row>
    <row r="36" spans="1:11" ht="12.75">
      <c r="A36" s="269"/>
      <c r="B36" s="253" t="s">
        <v>249</v>
      </c>
      <c r="C36" s="98">
        <v>5</v>
      </c>
      <c r="D36" s="59" t="s">
        <v>425</v>
      </c>
      <c r="E36" s="200">
        <v>14</v>
      </c>
      <c r="F36" s="225">
        <v>14</v>
      </c>
      <c r="G36" s="225">
        <v>12500</v>
      </c>
      <c r="H36" s="222">
        <v>12500</v>
      </c>
      <c r="I36" s="59"/>
      <c r="J36" s="295" t="s">
        <v>331</v>
      </c>
      <c r="K36" s="324"/>
    </row>
    <row r="37" spans="1:11" ht="12.75">
      <c r="A37" s="269">
        <v>11</v>
      </c>
      <c r="B37" s="253" t="s">
        <v>332</v>
      </c>
      <c r="C37" s="98">
        <v>7</v>
      </c>
      <c r="D37" s="45" t="s">
        <v>333</v>
      </c>
      <c r="E37" s="200"/>
      <c r="F37" s="225">
        <v>31</v>
      </c>
      <c r="G37" s="272">
        <v>20000</v>
      </c>
      <c r="H37" s="222">
        <v>20000</v>
      </c>
      <c r="I37" s="6"/>
      <c r="J37" s="487" t="s">
        <v>331</v>
      </c>
      <c r="K37" s="324"/>
    </row>
    <row r="38" spans="1:11" ht="12.75">
      <c r="A38" s="482">
        <v>12</v>
      </c>
      <c r="B38" s="453" t="s">
        <v>363</v>
      </c>
      <c r="C38" s="488"/>
      <c r="D38" s="454" t="s">
        <v>390</v>
      </c>
      <c r="E38" s="489"/>
      <c r="F38" s="490">
        <v>15</v>
      </c>
      <c r="G38" s="392"/>
      <c r="H38" s="392"/>
      <c r="I38" s="479"/>
      <c r="J38" s="487"/>
      <c r="K38" s="491"/>
    </row>
    <row r="39" spans="1:11" ht="12.75">
      <c r="A39" s="482"/>
      <c r="B39" s="453" t="s">
        <v>389</v>
      </c>
      <c r="C39" s="492">
        <v>14</v>
      </c>
      <c r="D39" s="455" t="s">
        <v>390</v>
      </c>
      <c r="E39" s="493">
        <v>31</v>
      </c>
      <c r="F39" s="494">
        <v>31</v>
      </c>
      <c r="G39" s="494">
        <v>70000</v>
      </c>
      <c r="H39" s="458">
        <v>70000</v>
      </c>
      <c r="I39" s="495"/>
      <c r="J39" s="463" t="s">
        <v>388</v>
      </c>
      <c r="K39" s="496"/>
    </row>
    <row r="40" spans="1:11" ht="12.75">
      <c r="A40" s="482">
        <v>14</v>
      </c>
      <c r="B40" s="497" t="s">
        <v>366</v>
      </c>
      <c r="C40" s="454">
        <v>7</v>
      </c>
      <c r="D40" s="477" t="s">
        <v>426</v>
      </c>
      <c r="E40" s="456"/>
      <c r="F40" s="478"/>
      <c r="G40" s="478">
        <v>17500</v>
      </c>
      <c r="H40" s="478">
        <v>17500</v>
      </c>
      <c r="I40" s="479"/>
      <c r="J40" s="463" t="s">
        <v>331</v>
      </c>
      <c r="K40" s="491"/>
    </row>
    <row r="41" spans="1:11" ht="12.75">
      <c r="A41" s="269"/>
      <c r="B41" s="481" t="s">
        <v>342</v>
      </c>
      <c r="C41" s="492">
        <v>14</v>
      </c>
      <c r="D41" s="477" t="s">
        <v>390</v>
      </c>
      <c r="E41" s="456"/>
      <c r="F41" s="478"/>
      <c r="G41" s="478">
        <v>70000</v>
      </c>
      <c r="H41" s="478">
        <v>70000</v>
      </c>
      <c r="I41" s="498"/>
      <c r="J41" s="463" t="s">
        <v>388</v>
      </c>
      <c r="K41" s="324"/>
    </row>
    <row r="42" spans="1:11" ht="12.75">
      <c r="A42" s="269">
        <v>15</v>
      </c>
      <c r="B42" s="283" t="s">
        <v>290</v>
      </c>
      <c r="C42" s="340">
        <v>7</v>
      </c>
      <c r="D42" s="51" t="s">
        <v>427</v>
      </c>
      <c r="E42" s="52"/>
      <c r="F42" s="222"/>
      <c r="G42" s="222">
        <v>30000</v>
      </c>
      <c r="H42" s="222">
        <v>30000</v>
      </c>
      <c r="I42" s="221"/>
      <c r="J42" s="463" t="s">
        <v>428</v>
      </c>
      <c r="K42" s="324" t="s">
        <v>199</v>
      </c>
    </row>
    <row r="43" spans="1:11" ht="12.75">
      <c r="A43" s="2"/>
      <c r="B43" s="236" t="s">
        <v>177</v>
      </c>
      <c r="C43" s="6">
        <f>SUM(C28:C42)</f>
        <v>112</v>
      </c>
      <c r="D43" s="8"/>
      <c r="E43" s="11">
        <f>SUM(E28:E42)</f>
        <v>258</v>
      </c>
      <c r="F43" s="220"/>
      <c r="G43" s="220">
        <f t="shared" ref="G43:I43" si="2">SUM(G28:G42)</f>
        <v>406200</v>
      </c>
      <c r="H43" s="220">
        <f t="shared" si="2"/>
        <v>388700</v>
      </c>
      <c r="I43" s="220">
        <f t="shared" si="2"/>
        <v>0</v>
      </c>
      <c r="J43" s="238">
        <f>H43+I43</f>
        <v>388700</v>
      </c>
      <c r="K43" s="14"/>
    </row>
    <row r="44" spans="1:11" ht="12.75">
      <c r="A44" s="116"/>
      <c r="B44" s="29"/>
      <c r="C44" s="6"/>
      <c r="D44" s="118"/>
      <c r="E44" s="120"/>
      <c r="F44" s="255"/>
      <c r="G44" s="255"/>
      <c r="H44" s="116"/>
      <c r="I44" s="116"/>
      <c r="J44" s="100"/>
      <c r="K44" s="14"/>
    </row>
    <row r="45" spans="1:11" ht="12.75">
      <c r="A45" s="433"/>
      <c r="B45" s="234" t="s">
        <v>429</v>
      </c>
      <c r="C45" s="234">
        <v>7</v>
      </c>
      <c r="D45" s="234" t="s">
        <v>413</v>
      </c>
      <c r="E45" s="234">
        <v>30</v>
      </c>
      <c r="F45" s="234">
        <v>9</v>
      </c>
      <c r="G45" s="300">
        <v>26250</v>
      </c>
      <c r="H45" s="300">
        <v>7875</v>
      </c>
      <c r="I45" s="301"/>
      <c r="J45" s="403" t="s">
        <v>414</v>
      </c>
      <c r="K45" s="14"/>
    </row>
    <row r="46" spans="1:11" ht="12.75">
      <c r="A46" s="433"/>
      <c r="B46" s="4"/>
      <c r="C46" s="59"/>
      <c r="D46" s="45"/>
      <c r="E46" s="47"/>
      <c r="F46" s="223"/>
      <c r="G46" s="223"/>
      <c r="H46" s="222"/>
      <c r="I46" s="6"/>
      <c r="J46" s="228"/>
      <c r="K46" s="14"/>
    </row>
    <row r="47" spans="1:11" ht="12.75">
      <c r="A47" s="433"/>
      <c r="B47" s="4"/>
      <c r="C47" s="192"/>
      <c r="D47" s="45"/>
      <c r="E47" s="326"/>
      <c r="F47" s="220"/>
      <c r="G47" s="223"/>
      <c r="H47" s="223"/>
      <c r="I47" s="220"/>
      <c r="J47" s="338"/>
      <c r="K47" s="14"/>
    </row>
    <row r="48" spans="1:11" ht="12.75">
      <c r="A48" s="433"/>
      <c r="B48" s="310"/>
      <c r="C48" s="311"/>
      <c r="D48" s="312"/>
      <c r="E48" s="412"/>
      <c r="F48" s="315"/>
      <c r="G48" s="412"/>
      <c r="H48" s="315"/>
      <c r="I48" s="315"/>
      <c r="J48" s="329"/>
      <c r="K48" s="14"/>
    </row>
    <row r="49" spans="1:11" ht="12.75">
      <c r="A49" s="433"/>
      <c r="B49" s="434"/>
      <c r="C49" s="435"/>
      <c r="D49" s="436"/>
      <c r="E49" s="437"/>
      <c r="F49" s="438"/>
      <c r="G49" s="438"/>
      <c r="H49" s="438"/>
      <c r="I49" s="438"/>
      <c r="J49" s="439"/>
      <c r="K49" s="14"/>
    </row>
    <row r="50" spans="1:11" ht="12.75">
      <c r="A50" s="433"/>
      <c r="B50" s="236"/>
      <c r="C50" s="59"/>
      <c r="D50" s="45"/>
      <c r="E50" s="6"/>
      <c r="F50" s="220"/>
      <c r="G50" s="223"/>
      <c r="H50" s="223"/>
      <c r="I50" s="220"/>
      <c r="J50" s="440"/>
      <c r="K50" s="14"/>
    </row>
    <row r="51" spans="1:11" ht="12.75">
      <c r="A51" s="433"/>
      <c r="B51" s="328"/>
      <c r="C51" s="311"/>
      <c r="D51" s="312"/>
      <c r="E51" s="313"/>
      <c r="F51" s="314"/>
      <c r="G51" s="314"/>
      <c r="H51" s="315"/>
      <c r="I51" s="412"/>
      <c r="J51" s="413"/>
      <c r="K51" s="14"/>
    </row>
    <row r="52" spans="1:11" ht="12.75">
      <c r="A52" s="2"/>
      <c r="B52" s="29"/>
      <c r="C52" s="6"/>
      <c r="D52" s="8"/>
      <c r="E52" s="11"/>
      <c r="F52" s="220"/>
      <c r="G52" s="220"/>
      <c r="H52" s="6"/>
      <c r="I52" s="6"/>
      <c r="J52" s="100"/>
      <c r="K52" s="14"/>
    </row>
    <row r="53" spans="1:11" ht="63.75">
      <c r="A53" s="219" t="s">
        <v>5</v>
      </c>
      <c r="B53" s="335" t="s">
        <v>375</v>
      </c>
      <c r="C53" s="217"/>
      <c r="D53" s="129" t="s">
        <v>10</v>
      </c>
      <c r="E53" s="288" t="s">
        <v>243</v>
      </c>
      <c r="F53" s="289" t="s">
        <v>244</v>
      </c>
      <c r="G53" s="290" t="s">
        <v>245</v>
      </c>
      <c r="H53" s="291" t="s">
        <v>246</v>
      </c>
      <c r="I53" s="22" t="s">
        <v>13</v>
      </c>
      <c r="J53" s="240" t="s">
        <v>162</v>
      </c>
      <c r="K53" s="14"/>
    </row>
    <row r="54" spans="1:11" ht="12.75">
      <c r="A54" s="2">
        <v>1</v>
      </c>
      <c r="B54" s="4" t="s">
        <v>101</v>
      </c>
      <c r="C54" s="59"/>
      <c r="D54" s="45" t="s">
        <v>148</v>
      </c>
      <c r="E54" s="47">
        <v>31</v>
      </c>
      <c r="F54" s="223">
        <v>31</v>
      </c>
      <c r="G54" s="223">
        <v>27000</v>
      </c>
      <c r="H54" s="223">
        <v>27000</v>
      </c>
      <c r="I54" s="6"/>
      <c r="J54" s="144" t="s">
        <v>331</v>
      </c>
      <c r="K54" s="340"/>
    </row>
    <row r="55" spans="1:11" ht="12.75">
      <c r="A55" s="116"/>
      <c r="B55" s="172"/>
      <c r="C55" s="116"/>
      <c r="D55" s="118"/>
      <c r="E55" s="120"/>
      <c r="F55" s="255"/>
      <c r="G55" s="236" t="s">
        <v>177</v>
      </c>
      <c r="H55" s="336">
        <f>SUM(H54:I54)</f>
        <v>27000</v>
      </c>
      <c r="I55" s="116"/>
      <c r="J55" s="100"/>
      <c r="K55" s="14"/>
    </row>
    <row r="56" spans="1:11" ht="63.75">
      <c r="A56" s="219" t="s">
        <v>5</v>
      </c>
      <c r="B56" s="177" t="s">
        <v>106</v>
      </c>
      <c r="C56" s="217"/>
      <c r="D56" s="129" t="s">
        <v>10</v>
      </c>
      <c r="E56" s="288" t="s">
        <v>243</v>
      </c>
      <c r="F56" s="289" t="s">
        <v>244</v>
      </c>
      <c r="G56" s="290" t="s">
        <v>245</v>
      </c>
      <c r="H56" s="291" t="s">
        <v>246</v>
      </c>
      <c r="I56" s="22" t="s">
        <v>13</v>
      </c>
      <c r="J56" s="240" t="s">
        <v>162</v>
      </c>
      <c r="K56" s="14"/>
    </row>
    <row r="57" spans="1:11" ht="12.75">
      <c r="A57" s="100">
        <v>1</v>
      </c>
      <c r="B57" s="181" t="s">
        <v>101</v>
      </c>
      <c r="C57" s="144"/>
      <c r="D57" s="203" t="s">
        <v>148</v>
      </c>
      <c r="E57" s="103">
        <v>31</v>
      </c>
      <c r="F57" s="258">
        <v>31</v>
      </c>
      <c r="G57" s="258">
        <v>25000</v>
      </c>
      <c r="H57" s="258">
        <v>25000</v>
      </c>
      <c r="I57" s="100"/>
      <c r="J57" s="144" t="s">
        <v>331</v>
      </c>
      <c r="K57" s="340"/>
    </row>
    <row r="58" spans="1:11" ht="12.75">
      <c r="A58" s="14"/>
      <c r="B58" s="183"/>
      <c r="C58" s="14"/>
      <c r="D58" s="185"/>
      <c r="E58" s="35"/>
      <c r="F58" s="209"/>
      <c r="G58" s="236" t="s">
        <v>177</v>
      </c>
      <c r="H58" s="336">
        <f>SUM(H57:I57)</f>
        <v>25000</v>
      </c>
      <c r="I58" s="14"/>
      <c r="J58" s="100"/>
      <c r="K58" s="14"/>
    </row>
    <row r="59" spans="1:11" ht="63.75">
      <c r="A59" s="219" t="s">
        <v>5</v>
      </c>
      <c r="B59" s="191" t="s">
        <v>122</v>
      </c>
      <c r="C59" s="189"/>
      <c r="D59" s="129" t="s">
        <v>10</v>
      </c>
      <c r="E59" s="288" t="s">
        <v>243</v>
      </c>
      <c r="F59" s="289" t="s">
        <v>244</v>
      </c>
      <c r="G59" s="290" t="s">
        <v>245</v>
      </c>
      <c r="H59" s="291" t="s">
        <v>246</v>
      </c>
      <c r="I59" s="22" t="s">
        <v>13</v>
      </c>
      <c r="J59" s="240" t="s">
        <v>162</v>
      </c>
      <c r="K59" s="14"/>
    </row>
    <row r="60" spans="1:11" ht="12.75">
      <c r="A60" s="2" t="s">
        <v>114</v>
      </c>
      <c r="B60" s="4" t="s">
        <v>128</v>
      </c>
      <c r="C60" s="59"/>
      <c r="D60" s="45" t="s">
        <v>148</v>
      </c>
      <c r="E60" s="47">
        <v>31</v>
      </c>
      <c r="F60" s="47">
        <v>31</v>
      </c>
      <c r="G60" s="223">
        <v>25000</v>
      </c>
      <c r="H60" s="221">
        <f>G60/E60*F60</f>
        <v>25000</v>
      </c>
      <c r="I60" s="6"/>
      <c r="J60" s="144" t="s">
        <v>331</v>
      </c>
      <c r="K60" s="14"/>
    </row>
    <row r="61" spans="1:11" ht="12.75">
      <c r="A61" s="59" t="s">
        <v>151</v>
      </c>
      <c r="B61" s="4"/>
      <c r="C61" s="59"/>
      <c r="D61" s="45"/>
      <c r="E61" s="47"/>
      <c r="F61" s="47"/>
      <c r="G61" s="223"/>
      <c r="H61" s="221"/>
      <c r="I61" s="6"/>
      <c r="J61" s="338"/>
      <c r="K61" s="14"/>
    </row>
    <row r="62" spans="1:11" ht="12.75">
      <c r="A62" s="59" t="s">
        <v>152</v>
      </c>
      <c r="B62" s="253" t="s">
        <v>332</v>
      </c>
      <c r="C62" s="59"/>
      <c r="D62" s="45" t="s">
        <v>378</v>
      </c>
      <c r="E62" s="47">
        <v>31</v>
      </c>
      <c r="F62" s="47">
        <v>31</v>
      </c>
      <c r="G62" s="223">
        <v>21250</v>
      </c>
      <c r="H62" s="221">
        <f>G62/E62*F62</f>
        <v>21250</v>
      </c>
      <c r="I62" s="6"/>
      <c r="J62" s="260" t="s">
        <v>331</v>
      </c>
      <c r="K62" s="33" t="s">
        <v>380</v>
      </c>
    </row>
    <row r="63" spans="1:11" ht="12.75">
      <c r="A63" s="454" t="s">
        <v>153</v>
      </c>
      <c r="B63" s="481"/>
      <c r="C63" s="454"/>
      <c r="D63" s="477"/>
      <c r="E63" s="456"/>
      <c r="F63" s="456"/>
      <c r="G63" s="478"/>
      <c r="H63" s="498"/>
      <c r="I63" s="479"/>
      <c r="J63" s="463" t="s">
        <v>331</v>
      </c>
      <c r="K63" s="501"/>
    </row>
    <row r="64" spans="1:11" ht="12.75">
      <c r="A64" s="454" t="s">
        <v>132</v>
      </c>
      <c r="B64" s="453"/>
      <c r="C64" s="454"/>
      <c r="D64" s="477"/>
      <c r="E64" s="456"/>
      <c r="F64" s="456"/>
      <c r="G64" s="478"/>
      <c r="H64" s="498"/>
      <c r="I64" s="479"/>
      <c r="J64" s="463" t="s">
        <v>331</v>
      </c>
      <c r="K64" s="501"/>
    </row>
    <row r="65" spans="1:11" ht="12.75">
      <c r="A65" s="14"/>
      <c r="B65" s="183"/>
      <c r="C65" s="14"/>
      <c r="D65" s="185"/>
      <c r="E65" s="35"/>
      <c r="F65" s="209"/>
      <c r="G65" s="236" t="s">
        <v>177</v>
      </c>
      <c r="H65" s="264">
        <f>SUM(H60:I64)</f>
        <v>46250</v>
      </c>
      <c r="I65" s="14"/>
      <c r="J65" s="100"/>
      <c r="K65" s="14"/>
    </row>
    <row r="66" spans="1:11" ht="63.75">
      <c r="A66" s="219" t="s">
        <v>5</v>
      </c>
      <c r="B66" s="196" t="s">
        <v>111</v>
      </c>
      <c r="C66" s="189"/>
      <c r="D66" s="129" t="s">
        <v>10</v>
      </c>
      <c r="E66" s="288" t="s">
        <v>243</v>
      </c>
      <c r="F66" s="289" t="s">
        <v>244</v>
      </c>
      <c r="G66" s="290" t="s">
        <v>245</v>
      </c>
      <c r="H66" s="291" t="s">
        <v>246</v>
      </c>
      <c r="I66" s="22" t="s">
        <v>13</v>
      </c>
      <c r="J66" s="240" t="s">
        <v>162</v>
      </c>
      <c r="K66" s="14"/>
    </row>
    <row r="67" spans="1:11" ht="12.75">
      <c r="A67" s="2" t="s">
        <v>114</v>
      </c>
      <c r="B67" s="339" t="s">
        <v>382</v>
      </c>
      <c r="C67" s="59"/>
      <c r="D67" s="45" t="s">
        <v>148</v>
      </c>
      <c r="E67" s="47">
        <v>31</v>
      </c>
      <c r="F67" s="47">
        <v>31</v>
      </c>
      <c r="G67" s="223">
        <v>7447.74</v>
      </c>
      <c r="H67" s="223">
        <v>7447.74</v>
      </c>
      <c r="I67" s="6"/>
      <c r="J67" s="144" t="s">
        <v>331</v>
      </c>
      <c r="K67" s="14"/>
    </row>
    <row r="68" spans="1:11" ht="12.75">
      <c r="A68" s="6" t="s">
        <v>119</v>
      </c>
      <c r="B68" s="339" t="s">
        <v>382</v>
      </c>
      <c r="C68" s="59"/>
      <c r="D68" s="45" t="s">
        <v>148</v>
      </c>
      <c r="E68" s="47">
        <v>31</v>
      </c>
      <c r="F68" s="47">
        <v>31</v>
      </c>
      <c r="G68" s="223">
        <v>6406.4</v>
      </c>
      <c r="H68" s="223">
        <v>6406.4</v>
      </c>
      <c r="I68" s="6"/>
      <c r="J68" s="144" t="s">
        <v>331</v>
      </c>
      <c r="K68" s="14"/>
    </row>
    <row r="69" spans="1:11" ht="12.75">
      <c r="A69" s="116"/>
      <c r="B69" s="502" t="s">
        <v>436</v>
      </c>
      <c r="C69" s="116"/>
      <c r="D69" s="118"/>
      <c r="E69" s="120"/>
      <c r="F69" s="255"/>
      <c r="G69" s="236" t="s">
        <v>177</v>
      </c>
      <c r="H69" s="351">
        <v>13853.84</v>
      </c>
      <c r="I69" s="116"/>
      <c r="J69" s="150"/>
      <c r="K69" s="14"/>
    </row>
    <row r="70" spans="1:11" ht="63.75">
      <c r="A70" s="219" t="s">
        <v>5</v>
      </c>
      <c r="B70" s="342" t="s">
        <v>437</v>
      </c>
      <c r="C70" s="187"/>
      <c r="D70" s="129" t="s">
        <v>10</v>
      </c>
      <c r="E70" s="288" t="s">
        <v>243</v>
      </c>
      <c r="F70" s="289" t="s">
        <v>244</v>
      </c>
      <c r="G70" s="290" t="s">
        <v>245</v>
      </c>
      <c r="H70" s="291" t="s">
        <v>246</v>
      </c>
      <c r="I70" s="22" t="s">
        <v>13</v>
      </c>
      <c r="J70" s="240" t="s">
        <v>162</v>
      </c>
      <c r="K70" s="14"/>
    </row>
    <row r="71" spans="1:11" ht="51">
      <c r="A71" s="482" t="s">
        <v>114</v>
      </c>
      <c r="B71" s="481" t="s">
        <v>438</v>
      </c>
      <c r="C71" s="454"/>
      <c r="D71" s="477" t="s">
        <v>413</v>
      </c>
      <c r="E71" s="456">
        <v>30</v>
      </c>
      <c r="F71" s="456">
        <v>9</v>
      </c>
      <c r="G71" s="478"/>
      <c r="H71" s="498"/>
      <c r="I71" s="479"/>
      <c r="J71" s="503" t="s">
        <v>439</v>
      </c>
      <c r="K71" s="1206"/>
    </row>
    <row r="72" spans="1:11" ht="12.75">
      <c r="A72" s="383" t="s">
        <v>119</v>
      </c>
      <c r="B72" s="441"/>
      <c r="C72" s="385"/>
      <c r="D72" s="385"/>
      <c r="E72" s="386">
        <v>31</v>
      </c>
      <c r="F72" s="386">
        <v>31</v>
      </c>
      <c r="G72" s="387"/>
      <c r="H72" s="388"/>
      <c r="I72" s="423"/>
      <c r="J72" s="330"/>
      <c r="K72" s="1205"/>
    </row>
    <row r="73" spans="1:11" ht="12.75">
      <c r="A73" s="132"/>
      <c r="B73" s="4"/>
      <c r="C73" s="6"/>
      <c r="D73" s="45" t="s">
        <v>440</v>
      </c>
      <c r="E73" s="52"/>
      <c r="F73" s="221"/>
      <c r="G73" s="236" t="s">
        <v>177</v>
      </c>
      <c r="H73" s="264">
        <f>SUM(H71:I72)</f>
        <v>0</v>
      </c>
      <c r="I73" s="59"/>
      <c r="J73" s="260"/>
      <c r="K73" s="341"/>
    </row>
    <row r="74" spans="1:11" ht="12.75">
      <c r="A74" s="14"/>
      <c r="F74" s="286"/>
      <c r="G74" s="286"/>
    </row>
    <row r="75" spans="1:11" ht="63.75">
      <c r="A75" s="219" t="s">
        <v>5</v>
      </c>
      <c r="B75" s="342" t="s">
        <v>441</v>
      </c>
      <c r="C75" s="187"/>
      <c r="D75" s="129" t="s">
        <v>10</v>
      </c>
      <c r="E75" s="288" t="s">
        <v>243</v>
      </c>
      <c r="F75" s="289" t="s">
        <v>244</v>
      </c>
      <c r="G75" s="290" t="s">
        <v>245</v>
      </c>
      <c r="H75" s="291" t="s">
        <v>246</v>
      </c>
      <c r="I75" s="22" t="s">
        <v>13</v>
      </c>
      <c r="J75" s="240" t="s">
        <v>162</v>
      </c>
      <c r="K75" s="14"/>
    </row>
    <row r="76" spans="1:11" ht="12.75">
      <c r="A76" s="2" t="s">
        <v>114</v>
      </c>
      <c r="B76" s="4" t="s">
        <v>442</v>
      </c>
      <c r="C76" s="59"/>
      <c r="D76" s="51" t="s">
        <v>443</v>
      </c>
      <c r="E76" s="47"/>
      <c r="F76" s="47"/>
      <c r="G76" s="223">
        <v>22500</v>
      </c>
      <c r="H76" s="222">
        <v>12750</v>
      </c>
      <c r="I76" s="6"/>
      <c r="J76" s="230"/>
      <c r="K76" s="1204" t="s">
        <v>314</v>
      </c>
    </row>
    <row r="77" spans="1:11" ht="12.75">
      <c r="A77" s="452" t="s">
        <v>119</v>
      </c>
      <c r="B77" s="481" t="s">
        <v>444</v>
      </c>
      <c r="C77" s="454"/>
      <c r="D77" s="454" t="s">
        <v>148</v>
      </c>
      <c r="E77" s="456"/>
      <c r="F77" s="456"/>
      <c r="G77" s="478">
        <v>19000</v>
      </c>
      <c r="H77" s="478">
        <v>19000</v>
      </c>
      <c r="I77" s="479"/>
      <c r="J77" s="463"/>
      <c r="K77" s="1205"/>
    </row>
    <row r="78" spans="1:11" ht="12.75">
      <c r="A78" s="132"/>
      <c r="B78" s="4"/>
      <c r="C78" s="6"/>
      <c r="D78" s="45"/>
      <c r="E78" s="52"/>
      <c r="F78" s="221"/>
      <c r="G78" s="236" t="s">
        <v>177</v>
      </c>
      <c r="H78" s="264">
        <f>SUM(H76:I77)</f>
        <v>31750</v>
      </c>
      <c r="I78" s="59"/>
      <c r="J78" s="260"/>
      <c r="K78" s="341"/>
    </row>
    <row r="79" spans="1:11" ht="12.75">
      <c r="A79" s="14"/>
      <c r="F79" s="286"/>
      <c r="G79" s="286"/>
    </row>
    <row r="80" spans="1:11" ht="63.75">
      <c r="A80" s="219" t="s">
        <v>5</v>
      </c>
      <c r="B80" s="342" t="s">
        <v>445</v>
      </c>
      <c r="C80" s="187"/>
      <c r="D80" s="129" t="s">
        <v>10</v>
      </c>
      <c r="E80" s="288" t="s">
        <v>243</v>
      </c>
      <c r="F80" s="289" t="s">
        <v>244</v>
      </c>
      <c r="G80" s="290" t="s">
        <v>245</v>
      </c>
      <c r="H80" s="291" t="s">
        <v>246</v>
      </c>
      <c r="I80" s="22" t="s">
        <v>13</v>
      </c>
      <c r="J80" s="240" t="s">
        <v>162</v>
      </c>
      <c r="K80" s="14"/>
    </row>
    <row r="81" spans="1:11" ht="12.75">
      <c r="A81" s="2" t="s">
        <v>114</v>
      </c>
      <c r="B81" s="4" t="s">
        <v>446</v>
      </c>
      <c r="C81" s="59"/>
      <c r="D81" s="51" t="s">
        <v>447</v>
      </c>
      <c r="E81" s="47">
        <v>90</v>
      </c>
      <c r="F81" s="47">
        <v>16</v>
      </c>
      <c r="G81" s="223">
        <v>22500</v>
      </c>
      <c r="H81" s="222">
        <v>22500</v>
      </c>
      <c r="I81" s="6"/>
      <c r="J81" s="230"/>
      <c r="K81" s="1204" t="s">
        <v>314</v>
      </c>
    </row>
    <row r="82" spans="1:11" ht="12.75">
      <c r="A82" s="383" t="s">
        <v>119</v>
      </c>
      <c r="B82" s="441"/>
      <c r="C82" s="385"/>
      <c r="D82" s="385"/>
      <c r="E82" s="386"/>
      <c r="F82" s="386"/>
      <c r="G82" s="387"/>
      <c r="H82" s="388"/>
      <c r="I82" s="423"/>
      <c r="J82" s="330"/>
      <c r="K82" s="1205"/>
    </row>
    <row r="83" spans="1:11" ht="12.75">
      <c r="A83" s="132"/>
      <c r="B83" s="4"/>
      <c r="C83" s="6"/>
      <c r="D83" s="45"/>
      <c r="E83" s="52"/>
      <c r="F83" s="221"/>
      <c r="G83" s="236" t="s">
        <v>177</v>
      </c>
      <c r="H83" s="264">
        <f>SUM(H81:I82)</f>
        <v>22500</v>
      </c>
      <c r="I83" s="59"/>
      <c r="J83" s="260"/>
      <c r="K83" s="341"/>
    </row>
    <row r="84" spans="1:11" ht="12.75">
      <c r="A84" s="14"/>
      <c r="F84" s="286"/>
      <c r="G84" s="286"/>
    </row>
    <row r="85" spans="1:11" ht="63.75">
      <c r="A85" s="219" t="s">
        <v>5</v>
      </c>
      <c r="B85" s="342" t="s">
        <v>315</v>
      </c>
      <c r="C85" s="217" t="s">
        <v>159</v>
      </c>
      <c r="D85" s="129" t="s">
        <v>10</v>
      </c>
      <c r="E85" s="288" t="s">
        <v>243</v>
      </c>
      <c r="F85" s="289" t="s">
        <v>244</v>
      </c>
      <c r="G85" s="290" t="s">
        <v>245</v>
      </c>
      <c r="H85" s="291" t="s">
        <v>246</v>
      </c>
      <c r="I85" s="22" t="s">
        <v>13</v>
      </c>
      <c r="J85" s="240" t="s">
        <v>162</v>
      </c>
      <c r="K85" s="14"/>
    </row>
    <row r="86" spans="1:11" ht="12.75">
      <c r="A86" s="132">
        <v>1</v>
      </c>
      <c r="B86" s="4" t="s">
        <v>134</v>
      </c>
      <c r="C86" s="59"/>
      <c r="D86" s="51"/>
      <c r="E86" s="47"/>
      <c r="F86" s="47"/>
      <c r="G86" s="223"/>
      <c r="H86" s="221"/>
      <c r="I86" s="6"/>
      <c r="J86" s="100"/>
      <c r="K86" s="14"/>
    </row>
    <row r="87" spans="1:11" ht="12.75">
      <c r="A87" s="132">
        <v>2</v>
      </c>
      <c r="B87" s="4" t="s">
        <v>448</v>
      </c>
      <c r="C87" s="59">
        <v>10</v>
      </c>
      <c r="D87" s="144" t="s">
        <v>449</v>
      </c>
      <c r="E87" s="47"/>
      <c r="F87" s="47"/>
      <c r="G87" s="223"/>
      <c r="H87" s="221"/>
      <c r="I87" s="6"/>
      <c r="J87" s="192" t="s">
        <v>118</v>
      </c>
      <c r="K87" s="14"/>
    </row>
    <row r="88" spans="1:11" ht="12.75">
      <c r="A88" s="132">
        <v>3</v>
      </c>
      <c r="B88" s="4" t="s">
        <v>450</v>
      </c>
      <c r="C88" s="59"/>
      <c r="D88" s="234" t="s">
        <v>451</v>
      </c>
      <c r="E88" s="47">
        <v>90</v>
      </c>
      <c r="F88" s="47">
        <v>30</v>
      </c>
      <c r="G88" s="223"/>
      <c r="H88" s="221"/>
      <c r="I88" s="6"/>
      <c r="J88" s="144" t="s">
        <v>452</v>
      </c>
      <c r="K88" s="14"/>
    </row>
    <row r="89" spans="1:11" ht="12.75">
      <c r="A89" s="132">
        <v>4</v>
      </c>
      <c r="B89" s="4" t="s">
        <v>453</v>
      </c>
      <c r="C89" s="59"/>
      <c r="D89" s="59" t="s">
        <v>454</v>
      </c>
      <c r="E89" s="47">
        <v>30</v>
      </c>
      <c r="F89" s="47">
        <v>30</v>
      </c>
      <c r="G89" s="223"/>
      <c r="H89" s="222">
        <v>26250</v>
      </c>
      <c r="I89" s="6"/>
      <c r="J89" s="144" t="s">
        <v>455</v>
      </c>
      <c r="K89" s="14"/>
    </row>
    <row r="90" spans="1:11" ht="12.75">
      <c r="A90" s="132">
        <v>5</v>
      </c>
      <c r="B90" s="4"/>
      <c r="C90" s="59"/>
      <c r="D90" s="59"/>
      <c r="E90" s="47"/>
      <c r="F90" s="47"/>
      <c r="G90" s="223"/>
      <c r="H90" s="221"/>
      <c r="I90" s="6"/>
      <c r="J90" s="144"/>
      <c r="K90" s="14"/>
    </row>
    <row r="91" spans="1:11" ht="12.75">
      <c r="A91" s="132">
        <v>6</v>
      </c>
      <c r="B91" s="4"/>
      <c r="C91" s="59"/>
      <c r="D91" s="59"/>
      <c r="E91" s="47"/>
      <c r="F91" s="47"/>
      <c r="G91" s="223"/>
      <c r="H91" s="221"/>
      <c r="I91" s="6"/>
      <c r="J91" s="144"/>
      <c r="K91" s="14"/>
    </row>
    <row r="92" spans="1:11" ht="12.75">
      <c r="A92" s="132">
        <v>7</v>
      </c>
      <c r="B92" s="29"/>
      <c r="C92" s="6"/>
      <c r="D92" s="8"/>
      <c r="E92" s="52"/>
      <c r="F92" s="221"/>
      <c r="G92" s="236" t="s">
        <v>177</v>
      </c>
      <c r="H92" s="264">
        <f>SUM(H86:I91)</f>
        <v>26250</v>
      </c>
      <c r="I92" s="59"/>
      <c r="J92" s="260"/>
      <c r="K92" s="14"/>
    </row>
    <row r="93" spans="1:11" ht="12.75">
      <c r="A93" s="14"/>
      <c r="B93" s="183"/>
      <c r="C93" s="14"/>
      <c r="D93" s="185"/>
      <c r="E93" s="35"/>
      <c r="F93" s="209"/>
      <c r="G93" s="209"/>
      <c r="H93" s="14"/>
      <c r="I93" s="14"/>
      <c r="J93" s="14"/>
      <c r="K93" s="14"/>
    </row>
    <row r="94" spans="1:11" ht="12.75">
      <c r="K94" s="287"/>
    </row>
    <row r="95" spans="1:11" ht="63.75">
      <c r="A95" s="219" t="s">
        <v>5</v>
      </c>
      <c r="B95" s="342" t="s">
        <v>316</v>
      </c>
      <c r="C95" s="217"/>
      <c r="D95" s="129" t="s">
        <v>10</v>
      </c>
      <c r="E95" s="288" t="s">
        <v>243</v>
      </c>
      <c r="F95" s="289" t="s">
        <v>244</v>
      </c>
      <c r="G95" s="290" t="s">
        <v>245</v>
      </c>
      <c r="H95" s="291" t="s">
        <v>246</v>
      </c>
      <c r="I95" s="22" t="s">
        <v>13</v>
      </c>
      <c r="J95" s="240" t="s">
        <v>162</v>
      </c>
      <c r="K95" s="287"/>
    </row>
    <row r="96" spans="1:11" ht="12.75">
      <c r="A96" s="132" t="s">
        <v>458</v>
      </c>
      <c r="B96" s="4" t="s">
        <v>317</v>
      </c>
      <c r="C96" s="59"/>
      <c r="D96" s="51"/>
      <c r="E96" s="47"/>
      <c r="F96" s="47"/>
      <c r="G96" s="353">
        <v>28000</v>
      </c>
      <c r="H96" s="353">
        <v>28000</v>
      </c>
      <c r="I96" s="6"/>
      <c r="J96" s="144" t="s">
        <v>210</v>
      </c>
      <c r="K96" s="287"/>
    </row>
    <row r="97" spans="1:11" ht="12.75">
      <c r="A97" s="132" t="s">
        <v>459</v>
      </c>
      <c r="B97" s="4" t="s">
        <v>392</v>
      </c>
      <c r="C97" s="6"/>
      <c r="D97" s="8"/>
      <c r="E97" s="52"/>
      <c r="F97" s="221"/>
      <c r="G97" s="449">
        <v>21250</v>
      </c>
      <c r="H97" s="449">
        <v>21250</v>
      </c>
      <c r="I97" s="59"/>
      <c r="J97" s="260" t="s">
        <v>331</v>
      </c>
      <c r="K97" s="325" t="s">
        <v>393</v>
      </c>
    </row>
    <row r="98" spans="1:11" ht="12.75">
      <c r="A98" s="132" t="s">
        <v>460</v>
      </c>
      <c r="B98" s="4" t="s">
        <v>461</v>
      </c>
      <c r="C98" s="6"/>
      <c r="D98" s="8"/>
      <c r="E98" s="52"/>
      <c r="F98" s="221"/>
      <c r="G98" s="355"/>
      <c r="H98" s="356"/>
      <c r="I98" s="59"/>
      <c r="J98" s="260"/>
      <c r="K98" s="287"/>
    </row>
    <row r="99" spans="1:11" ht="12.75">
      <c r="A99" s="132"/>
      <c r="B99" s="29"/>
      <c r="C99" s="6"/>
      <c r="D99" s="8"/>
      <c r="E99" s="52"/>
      <c r="F99" s="221"/>
      <c r="G99" s="236" t="s">
        <v>177</v>
      </c>
      <c r="H99" s="264">
        <f>SUM(H96:H98)</f>
        <v>49250</v>
      </c>
      <c r="I99" s="59"/>
      <c r="J99" s="260"/>
      <c r="K99" s="287"/>
    </row>
    <row r="100" spans="1:11" ht="12.75">
      <c r="K100" s="287"/>
    </row>
    <row r="101" spans="1:11" ht="12.75">
      <c r="K101" s="287"/>
    </row>
    <row r="102" spans="1:11" ht="63.75">
      <c r="A102" s="357" t="s">
        <v>5</v>
      </c>
      <c r="B102" s="358" t="s">
        <v>319</v>
      </c>
      <c r="C102" s="359"/>
      <c r="D102" s="360" t="s">
        <v>10</v>
      </c>
      <c r="E102" s="361" t="s">
        <v>243</v>
      </c>
      <c r="F102" s="362" t="s">
        <v>244</v>
      </c>
      <c r="G102" s="362" t="s">
        <v>245</v>
      </c>
      <c r="H102" s="363" t="s">
        <v>246</v>
      </c>
      <c r="I102" s="363" t="s">
        <v>13</v>
      </c>
      <c r="J102" s="364" t="s">
        <v>162</v>
      </c>
      <c r="K102" s="287"/>
    </row>
    <row r="103" spans="1:11" ht="12.75">
      <c r="A103" s="365">
        <v>14</v>
      </c>
      <c r="B103" s="371" t="s">
        <v>317</v>
      </c>
      <c r="C103" s="366"/>
      <c r="D103" s="457" t="s">
        <v>462</v>
      </c>
      <c r="E103" s="12"/>
      <c r="F103" s="12"/>
      <c r="G103" s="459">
        <v>25000</v>
      </c>
      <c r="H103" s="459">
        <v>25000</v>
      </c>
      <c r="I103" s="7"/>
      <c r="J103" s="144" t="s">
        <v>210</v>
      </c>
      <c r="K103" s="287"/>
    </row>
    <row r="104" spans="1:11" ht="12.75">
      <c r="A104" s="370">
        <v>38</v>
      </c>
      <c r="B104" s="371" t="s">
        <v>290</v>
      </c>
      <c r="C104" s="366"/>
      <c r="D104" s="371" t="s">
        <v>463</v>
      </c>
      <c r="E104" s="50"/>
      <c r="F104" s="368"/>
      <c r="G104" s="461">
        <v>22000</v>
      </c>
      <c r="H104" s="374">
        <v>22000</v>
      </c>
      <c r="I104" s="7"/>
      <c r="J104" s="375" t="s">
        <v>210</v>
      </c>
      <c r="K104" s="287"/>
    </row>
    <row r="105" spans="1:11" ht="12.75">
      <c r="A105" s="370"/>
      <c r="B105" s="371"/>
      <c r="C105" s="366"/>
      <c r="D105" s="372"/>
      <c r="E105" s="50"/>
      <c r="F105" s="368"/>
      <c r="G105" s="376" t="s">
        <v>177</v>
      </c>
      <c r="H105" s="377">
        <f>SUM(H104+H103)</f>
        <v>47000</v>
      </c>
      <c r="I105" s="7"/>
      <c r="J105" s="378"/>
      <c r="K105" s="287"/>
    </row>
    <row r="106" spans="1:11" ht="12.75">
      <c r="J106" s="287"/>
      <c r="K106" s="287"/>
    </row>
    <row r="108" spans="1:11" ht="63.75">
      <c r="A108" s="219" t="s">
        <v>5</v>
      </c>
      <c r="B108" s="342" t="s">
        <v>323</v>
      </c>
      <c r="C108" s="187"/>
      <c r="D108" s="129" t="s">
        <v>10</v>
      </c>
      <c r="E108" s="288" t="s">
        <v>243</v>
      </c>
      <c r="F108" s="289" t="s">
        <v>244</v>
      </c>
      <c r="G108" s="290" t="s">
        <v>245</v>
      </c>
      <c r="H108" s="291" t="s">
        <v>246</v>
      </c>
      <c r="I108" s="22" t="s">
        <v>13</v>
      </c>
      <c r="J108" s="240" t="s">
        <v>162</v>
      </c>
    </row>
    <row r="109" spans="1:11" ht="12.75">
      <c r="A109" s="2" t="s">
        <v>114</v>
      </c>
      <c r="B109" s="4" t="s">
        <v>442</v>
      </c>
      <c r="C109" s="59"/>
      <c r="D109" s="51" t="s">
        <v>464</v>
      </c>
      <c r="E109" s="47"/>
      <c r="F109" s="47"/>
      <c r="G109" s="223">
        <v>22500</v>
      </c>
      <c r="H109" s="221"/>
      <c r="I109" s="6"/>
      <c r="J109" s="230" t="s">
        <v>210</v>
      </c>
    </row>
    <row r="110" spans="1:11" ht="12.75">
      <c r="A110" s="2" t="s">
        <v>119</v>
      </c>
      <c r="B110" s="4" t="s">
        <v>404</v>
      </c>
      <c r="C110" s="59"/>
      <c r="D110" s="59" t="s">
        <v>405</v>
      </c>
      <c r="E110" s="47"/>
      <c r="F110" s="47"/>
      <c r="G110" s="223">
        <v>23000</v>
      </c>
      <c r="H110" s="221"/>
      <c r="I110" s="6"/>
      <c r="J110" s="144" t="s">
        <v>210</v>
      </c>
    </row>
    <row r="111" spans="1:11" ht="12.75">
      <c r="A111" s="132"/>
      <c r="B111" s="29"/>
      <c r="C111" s="6"/>
      <c r="D111" s="8"/>
      <c r="E111" s="52"/>
      <c r="F111" s="221"/>
      <c r="G111" s="236" t="s">
        <v>177</v>
      </c>
      <c r="H111" s="264">
        <f>SUM(H109:I110)</f>
        <v>0</v>
      </c>
      <c r="I111" s="59"/>
      <c r="J111" s="260"/>
    </row>
    <row r="114" spans="1:11" ht="63.75">
      <c r="A114" s="219" t="s">
        <v>5</v>
      </c>
      <c r="B114" s="342" t="s">
        <v>325</v>
      </c>
      <c r="C114" s="187"/>
      <c r="D114" s="129" t="s">
        <v>10</v>
      </c>
      <c r="E114" s="288" t="s">
        <v>243</v>
      </c>
      <c r="F114" s="289" t="s">
        <v>244</v>
      </c>
      <c r="G114" s="290" t="s">
        <v>245</v>
      </c>
      <c r="H114" s="291" t="s">
        <v>246</v>
      </c>
      <c r="I114" s="22" t="s">
        <v>13</v>
      </c>
      <c r="J114" s="240" t="s">
        <v>162</v>
      </c>
    </row>
    <row r="115" spans="1:11" ht="12.75">
      <c r="A115" s="452" t="s">
        <v>114</v>
      </c>
      <c r="B115" s="481" t="s">
        <v>134</v>
      </c>
      <c r="C115" s="454"/>
      <c r="D115" s="477" t="s">
        <v>148</v>
      </c>
      <c r="E115" s="456"/>
      <c r="F115" s="456"/>
      <c r="G115" s="478">
        <v>17500</v>
      </c>
      <c r="H115" s="478">
        <v>17500</v>
      </c>
      <c r="I115" s="479"/>
      <c r="J115" s="503" t="s">
        <v>331</v>
      </c>
      <c r="K115" s="509"/>
    </row>
    <row r="116" spans="1:11" ht="12.75">
      <c r="A116" s="2" t="s">
        <v>119</v>
      </c>
      <c r="B116" s="4" t="s">
        <v>134</v>
      </c>
      <c r="C116" s="59"/>
      <c r="D116" s="59" t="s">
        <v>148</v>
      </c>
      <c r="E116" s="47"/>
      <c r="F116" s="47"/>
      <c r="G116" s="223">
        <v>17500</v>
      </c>
      <c r="H116" s="222">
        <v>17500</v>
      </c>
      <c r="I116" s="6"/>
      <c r="J116" s="144" t="s">
        <v>331</v>
      </c>
    </row>
    <row r="117" spans="1:11" ht="12.75">
      <c r="A117" s="132"/>
      <c r="B117" s="29"/>
      <c r="C117" s="6"/>
      <c r="D117" s="8"/>
      <c r="E117" s="52"/>
      <c r="F117" s="221"/>
      <c r="G117" s="236" t="s">
        <v>177</v>
      </c>
      <c r="H117" s="264">
        <f>SUM(H115:I116)</f>
        <v>35000</v>
      </c>
      <c r="I117" s="59"/>
      <c r="J117" s="260"/>
    </row>
    <row r="120" spans="1:11" ht="63.75">
      <c r="A120" s="219" t="s">
        <v>5</v>
      </c>
      <c r="B120" s="342" t="s">
        <v>326</v>
      </c>
      <c r="C120" s="187"/>
      <c r="D120" s="129" t="s">
        <v>10</v>
      </c>
      <c r="E120" s="288" t="s">
        <v>243</v>
      </c>
      <c r="F120" s="289" t="s">
        <v>244</v>
      </c>
      <c r="G120" s="290" t="s">
        <v>245</v>
      </c>
      <c r="H120" s="291" t="s">
        <v>246</v>
      </c>
      <c r="I120" s="22" t="s">
        <v>13</v>
      </c>
      <c r="J120" s="240" t="s">
        <v>162</v>
      </c>
    </row>
    <row r="121" spans="1:11" ht="12.75">
      <c r="A121" s="2" t="s">
        <v>114</v>
      </c>
      <c r="B121" s="4" t="s">
        <v>407</v>
      </c>
      <c r="C121" s="59"/>
      <c r="D121" s="51"/>
      <c r="E121" s="47"/>
      <c r="F121" s="47"/>
      <c r="G121" s="223">
        <v>21250</v>
      </c>
      <c r="H121" s="223">
        <v>21250</v>
      </c>
      <c r="I121" s="6"/>
      <c r="J121" s="230" t="s">
        <v>376</v>
      </c>
    </row>
    <row r="122" spans="1:11" ht="12.75">
      <c r="A122" s="2" t="s">
        <v>119</v>
      </c>
      <c r="B122" s="4"/>
      <c r="C122" s="59"/>
      <c r="D122" s="59"/>
      <c r="E122" s="47"/>
      <c r="F122" s="47"/>
      <c r="G122" s="223"/>
      <c r="H122" s="221"/>
      <c r="I122" s="6"/>
      <c r="J122" s="144"/>
    </row>
    <row r="123" spans="1:11" ht="12.75">
      <c r="A123" s="132"/>
      <c r="B123" s="29"/>
      <c r="C123" s="6"/>
      <c r="D123" s="8"/>
      <c r="E123" s="52"/>
      <c r="F123" s="221"/>
      <c r="G123" s="236" t="s">
        <v>177</v>
      </c>
      <c r="H123" s="264">
        <f>SUM(H121:I122)</f>
        <v>21250</v>
      </c>
      <c r="I123" s="59"/>
      <c r="J123" s="260"/>
    </row>
    <row r="126" spans="1:11" ht="16.5">
      <c r="H126" s="466" t="s">
        <v>408</v>
      </c>
      <c r="I126" s="470">
        <f>J18+J43+H55+H58+H65+H69+H73+H92+H99+H105+H111+H117+H123</f>
        <v>998478.84</v>
      </c>
    </row>
  </sheetData>
  <mergeCells count="3">
    <mergeCell ref="K71:K72"/>
    <mergeCell ref="K76:K77"/>
    <mergeCell ref="K81:K82"/>
  </mergeCells>
  <printOptions horizontalCentered="1" gridLines="1"/>
  <pageMargins left="0.25" right="0.25" top="0.75" bottom="0.75" header="0" footer="0"/>
  <pageSetup paperSize="9" fitToHeight="0" pageOrder="overThenDown" orientation="landscape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  <pageSetUpPr fitToPage="1"/>
  </sheetPr>
  <dimension ref="A1:K1039"/>
  <sheetViews>
    <sheetView workbookViewId="0"/>
  </sheetViews>
  <sheetFormatPr defaultColWidth="12.5703125" defaultRowHeight="15.75" customHeight="1"/>
  <cols>
    <col min="1" max="1" width="9.28515625" customWidth="1"/>
    <col min="2" max="2" width="33.5703125" customWidth="1"/>
    <col min="4" max="4" width="19.28515625" customWidth="1"/>
    <col min="9" max="9" width="18.5703125" customWidth="1"/>
    <col min="10" max="10" width="19.85546875" customWidth="1"/>
    <col min="11" max="11" width="19.5703125" customWidth="1"/>
  </cols>
  <sheetData>
    <row r="1" spans="1:11" ht="12.75">
      <c r="A1" s="1" t="s">
        <v>0</v>
      </c>
      <c r="C1" s="499"/>
    </row>
    <row r="2" spans="1:11" ht="12.75">
      <c r="C2" s="499"/>
    </row>
    <row r="3" spans="1:11" ht="63.75">
      <c r="A3" s="18" t="s">
        <v>5</v>
      </c>
      <c r="B3" s="20" t="s">
        <v>7</v>
      </c>
      <c r="C3" s="217" t="s">
        <v>159</v>
      </c>
      <c r="D3" s="24" t="s">
        <v>10</v>
      </c>
      <c r="E3" s="288" t="s">
        <v>243</v>
      </c>
      <c r="F3" s="289" t="s">
        <v>244</v>
      </c>
      <c r="G3" s="290" t="s">
        <v>245</v>
      </c>
      <c r="H3" s="291" t="s">
        <v>246</v>
      </c>
      <c r="I3" s="22" t="s">
        <v>13</v>
      </c>
      <c r="J3" s="134" t="s">
        <v>162</v>
      </c>
      <c r="K3" s="14"/>
    </row>
    <row r="4" spans="1:11" ht="12.75">
      <c r="A4" s="219"/>
      <c r="B4" s="328"/>
      <c r="C4" s="311"/>
      <c r="D4" s="312"/>
      <c r="E4" s="379"/>
      <c r="F4" s="315"/>
      <c r="G4" s="315"/>
      <c r="H4" s="315"/>
      <c r="I4" s="314"/>
      <c r="J4" s="380"/>
      <c r="K4" s="33"/>
    </row>
    <row r="5" spans="1:11" ht="12.75">
      <c r="A5" s="269">
        <v>2</v>
      </c>
      <c r="B5" s="342" t="s">
        <v>384</v>
      </c>
      <c r="C5" s="444">
        <v>7</v>
      </c>
      <c r="D5" s="445" t="s">
        <v>385</v>
      </c>
      <c r="E5" s="446">
        <v>90</v>
      </c>
      <c r="F5" s="447">
        <v>30</v>
      </c>
      <c r="G5" s="447">
        <v>78750</v>
      </c>
      <c r="H5" s="447">
        <v>26250</v>
      </c>
      <c r="I5" s="261"/>
      <c r="J5" s="448" t="s">
        <v>388</v>
      </c>
      <c r="K5" s="14"/>
    </row>
    <row r="6" spans="1:11" ht="12.75">
      <c r="A6" s="269"/>
      <c r="B6" s="1" t="s">
        <v>430</v>
      </c>
      <c r="C6" s="500">
        <v>7</v>
      </c>
      <c r="D6" s="1" t="s">
        <v>431</v>
      </c>
      <c r="K6" s="324"/>
    </row>
    <row r="7" spans="1:11" ht="12.75">
      <c r="A7" s="219">
        <v>4</v>
      </c>
      <c r="B7" s="29" t="s">
        <v>23</v>
      </c>
      <c r="C7" s="59">
        <v>10</v>
      </c>
      <c r="D7" s="45" t="s">
        <v>209</v>
      </c>
      <c r="E7" s="47">
        <v>31</v>
      </c>
      <c r="F7" s="222">
        <v>31</v>
      </c>
      <c r="G7" s="222">
        <v>30000</v>
      </c>
      <c r="H7" s="221">
        <f>G7/E7*F7</f>
        <v>30000</v>
      </c>
      <c r="J7" s="228" t="s">
        <v>331</v>
      </c>
      <c r="K7" s="14"/>
    </row>
    <row r="8" spans="1:11" ht="12.75">
      <c r="A8" s="269">
        <v>5</v>
      </c>
      <c r="B8" s="253" t="s">
        <v>332</v>
      </c>
      <c r="C8" s="59">
        <v>7</v>
      </c>
      <c r="D8" s="45" t="s">
        <v>333</v>
      </c>
      <c r="E8" s="47">
        <v>31</v>
      </c>
      <c r="F8" s="223">
        <v>31</v>
      </c>
      <c r="G8" s="223">
        <v>20000</v>
      </c>
      <c r="H8" s="223">
        <v>20000</v>
      </c>
      <c r="I8" s="220"/>
      <c r="J8" s="228" t="s">
        <v>331</v>
      </c>
      <c r="K8" s="14"/>
    </row>
    <row r="9" spans="1:11" ht="12.75">
      <c r="A9" s="269"/>
      <c r="B9" s="4" t="s">
        <v>432</v>
      </c>
      <c r="C9" s="59">
        <v>7</v>
      </c>
      <c r="D9" s="59" t="s">
        <v>433</v>
      </c>
      <c r="E9" s="47">
        <v>30</v>
      </c>
      <c r="F9" s="223"/>
      <c r="G9" s="223">
        <v>37000</v>
      </c>
      <c r="H9" s="223"/>
      <c r="I9" s="223"/>
      <c r="J9" s="228" t="s">
        <v>428</v>
      </c>
      <c r="K9" s="14"/>
    </row>
    <row r="10" spans="1:11" ht="12.75">
      <c r="A10" s="482">
        <v>7</v>
      </c>
      <c r="B10" s="481" t="s">
        <v>335</v>
      </c>
      <c r="C10" s="454">
        <v>7</v>
      </c>
      <c r="D10" s="454" t="s">
        <v>434</v>
      </c>
      <c r="E10" s="456">
        <v>31</v>
      </c>
      <c r="F10" s="478">
        <v>30</v>
      </c>
      <c r="G10" s="478">
        <v>46000</v>
      </c>
      <c r="H10" s="478">
        <v>46000</v>
      </c>
      <c r="I10" s="478"/>
      <c r="J10" s="450" t="s">
        <v>331</v>
      </c>
      <c r="K10" s="451"/>
    </row>
    <row r="11" spans="1:11" ht="12.75">
      <c r="A11" s="269">
        <v>8</v>
      </c>
      <c r="B11" s="4" t="s">
        <v>26</v>
      </c>
      <c r="C11" s="59">
        <v>7</v>
      </c>
      <c r="D11" s="45" t="s">
        <v>209</v>
      </c>
      <c r="E11" s="47">
        <v>31</v>
      </c>
      <c r="F11" s="223">
        <v>31</v>
      </c>
      <c r="G11" s="223">
        <v>14000</v>
      </c>
      <c r="H11" s="221">
        <f t="shared" ref="H11:H12" si="0">G11/E11*F11</f>
        <v>14000</v>
      </c>
      <c r="I11" s="220"/>
      <c r="J11" s="228" t="s">
        <v>337</v>
      </c>
      <c r="K11" s="14"/>
    </row>
    <row r="12" spans="1:11" ht="12.75">
      <c r="A12" s="269">
        <v>9</v>
      </c>
      <c r="B12" s="29" t="s">
        <v>29</v>
      </c>
      <c r="C12" s="59">
        <v>10</v>
      </c>
      <c r="D12" s="45" t="s">
        <v>209</v>
      </c>
      <c r="E12" s="47">
        <v>31</v>
      </c>
      <c r="F12" s="222">
        <v>31</v>
      </c>
      <c r="G12" s="222">
        <v>32000</v>
      </c>
      <c r="H12" s="221">
        <f t="shared" si="0"/>
        <v>32000</v>
      </c>
      <c r="I12" s="220"/>
      <c r="J12" s="228" t="s">
        <v>331</v>
      </c>
      <c r="K12" s="14"/>
    </row>
    <row r="13" spans="1:11" ht="12.75">
      <c r="A13" s="452"/>
      <c r="B13" s="453" t="s">
        <v>435</v>
      </c>
      <c r="C13" s="454">
        <v>7</v>
      </c>
      <c r="D13" s="455" t="s">
        <v>431</v>
      </c>
      <c r="E13" s="456"/>
      <c r="F13" s="458"/>
      <c r="G13" s="458"/>
      <c r="H13" s="458"/>
      <c r="I13" s="460"/>
      <c r="J13" s="450"/>
      <c r="K13" s="451"/>
    </row>
    <row r="14" spans="1:11" ht="12.75">
      <c r="A14" s="269">
        <v>11</v>
      </c>
      <c r="B14" s="394" t="s">
        <v>338</v>
      </c>
      <c r="C14" s="59">
        <v>7</v>
      </c>
      <c r="D14" s="394" t="s">
        <v>399</v>
      </c>
      <c r="E14" s="395"/>
      <c r="F14" s="394">
        <v>18</v>
      </c>
      <c r="G14" s="300">
        <v>20000</v>
      </c>
      <c r="H14" s="300">
        <v>20000</v>
      </c>
      <c r="I14" s="395"/>
      <c r="J14" s="228" t="s">
        <v>210</v>
      </c>
      <c r="K14" s="303"/>
    </row>
    <row r="15" spans="1:11" ht="12.75">
      <c r="A15" s="269">
        <v>12</v>
      </c>
      <c r="B15" s="394" t="s">
        <v>340</v>
      </c>
      <c r="C15" s="59">
        <v>7</v>
      </c>
      <c r="D15" s="394" t="s">
        <v>400</v>
      </c>
      <c r="E15" s="395"/>
      <c r="F15" s="394">
        <v>19</v>
      </c>
      <c r="G15" s="300">
        <v>17500</v>
      </c>
      <c r="H15" s="300">
        <v>17500</v>
      </c>
      <c r="I15" s="395"/>
      <c r="J15" s="338" t="s">
        <v>331</v>
      </c>
      <c r="K15" s="303"/>
    </row>
    <row r="16" spans="1:11" ht="15.75" customHeight="1">
      <c r="A16" s="269"/>
      <c r="B16" s="453" t="s">
        <v>47</v>
      </c>
      <c r="C16" s="311"/>
      <c r="D16" s="454" t="s">
        <v>401</v>
      </c>
      <c r="E16" s="396">
        <v>30</v>
      </c>
      <c r="F16" s="397"/>
      <c r="G16" s="398" t="s">
        <v>402</v>
      </c>
      <c r="H16" s="314">
        <v>37000</v>
      </c>
      <c r="I16" s="462" t="s">
        <v>275</v>
      </c>
      <c r="J16" s="463" t="s">
        <v>403</v>
      </c>
      <c r="K16" s="303"/>
    </row>
    <row r="17" spans="1:11" ht="15.75" customHeight="1">
      <c r="A17" s="269"/>
      <c r="B17" s="253"/>
      <c r="C17" s="59"/>
      <c r="D17" s="251"/>
      <c r="E17" s="400"/>
      <c r="F17" s="401"/>
      <c r="G17" s="402"/>
      <c r="H17" s="222"/>
      <c r="I17" s="395"/>
      <c r="J17" s="260"/>
      <c r="K17" s="303"/>
    </row>
    <row r="18" spans="1:11" ht="12.75">
      <c r="A18" s="114"/>
      <c r="B18" s="236" t="s">
        <v>177</v>
      </c>
      <c r="C18" s="6">
        <f>SUM(C3:C17)</f>
        <v>83</v>
      </c>
      <c r="D18" s="109"/>
      <c r="E18" s="110"/>
      <c r="F18" s="237"/>
      <c r="G18" s="237">
        <f t="shared" ref="G18:I18" si="1">SUM(G4:G17)</f>
        <v>295250</v>
      </c>
      <c r="H18" s="237">
        <f t="shared" si="1"/>
        <v>242750</v>
      </c>
      <c r="I18" s="237">
        <f t="shared" si="1"/>
        <v>0</v>
      </c>
      <c r="J18" s="238">
        <f>H18+I18</f>
        <v>242750</v>
      </c>
      <c r="K18" s="14"/>
    </row>
    <row r="19" spans="1:11" ht="12.75">
      <c r="A19" s="114"/>
      <c r="B19" s="29"/>
      <c r="C19" s="6"/>
      <c r="D19" s="118"/>
      <c r="E19" s="120"/>
      <c r="F19" s="239"/>
      <c r="G19" s="239"/>
      <c r="H19" s="114"/>
      <c r="I19" s="114"/>
      <c r="J19" s="100"/>
      <c r="K19" s="14"/>
    </row>
    <row r="20" spans="1:11" ht="12.75">
      <c r="A20" s="316"/>
      <c r="B20" s="234"/>
      <c r="C20" s="153"/>
      <c r="D20" s="234"/>
      <c r="E20" s="234"/>
      <c r="F20" s="234"/>
      <c r="G20" s="300"/>
      <c r="H20" s="300"/>
      <c r="I20" s="227"/>
      <c r="J20" s="403"/>
      <c r="K20" s="33"/>
    </row>
    <row r="21" spans="1:11" ht="12.75">
      <c r="A21" s="467"/>
      <c r="B21" s="468" t="s">
        <v>410</v>
      </c>
      <c r="C21" s="469"/>
      <c r="D21" s="469" t="s">
        <v>411</v>
      </c>
      <c r="E21" s="471"/>
      <c r="F21" s="472"/>
      <c r="G21" s="472">
        <v>26250</v>
      </c>
      <c r="H21" s="472">
        <v>26250</v>
      </c>
      <c r="I21" s="472"/>
      <c r="J21" s="473"/>
      <c r="K21" s="474"/>
    </row>
    <row r="22" spans="1:11" ht="12.75">
      <c r="A22" s="317"/>
      <c r="B22" s="405" t="s">
        <v>412</v>
      </c>
      <c r="C22" s="406">
        <v>7</v>
      </c>
      <c r="D22" s="407" t="s">
        <v>413</v>
      </c>
      <c r="E22" s="408">
        <v>30</v>
      </c>
      <c r="F22" s="398">
        <v>9</v>
      </c>
      <c r="G22" s="398">
        <v>26250</v>
      </c>
      <c r="H22" s="475">
        <v>7875</v>
      </c>
      <c r="I22" s="410"/>
      <c r="J22" s="380" t="s">
        <v>414</v>
      </c>
      <c r="K22" s="33"/>
    </row>
    <row r="23" spans="1:11" ht="12.75">
      <c r="A23" s="317"/>
      <c r="B23" s="305"/>
      <c r="C23" s="98"/>
      <c r="D23" s="105"/>
      <c r="E23" s="200"/>
      <c r="F23" s="281"/>
      <c r="G23" s="281"/>
      <c r="H23" s="306"/>
      <c r="I23" s="306"/>
      <c r="J23" s="307"/>
      <c r="K23" s="33"/>
    </row>
    <row r="24" spans="1:11" ht="12.75">
      <c r="A24" s="317"/>
      <c r="B24" s="231"/>
      <c r="C24" s="98"/>
      <c r="D24" s="105"/>
      <c r="E24" s="47"/>
      <c r="F24" s="225"/>
      <c r="G24" s="225"/>
      <c r="H24" s="221"/>
      <c r="I24" s="225"/>
      <c r="J24" s="192"/>
      <c r="K24" s="33"/>
    </row>
    <row r="25" spans="1:11" ht="12.75">
      <c r="C25" s="499"/>
    </row>
    <row r="26" spans="1:11" ht="12.75">
      <c r="A26" s="2"/>
      <c r="B26" s="4"/>
      <c r="C26" s="6"/>
      <c r="D26" s="8"/>
      <c r="E26" s="11"/>
      <c r="F26" s="220"/>
      <c r="G26" s="220"/>
      <c r="H26" s="6"/>
      <c r="I26" s="6"/>
      <c r="J26" s="100"/>
      <c r="K26" s="14"/>
    </row>
    <row r="27" spans="1:11" ht="63.75">
      <c r="A27" s="219" t="s">
        <v>5</v>
      </c>
      <c r="B27" s="125" t="s">
        <v>74</v>
      </c>
      <c r="C27" s="217" t="s">
        <v>159</v>
      </c>
      <c r="D27" s="129" t="s">
        <v>10</v>
      </c>
      <c r="E27" s="288" t="s">
        <v>243</v>
      </c>
      <c r="F27" s="289" t="s">
        <v>244</v>
      </c>
      <c r="G27" s="290" t="s">
        <v>245</v>
      </c>
      <c r="H27" s="291" t="s">
        <v>246</v>
      </c>
      <c r="I27" s="22" t="s">
        <v>13</v>
      </c>
      <c r="J27" s="240" t="s">
        <v>162</v>
      </c>
      <c r="K27" s="14"/>
    </row>
    <row r="28" spans="1:11" ht="12.75">
      <c r="A28" s="482"/>
      <c r="B28" s="476"/>
      <c r="C28" s="454"/>
      <c r="D28" s="477"/>
      <c r="E28" s="456"/>
      <c r="F28" s="478"/>
      <c r="G28" s="478"/>
      <c r="H28" s="479"/>
      <c r="I28" s="479"/>
      <c r="J28" s="480"/>
      <c r="K28" s="491"/>
    </row>
    <row r="29" spans="1:11" ht="12.75">
      <c r="A29" s="269">
        <v>2</v>
      </c>
      <c r="B29" s="481" t="s">
        <v>416</v>
      </c>
      <c r="C29" s="454">
        <v>7</v>
      </c>
      <c r="D29" s="477" t="s">
        <v>385</v>
      </c>
      <c r="E29" s="456">
        <v>90</v>
      </c>
      <c r="F29" s="478">
        <v>30</v>
      </c>
      <c r="G29" s="478">
        <v>78750</v>
      </c>
      <c r="H29" s="478">
        <v>26250</v>
      </c>
      <c r="I29" s="479"/>
      <c r="J29" s="480" t="s">
        <v>331</v>
      </c>
      <c r="K29" s="14"/>
    </row>
    <row r="30" spans="1:11" ht="12.75">
      <c r="A30" s="269">
        <v>3</v>
      </c>
      <c r="B30" s="29" t="s">
        <v>29</v>
      </c>
      <c r="C30" s="6">
        <v>10</v>
      </c>
      <c r="D30" s="45" t="s">
        <v>209</v>
      </c>
      <c r="E30" s="47">
        <v>31</v>
      </c>
      <c r="F30" s="223">
        <v>31</v>
      </c>
      <c r="G30" s="223">
        <v>32000</v>
      </c>
      <c r="H30" s="221">
        <f>G30/E30*F30</f>
        <v>32000</v>
      </c>
      <c r="I30" s="6"/>
      <c r="J30" s="144" t="s">
        <v>331</v>
      </c>
      <c r="K30" s="14"/>
    </row>
    <row r="31" spans="1:11" ht="16.5" customHeight="1">
      <c r="A31" s="269">
        <v>4</v>
      </c>
      <c r="B31" s="394" t="s">
        <v>356</v>
      </c>
      <c r="C31" s="505">
        <v>7</v>
      </c>
      <c r="D31" s="394" t="s">
        <v>357</v>
      </c>
      <c r="E31" s="395"/>
      <c r="F31" s="394">
        <v>31</v>
      </c>
      <c r="G31" s="300">
        <v>29750</v>
      </c>
      <c r="H31" s="300">
        <v>29750</v>
      </c>
      <c r="I31" s="301"/>
      <c r="J31" s="144" t="s">
        <v>417</v>
      </c>
      <c r="K31" s="14"/>
    </row>
    <row r="32" spans="1:11" ht="16.5" customHeight="1">
      <c r="A32" s="482"/>
      <c r="B32" s="483" t="s">
        <v>418</v>
      </c>
      <c r="C32" s="506"/>
      <c r="D32" s="483" t="s">
        <v>419</v>
      </c>
      <c r="E32" s="483">
        <v>30</v>
      </c>
      <c r="F32" s="484"/>
      <c r="G32" s="458" t="s">
        <v>420</v>
      </c>
      <c r="H32" s="458">
        <v>35000</v>
      </c>
      <c r="I32" s="485" t="s">
        <v>275</v>
      </c>
      <c r="J32" s="486" t="s">
        <v>421</v>
      </c>
      <c r="K32" s="451"/>
    </row>
    <row r="33" spans="1:11" ht="16.5" customHeight="1">
      <c r="A33" s="269"/>
      <c r="B33" s="394" t="s">
        <v>435</v>
      </c>
      <c r="C33" s="505">
        <v>7</v>
      </c>
      <c r="D33" s="394" t="s">
        <v>431</v>
      </c>
      <c r="E33" s="394"/>
      <c r="F33" s="394"/>
      <c r="G33" s="394"/>
      <c r="H33" s="394"/>
      <c r="I33" s="394"/>
      <c r="J33" s="394"/>
      <c r="K33" s="14"/>
    </row>
    <row r="34" spans="1:11" ht="16.5" customHeight="1">
      <c r="A34" s="269"/>
      <c r="B34" s="4" t="s">
        <v>430</v>
      </c>
      <c r="C34" s="59">
        <v>7</v>
      </c>
      <c r="D34" s="45" t="s">
        <v>431</v>
      </c>
      <c r="E34" s="47"/>
      <c r="F34" s="223"/>
      <c r="G34" s="223"/>
      <c r="H34" s="221"/>
      <c r="I34" s="6"/>
      <c r="J34" s="228"/>
      <c r="K34" s="14"/>
    </row>
    <row r="35" spans="1:11" ht="12.75">
      <c r="A35" s="132">
        <v>9</v>
      </c>
      <c r="B35" s="418" t="s">
        <v>456</v>
      </c>
      <c r="C35" s="98">
        <v>7</v>
      </c>
      <c r="D35" s="154" t="s">
        <v>424</v>
      </c>
      <c r="E35" s="200"/>
      <c r="F35" s="225">
        <v>18</v>
      </c>
      <c r="G35" s="272">
        <v>20000</v>
      </c>
      <c r="H35" s="223">
        <v>20000</v>
      </c>
      <c r="I35" s="6"/>
      <c r="J35" s="144" t="s">
        <v>331</v>
      </c>
      <c r="K35" s="324"/>
    </row>
    <row r="36" spans="1:11" ht="12.75">
      <c r="A36" s="269"/>
      <c r="B36" s="253"/>
      <c r="C36" s="98"/>
      <c r="D36" s="59"/>
      <c r="E36" s="200"/>
      <c r="F36" s="225"/>
      <c r="G36" s="225"/>
      <c r="H36" s="222"/>
      <c r="I36" s="59"/>
      <c r="J36" s="295"/>
      <c r="K36" s="324"/>
    </row>
    <row r="37" spans="1:11" ht="12.75">
      <c r="A37" s="269">
        <v>11</v>
      </c>
      <c r="B37" s="253" t="s">
        <v>332</v>
      </c>
      <c r="C37" s="98">
        <v>7</v>
      </c>
      <c r="D37" s="45" t="s">
        <v>333</v>
      </c>
      <c r="E37" s="200"/>
      <c r="F37" s="225">
        <v>31</v>
      </c>
      <c r="G37" s="272">
        <v>20000</v>
      </c>
      <c r="H37" s="222">
        <v>20000</v>
      </c>
      <c r="I37" s="6"/>
      <c r="J37" s="487" t="s">
        <v>331</v>
      </c>
      <c r="K37" s="324"/>
    </row>
    <row r="38" spans="1:11" ht="12.75">
      <c r="A38" s="482">
        <v>12</v>
      </c>
      <c r="B38" s="453" t="s">
        <v>363</v>
      </c>
      <c r="C38" s="488"/>
      <c r="D38" s="454" t="s">
        <v>457</v>
      </c>
      <c r="E38" s="489"/>
      <c r="F38" s="490">
        <v>15</v>
      </c>
      <c r="G38" s="458"/>
      <c r="H38" s="458"/>
      <c r="I38" s="479"/>
      <c r="J38" s="487"/>
      <c r="K38" s="491"/>
    </row>
    <row r="39" spans="1:11" ht="12.75">
      <c r="A39" s="482"/>
      <c r="B39" s="453"/>
      <c r="C39" s="492"/>
      <c r="D39" s="455"/>
      <c r="E39" s="493"/>
      <c r="F39" s="494"/>
      <c r="G39" s="494"/>
      <c r="H39" s="458"/>
      <c r="I39" s="495"/>
      <c r="J39" s="463"/>
      <c r="K39" s="496"/>
    </row>
    <row r="40" spans="1:11" ht="12.75">
      <c r="A40" s="482">
        <v>14</v>
      </c>
      <c r="B40" s="497" t="s">
        <v>366</v>
      </c>
      <c r="C40" s="454">
        <v>7</v>
      </c>
      <c r="D40" s="477" t="s">
        <v>426</v>
      </c>
      <c r="E40" s="456"/>
      <c r="F40" s="478"/>
      <c r="G40" s="478">
        <v>17500</v>
      </c>
      <c r="H40" s="478">
        <v>17500</v>
      </c>
      <c r="I40" s="479"/>
      <c r="J40" s="463" t="s">
        <v>331</v>
      </c>
      <c r="K40" s="491"/>
    </row>
    <row r="41" spans="1:11" ht="12.75">
      <c r="A41" s="269"/>
      <c r="B41" s="481"/>
      <c r="C41" s="492"/>
      <c r="D41" s="477"/>
      <c r="E41" s="456"/>
      <c r="F41" s="478"/>
      <c r="G41" s="478"/>
      <c r="H41" s="478"/>
      <c r="I41" s="498"/>
      <c r="J41" s="463"/>
      <c r="K41" s="324"/>
    </row>
    <row r="42" spans="1:11" ht="12.75">
      <c r="A42" s="269">
        <v>15</v>
      </c>
      <c r="B42" s="283" t="s">
        <v>290</v>
      </c>
      <c r="C42" s="340">
        <v>7</v>
      </c>
      <c r="D42" s="51" t="s">
        <v>427</v>
      </c>
      <c r="E42" s="52"/>
      <c r="F42" s="222"/>
      <c r="G42" s="222">
        <v>30000</v>
      </c>
      <c r="H42" s="222">
        <v>30000</v>
      </c>
      <c r="I42" s="221"/>
      <c r="J42" s="463" t="s">
        <v>428</v>
      </c>
      <c r="K42" s="324" t="s">
        <v>199</v>
      </c>
    </row>
    <row r="43" spans="1:11" ht="12.75">
      <c r="A43" s="2"/>
      <c r="B43" s="236" t="s">
        <v>177</v>
      </c>
      <c r="C43" s="6">
        <f>SUM(C28:C42)</f>
        <v>66</v>
      </c>
      <c r="D43" s="8"/>
      <c r="E43" s="11">
        <f>SUM(E28:E42)</f>
        <v>151</v>
      </c>
      <c r="F43" s="220"/>
      <c r="G43" s="220">
        <f t="shared" ref="G43:I43" si="2">SUM(G28:G42)</f>
        <v>228000</v>
      </c>
      <c r="H43" s="220">
        <f t="shared" si="2"/>
        <v>210500</v>
      </c>
      <c r="I43" s="220">
        <f t="shared" si="2"/>
        <v>0</v>
      </c>
      <c r="J43" s="238">
        <f>H43+I43</f>
        <v>210500</v>
      </c>
      <c r="K43" s="14"/>
    </row>
    <row r="44" spans="1:11" ht="12.75">
      <c r="A44" s="116"/>
      <c r="B44" s="29"/>
      <c r="C44" s="6"/>
      <c r="D44" s="118"/>
      <c r="E44" s="120"/>
      <c r="F44" s="255"/>
      <c r="G44" s="255"/>
      <c r="H44" s="116"/>
      <c r="I44" s="116"/>
      <c r="J44" s="100"/>
      <c r="K44" s="14"/>
    </row>
    <row r="45" spans="1:11" ht="12.75">
      <c r="A45" s="433"/>
      <c r="B45" s="234" t="s">
        <v>429</v>
      </c>
      <c r="C45" s="500">
        <v>7</v>
      </c>
      <c r="D45" s="234" t="s">
        <v>413</v>
      </c>
      <c r="E45" s="234">
        <v>30</v>
      </c>
      <c r="F45" s="234">
        <v>9</v>
      </c>
      <c r="G45" s="300">
        <v>26250</v>
      </c>
      <c r="H45" s="300">
        <v>7875</v>
      </c>
      <c r="I45" s="301"/>
      <c r="J45" s="403" t="s">
        <v>414</v>
      </c>
      <c r="K45" s="14"/>
    </row>
    <row r="46" spans="1:11" ht="12.75">
      <c r="A46" s="433"/>
      <c r="B46" s="4"/>
      <c r="C46" s="59"/>
      <c r="D46" s="45"/>
      <c r="E46" s="47"/>
      <c r="F46" s="223"/>
      <c r="G46" s="223"/>
      <c r="H46" s="222"/>
      <c r="I46" s="6"/>
      <c r="J46" s="228"/>
      <c r="K46" s="14"/>
    </row>
    <row r="47" spans="1:11" ht="12.75">
      <c r="A47" s="433"/>
      <c r="B47" s="4"/>
      <c r="C47" s="192"/>
      <c r="D47" s="45"/>
      <c r="E47" s="326"/>
      <c r="F47" s="220"/>
      <c r="G47" s="223"/>
      <c r="H47" s="223"/>
      <c r="I47" s="220"/>
      <c r="J47" s="338"/>
      <c r="K47" s="14"/>
    </row>
    <row r="48" spans="1:11" ht="12.75">
      <c r="A48" s="433"/>
      <c r="B48" s="310"/>
      <c r="C48" s="311"/>
      <c r="D48" s="312"/>
      <c r="E48" s="412"/>
      <c r="F48" s="315"/>
      <c r="G48" s="412"/>
      <c r="H48" s="315"/>
      <c r="I48" s="315"/>
      <c r="J48" s="329"/>
      <c r="K48" s="14"/>
    </row>
    <row r="49" spans="1:11" ht="12.75">
      <c r="A49" s="433"/>
      <c r="B49" s="434"/>
      <c r="C49" s="507"/>
      <c r="D49" s="436"/>
      <c r="E49" s="437"/>
      <c r="F49" s="438"/>
      <c r="G49" s="438"/>
      <c r="H49" s="438"/>
      <c r="I49" s="438"/>
      <c r="J49" s="439"/>
      <c r="K49" s="14"/>
    </row>
    <row r="50" spans="1:11" ht="12.75">
      <c r="A50" s="433"/>
      <c r="B50" s="236"/>
      <c r="C50" s="59"/>
      <c r="D50" s="45"/>
      <c r="E50" s="6"/>
      <c r="F50" s="220"/>
      <c r="G50" s="223"/>
      <c r="H50" s="223"/>
      <c r="I50" s="220"/>
      <c r="J50" s="440"/>
      <c r="K50" s="14"/>
    </row>
    <row r="51" spans="1:11" ht="12.75">
      <c r="A51" s="433"/>
      <c r="B51" s="328"/>
      <c r="C51" s="311"/>
      <c r="D51" s="312"/>
      <c r="E51" s="313"/>
      <c r="F51" s="314"/>
      <c r="G51" s="314"/>
      <c r="H51" s="315"/>
      <c r="I51" s="412"/>
      <c r="J51" s="413"/>
      <c r="K51" s="14"/>
    </row>
    <row r="52" spans="1:11" ht="12.75">
      <c r="A52" s="508"/>
      <c r="B52" s="342"/>
      <c r="C52" s="217"/>
      <c r="D52" s="129"/>
      <c r="E52" s="288"/>
      <c r="F52" s="289"/>
      <c r="G52" s="290"/>
      <c r="H52" s="291"/>
      <c r="I52" s="22"/>
      <c r="J52" s="240"/>
      <c r="K52" s="14"/>
    </row>
    <row r="53" spans="1:11" ht="12.75">
      <c r="A53" s="508"/>
      <c r="B53" s="342"/>
      <c r="C53" s="217"/>
      <c r="D53" s="129"/>
      <c r="E53" s="288"/>
      <c r="F53" s="289"/>
      <c r="G53" s="290"/>
      <c r="H53" s="291"/>
      <c r="I53" s="22"/>
      <c r="J53" s="240"/>
      <c r="K53" s="14"/>
    </row>
    <row r="54" spans="1:11" ht="12.75">
      <c r="A54" s="508"/>
      <c r="B54" s="342"/>
      <c r="C54" s="217"/>
      <c r="D54" s="129"/>
      <c r="E54" s="288"/>
      <c r="F54" s="289"/>
      <c r="G54" s="290"/>
      <c r="H54" s="291"/>
      <c r="I54" s="22"/>
      <c r="J54" s="240"/>
      <c r="K54" s="14"/>
    </row>
    <row r="55" spans="1:11" ht="63.75">
      <c r="A55" s="219" t="s">
        <v>5</v>
      </c>
      <c r="B55" s="342" t="s">
        <v>315</v>
      </c>
      <c r="C55" s="217" t="s">
        <v>159</v>
      </c>
      <c r="D55" s="129" t="s">
        <v>10</v>
      </c>
      <c r="E55" s="288" t="s">
        <v>243</v>
      </c>
      <c r="F55" s="289" t="s">
        <v>244</v>
      </c>
      <c r="G55" s="290" t="s">
        <v>245</v>
      </c>
      <c r="H55" s="291" t="s">
        <v>246</v>
      </c>
      <c r="I55" s="22" t="s">
        <v>13</v>
      </c>
      <c r="J55" s="240" t="s">
        <v>162</v>
      </c>
      <c r="K55" s="14"/>
    </row>
    <row r="56" spans="1:11" ht="12.75">
      <c r="A56" s="132">
        <v>1</v>
      </c>
      <c r="B56" s="4" t="s">
        <v>134</v>
      </c>
      <c r="C56" s="59"/>
      <c r="D56" s="51"/>
      <c r="E56" s="47"/>
      <c r="F56" s="47"/>
      <c r="G56" s="223"/>
      <c r="H56" s="221"/>
      <c r="I56" s="6"/>
      <c r="J56" s="100"/>
      <c r="K56" s="14"/>
    </row>
    <row r="57" spans="1:11" ht="12.75">
      <c r="A57" s="132">
        <v>2</v>
      </c>
      <c r="B57" s="4" t="s">
        <v>448</v>
      </c>
      <c r="C57" s="59">
        <v>10</v>
      </c>
      <c r="D57" s="144" t="s">
        <v>449</v>
      </c>
      <c r="E57" s="47"/>
      <c r="F57" s="47"/>
      <c r="G57" s="223"/>
      <c r="H57" s="221"/>
      <c r="I57" s="6"/>
      <c r="J57" s="192" t="s">
        <v>118</v>
      </c>
      <c r="K57" s="14"/>
    </row>
    <row r="58" spans="1:11" ht="12.75">
      <c r="A58" s="132">
        <v>3</v>
      </c>
      <c r="B58" s="4" t="s">
        <v>450</v>
      </c>
      <c r="C58" s="59">
        <v>7</v>
      </c>
      <c r="D58" s="234" t="s">
        <v>451</v>
      </c>
      <c r="E58" s="47">
        <v>90</v>
      </c>
      <c r="F58" s="47">
        <v>30</v>
      </c>
      <c r="G58" s="223"/>
      <c r="H58" s="221"/>
      <c r="I58" s="6"/>
      <c r="J58" s="144" t="s">
        <v>452</v>
      </c>
      <c r="K58" s="14"/>
    </row>
    <row r="59" spans="1:11" ht="12.75">
      <c r="A59" s="132">
        <v>4</v>
      </c>
      <c r="B59" s="4" t="s">
        <v>453</v>
      </c>
      <c r="C59" s="59">
        <v>7</v>
      </c>
      <c r="D59" s="59" t="s">
        <v>465</v>
      </c>
      <c r="E59" s="47">
        <v>30</v>
      </c>
      <c r="F59" s="47">
        <v>30</v>
      </c>
      <c r="G59" s="223"/>
      <c r="H59" s="222">
        <v>26250</v>
      </c>
      <c r="I59" s="6"/>
      <c r="J59" s="144" t="s">
        <v>455</v>
      </c>
      <c r="K59" s="14"/>
    </row>
    <row r="60" spans="1:11" ht="12.75">
      <c r="A60" s="132">
        <v>5</v>
      </c>
      <c r="B60" s="4" t="s">
        <v>466</v>
      </c>
      <c r="C60" s="59">
        <v>5</v>
      </c>
      <c r="D60" s="59" t="s">
        <v>467</v>
      </c>
      <c r="E60" s="47"/>
      <c r="F60" s="47"/>
      <c r="G60" s="223"/>
      <c r="H60" s="221"/>
      <c r="I60" s="6"/>
      <c r="J60" s="144" t="s">
        <v>118</v>
      </c>
      <c r="K60" s="14"/>
    </row>
    <row r="61" spans="1:11" ht="12.75">
      <c r="A61" s="132">
        <v>6</v>
      </c>
      <c r="B61" s="4" t="s">
        <v>468</v>
      </c>
      <c r="C61" s="59">
        <v>5</v>
      </c>
      <c r="D61" s="59" t="s">
        <v>467</v>
      </c>
      <c r="E61" s="47"/>
      <c r="F61" s="47"/>
      <c r="G61" s="223"/>
      <c r="H61" s="221"/>
      <c r="I61" s="6"/>
      <c r="J61" s="144" t="s">
        <v>118</v>
      </c>
      <c r="K61" s="14"/>
    </row>
    <row r="62" spans="1:11" ht="12.75">
      <c r="A62" s="132">
        <v>7</v>
      </c>
      <c r="B62" s="4" t="s">
        <v>469</v>
      </c>
      <c r="C62" s="14">
        <f>SUM(C55:C61)</f>
        <v>34</v>
      </c>
      <c r="D62" s="8"/>
      <c r="E62" s="52"/>
      <c r="F62" s="221"/>
      <c r="G62" s="236" t="s">
        <v>177</v>
      </c>
      <c r="H62" s="264">
        <f>SUM(H56:I61)</f>
        <v>26250</v>
      </c>
      <c r="I62" s="59"/>
      <c r="J62" s="260"/>
      <c r="K62" s="14"/>
    </row>
    <row r="63" spans="1:11" ht="12.75">
      <c r="A63" s="2"/>
      <c r="B63" s="29"/>
      <c r="C63" s="6"/>
      <c r="D63" s="8"/>
      <c r="E63" s="11"/>
      <c r="F63" s="220"/>
      <c r="G63" s="220"/>
      <c r="H63" s="6"/>
      <c r="I63" s="6"/>
      <c r="J63" s="100"/>
      <c r="K63" s="14"/>
    </row>
    <row r="64" spans="1:11" ht="63.75">
      <c r="A64" s="219" t="s">
        <v>5</v>
      </c>
      <c r="B64" s="335" t="s">
        <v>375</v>
      </c>
      <c r="C64" s="217"/>
      <c r="D64" s="129" t="s">
        <v>10</v>
      </c>
      <c r="E64" s="288" t="s">
        <v>243</v>
      </c>
      <c r="F64" s="289" t="s">
        <v>244</v>
      </c>
      <c r="G64" s="290" t="s">
        <v>245</v>
      </c>
      <c r="H64" s="291" t="s">
        <v>246</v>
      </c>
      <c r="I64" s="22" t="s">
        <v>13</v>
      </c>
      <c r="J64" s="240" t="s">
        <v>162</v>
      </c>
      <c r="K64" s="14"/>
    </row>
    <row r="65" spans="1:11" ht="12.75">
      <c r="A65" s="2">
        <v>1</v>
      </c>
      <c r="B65" s="4" t="s">
        <v>101</v>
      </c>
      <c r="C65" s="59"/>
      <c r="D65" s="45" t="s">
        <v>148</v>
      </c>
      <c r="E65" s="47">
        <v>31</v>
      </c>
      <c r="F65" s="223">
        <v>31</v>
      </c>
      <c r="G65" s="223">
        <v>27000</v>
      </c>
      <c r="H65" s="223">
        <v>27000</v>
      </c>
      <c r="I65" s="6"/>
      <c r="J65" s="144" t="s">
        <v>331</v>
      </c>
      <c r="K65" s="340"/>
    </row>
    <row r="66" spans="1:11" ht="12.75">
      <c r="A66" s="116"/>
      <c r="B66" s="172"/>
      <c r="C66" s="116"/>
      <c r="D66" s="118"/>
      <c r="E66" s="120"/>
      <c r="F66" s="255"/>
      <c r="G66" s="236" t="s">
        <v>177</v>
      </c>
      <c r="H66" s="336">
        <f>SUM(H65:I65)</f>
        <v>27000</v>
      </c>
      <c r="I66" s="116"/>
      <c r="J66" s="100"/>
      <c r="K66" s="14"/>
    </row>
    <row r="67" spans="1:11" ht="63.75">
      <c r="A67" s="219" t="s">
        <v>5</v>
      </c>
      <c r="B67" s="177" t="s">
        <v>106</v>
      </c>
      <c r="C67" s="217"/>
      <c r="D67" s="129" t="s">
        <v>10</v>
      </c>
      <c r="E67" s="288" t="s">
        <v>243</v>
      </c>
      <c r="F67" s="289" t="s">
        <v>244</v>
      </c>
      <c r="G67" s="290" t="s">
        <v>245</v>
      </c>
      <c r="H67" s="291" t="s">
        <v>246</v>
      </c>
      <c r="I67" s="22" t="s">
        <v>13</v>
      </c>
      <c r="J67" s="240" t="s">
        <v>162</v>
      </c>
      <c r="K67" s="14"/>
    </row>
    <row r="68" spans="1:11" ht="12.75">
      <c r="A68" s="100">
        <v>1</v>
      </c>
      <c r="B68" s="181" t="s">
        <v>101</v>
      </c>
      <c r="C68" s="144"/>
      <c r="D68" s="203" t="s">
        <v>148</v>
      </c>
      <c r="E68" s="103">
        <v>31</v>
      </c>
      <c r="F68" s="258">
        <v>31</v>
      </c>
      <c r="G68" s="258">
        <v>25000</v>
      </c>
      <c r="H68" s="258">
        <v>25000</v>
      </c>
      <c r="I68" s="100"/>
      <c r="J68" s="144" t="s">
        <v>331</v>
      </c>
      <c r="K68" s="340"/>
    </row>
    <row r="69" spans="1:11" ht="12.75">
      <c r="A69" s="14"/>
      <c r="B69" s="183"/>
      <c r="C69" s="14"/>
      <c r="D69" s="185"/>
      <c r="E69" s="35"/>
      <c r="F69" s="209"/>
      <c r="G69" s="236" t="s">
        <v>177</v>
      </c>
      <c r="H69" s="336">
        <f>SUM(H68:I68)</f>
        <v>25000</v>
      </c>
      <c r="I69" s="14"/>
      <c r="J69" s="100"/>
      <c r="K69" s="14"/>
    </row>
    <row r="70" spans="1:11" ht="63.75">
      <c r="A70" s="219" t="s">
        <v>5</v>
      </c>
      <c r="B70" s="191" t="s">
        <v>122</v>
      </c>
      <c r="C70" s="189"/>
      <c r="D70" s="129" t="s">
        <v>10</v>
      </c>
      <c r="E70" s="288" t="s">
        <v>243</v>
      </c>
      <c r="F70" s="289" t="s">
        <v>244</v>
      </c>
      <c r="G70" s="290" t="s">
        <v>245</v>
      </c>
      <c r="H70" s="291" t="s">
        <v>246</v>
      </c>
      <c r="I70" s="22" t="s">
        <v>13</v>
      </c>
      <c r="J70" s="240" t="s">
        <v>162</v>
      </c>
      <c r="K70" s="33" t="s">
        <v>470</v>
      </c>
    </row>
    <row r="71" spans="1:11" ht="12.75">
      <c r="A71" s="2" t="s">
        <v>114</v>
      </c>
      <c r="B71" s="4" t="s">
        <v>128</v>
      </c>
      <c r="C71" s="59"/>
      <c r="D71" s="45" t="s">
        <v>148</v>
      </c>
      <c r="E71" s="47">
        <v>31</v>
      </c>
      <c r="F71" s="47">
        <v>31</v>
      </c>
      <c r="G71" s="223">
        <v>25000</v>
      </c>
      <c r="H71" s="221">
        <f>G71/E71*F71</f>
        <v>25000</v>
      </c>
      <c r="I71" s="6"/>
      <c r="J71" s="144" t="s">
        <v>331</v>
      </c>
      <c r="K71" s="14"/>
    </row>
    <row r="72" spans="1:11" ht="12.75">
      <c r="A72" s="59" t="s">
        <v>151</v>
      </c>
      <c r="B72" s="4"/>
      <c r="C72" s="59"/>
      <c r="D72" s="45"/>
      <c r="E72" s="47"/>
      <c r="F72" s="47"/>
      <c r="G72" s="223"/>
      <c r="H72" s="221"/>
      <c r="I72" s="6"/>
      <c r="J72" s="338"/>
      <c r="K72" s="14"/>
    </row>
    <row r="73" spans="1:11" ht="12.75">
      <c r="A73" s="59" t="s">
        <v>152</v>
      </c>
      <c r="B73" s="253" t="s">
        <v>332</v>
      </c>
      <c r="C73" s="59"/>
      <c r="D73" s="45" t="s">
        <v>378</v>
      </c>
      <c r="E73" s="47">
        <v>31</v>
      </c>
      <c r="F73" s="47">
        <v>31</v>
      </c>
      <c r="G73" s="223">
        <v>21250</v>
      </c>
      <c r="H73" s="221">
        <f>G73/E73*F73</f>
        <v>21250</v>
      </c>
      <c r="I73" s="6"/>
      <c r="J73" s="260" t="s">
        <v>331</v>
      </c>
      <c r="K73" s="33" t="s">
        <v>380</v>
      </c>
    </row>
    <row r="74" spans="1:11" ht="12.75">
      <c r="A74" s="454" t="s">
        <v>153</v>
      </c>
      <c r="B74" s="481"/>
      <c r="C74" s="454"/>
      <c r="D74" s="477"/>
      <c r="E74" s="456"/>
      <c r="F74" s="456"/>
      <c r="G74" s="478"/>
      <c r="H74" s="498"/>
      <c r="I74" s="479"/>
      <c r="J74" s="463" t="s">
        <v>331</v>
      </c>
      <c r="K74" s="501"/>
    </row>
    <row r="75" spans="1:11" ht="12.75">
      <c r="A75" s="454" t="s">
        <v>132</v>
      </c>
      <c r="B75" s="453" t="s">
        <v>471</v>
      </c>
      <c r="C75" s="454"/>
      <c r="D75" s="477" t="s">
        <v>472</v>
      </c>
      <c r="E75" s="456"/>
      <c r="F75" s="456"/>
      <c r="G75" s="478"/>
      <c r="H75" s="498"/>
      <c r="I75" s="479"/>
      <c r="J75" s="463" t="s">
        <v>331</v>
      </c>
      <c r="K75" s="501"/>
    </row>
    <row r="76" spans="1:11" ht="12.75">
      <c r="A76" s="14"/>
      <c r="B76" s="183"/>
      <c r="C76" s="14"/>
      <c r="D76" s="185"/>
      <c r="E76" s="35"/>
      <c r="F76" s="209"/>
      <c r="G76" s="236" t="s">
        <v>177</v>
      </c>
      <c r="H76" s="264">
        <f>SUM(H71:I75)</f>
        <v>46250</v>
      </c>
      <c r="I76" s="14"/>
      <c r="J76" s="100"/>
      <c r="K76" s="14"/>
    </row>
    <row r="77" spans="1:11" ht="63.75">
      <c r="A77" s="219" t="s">
        <v>5</v>
      </c>
      <c r="B77" s="196" t="s">
        <v>111</v>
      </c>
      <c r="C77" s="189"/>
      <c r="D77" s="129" t="s">
        <v>10</v>
      </c>
      <c r="E77" s="288" t="s">
        <v>243</v>
      </c>
      <c r="F77" s="289" t="s">
        <v>244</v>
      </c>
      <c r="G77" s="290" t="s">
        <v>245</v>
      </c>
      <c r="H77" s="291" t="s">
        <v>246</v>
      </c>
      <c r="I77" s="22" t="s">
        <v>13</v>
      </c>
      <c r="J77" s="240" t="s">
        <v>162</v>
      </c>
      <c r="K77" s="14"/>
    </row>
    <row r="78" spans="1:11" ht="12.75">
      <c r="A78" s="2" t="s">
        <v>114</v>
      </c>
      <c r="B78" s="339" t="s">
        <v>382</v>
      </c>
      <c r="C78" s="59"/>
      <c r="D78" s="45" t="s">
        <v>148</v>
      </c>
      <c r="E78" s="47">
        <v>31</v>
      </c>
      <c r="F78" s="47">
        <v>31</v>
      </c>
      <c r="G78" s="223">
        <v>7447.74</v>
      </c>
      <c r="H78" s="223">
        <v>7447.74</v>
      </c>
      <c r="I78" s="6"/>
      <c r="J78" s="144" t="s">
        <v>331</v>
      </c>
      <c r="K78" s="14"/>
    </row>
    <row r="79" spans="1:11" ht="12.75">
      <c r="A79" s="6" t="s">
        <v>119</v>
      </c>
      <c r="B79" s="339" t="s">
        <v>382</v>
      </c>
      <c r="C79" s="59"/>
      <c r="D79" s="45" t="s">
        <v>148</v>
      </c>
      <c r="E79" s="47">
        <v>31</v>
      </c>
      <c r="F79" s="47">
        <v>31</v>
      </c>
      <c r="G79" s="223">
        <v>6406.4</v>
      </c>
      <c r="H79" s="223">
        <v>6406.4</v>
      </c>
      <c r="I79" s="6"/>
      <c r="J79" s="144" t="s">
        <v>331</v>
      </c>
      <c r="K79" s="14"/>
    </row>
    <row r="80" spans="1:11" ht="12.75">
      <c r="A80" s="116"/>
      <c r="B80" s="502" t="s">
        <v>436</v>
      </c>
      <c r="C80" s="116"/>
      <c r="D80" s="118"/>
      <c r="E80" s="120"/>
      <c r="F80" s="255"/>
      <c r="G80" s="236" t="s">
        <v>177</v>
      </c>
      <c r="H80" s="351">
        <v>13853.84</v>
      </c>
      <c r="I80" s="116"/>
      <c r="J80" s="150"/>
      <c r="K80" s="14"/>
    </row>
    <row r="81" spans="1:11" ht="63.75">
      <c r="A81" s="219" t="s">
        <v>5</v>
      </c>
      <c r="B81" s="342" t="s">
        <v>437</v>
      </c>
      <c r="C81" s="187"/>
      <c r="D81" s="129" t="s">
        <v>10</v>
      </c>
      <c r="E81" s="288" t="s">
        <v>243</v>
      </c>
      <c r="F81" s="289" t="s">
        <v>244</v>
      </c>
      <c r="G81" s="290" t="s">
        <v>245</v>
      </c>
      <c r="H81" s="291" t="s">
        <v>246</v>
      </c>
      <c r="I81" s="22" t="s">
        <v>13</v>
      </c>
      <c r="J81" s="240" t="s">
        <v>162</v>
      </c>
      <c r="K81" s="14"/>
    </row>
    <row r="82" spans="1:11" ht="51">
      <c r="A82" s="482" t="s">
        <v>114</v>
      </c>
      <c r="B82" s="481" t="s">
        <v>438</v>
      </c>
      <c r="C82" s="454"/>
      <c r="D82" s="477" t="s">
        <v>413</v>
      </c>
      <c r="E82" s="456">
        <v>30</v>
      </c>
      <c r="F82" s="456">
        <v>9</v>
      </c>
      <c r="G82" s="478"/>
      <c r="H82" s="498"/>
      <c r="I82" s="479"/>
      <c r="J82" s="503" t="s">
        <v>439</v>
      </c>
      <c r="K82" s="1206"/>
    </row>
    <row r="83" spans="1:11" ht="12.75">
      <c r="A83" s="383" t="s">
        <v>119</v>
      </c>
      <c r="B83" s="441"/>
      <c r="C83" s="385"/>
      <c r="D83" s="385"/>
      <c r="E83" s="386">
        <v>31</v>
      </c>
      <c r="F83" s="386">
        <v>31</v>
      </c>
      <c r="G83" s="387"/>
      <c r="H83" s="388"/>
      <c r="I83" s="423"/>
      <c r="J83" s="330"/>
      <c r="K83" s="1205"/>
    </row>
    <row r="84" spans="1:11" ht="12.75">
      <c r="A84" s="132"/>
      <c r="B84" s="4"/>
      <c r="C84" s="6"/>
      <c r="D84" s="45"/>
      <c r="E84" s="52"/>
      <c r="F84" s="221"/>
      <c r="G84" s="236" t="s">
        <v>177</v>
      </c>
      <c r="H84" s="264">
        <f>SUM(H82:I83)</f>
        <v>0</v>
      </c>
      <c r="I84" s="59"/>
      <c r="J84" s="260"/>
      <c r="K84" s="341"/>
    </row>
    <row r="85" spans="1:11" ht="12.75">
      <c r="A85" s="14"/>
      <c r="C85" s="499"/>
      <c r="F85" s="286"/>
      <c r="G85" s="286"/>
    </row>
    <row r="86" spans="1:11" ht="63.75">
      <c r="A86" s="219" t="s">
        <v>5</v>
      </c>
      <c r="B86" s="342" t="s">
        <v>441</v>
      </c>
      <c r="C86" s="187"/>
      <c r="D86" s="129" t="s">
        <v>10</v>
      </c>
      <c r="E86" s="288" t="s">
        <v>243</v>
      </c>
      <c r="F86" s="289" t="s">
        <v>244</v>
      </c>
      <c r="G86" s="290" t="s">
        <v>245</v>
      </c>
      <c r="H86" s="291" t="s">
        <v>246</v>
      </c>
      <c r="I86" s="22" t="s">
        <v>13</v>
      </c>
      <c r="J86" s="240" t="s">
        <v>162</v>
      </c>
      <c r="K86" s="14"/>
    </row>
    <row r="87" spans="1:11" ht="12.75">
      <c r="A87" s="2" t="s">
        <v>114</v>
      </c>
      <c r="B87" s="4" t="s">
        <v>442</v>
      </c>
      <c r="C87" s="59"/>
      <c r="D87" s="51" t="s">
        <v>443</v>
      </c>
      <c r="E87" s="47"/>
      <c r="F87" s="47"/>
      <c r="G87" s="223">
        <v>22500</v>
      </c>
      <c r="H87" s="222">
        <v>12750</v>
      </c>
      <c r="I87" s="6"/>
      <c r="J87" s="230"/>
      <c r="K87" s="1204" t="s">
        <v>314</v>
      </c>
    </row>
    <row r="88" spans="1:11" ht="12.75">
      <c r="A88" s="452" t="s">
        <v>119</v>
      </c>
      <c r="B88" s="481" t="s">
        <v>444</v>
      </c>
      <c r="C88" s="454"/>
      <c r="D88" s="454" t="s">
        <v>148</v>
      </c>
      <c r="E88" s="456"/>
      <c r="F88" s="456"/>
      <c r="G88" s="478">
        <v>19000</v>
      </c>
      <c r="H88" s="478">
        <v>19000</v>
      </c>
      <c r="I88" s="479"/>
      <c r="J88" s="463"/>
      <c r="K88" s="1205"/>
    </row>
    <row r="89" spans="1:11" ht="12.75">
      <c r="A89" s="132"/>
      <c r="B89" s="4"/>
      <c r="C89" s="6"/>
      <c r="D89" s="45"/>
      <c r="E89" s="52"/>
      <c r="F89" s="221"/>
      <c r="G89" s="236" t="s">
        <v>177</v>
      </c>
      <c r="H89" s="264">
        <f>SUM(H87:I88)</f>
        <v>31750</v>
      </c>
      <c r="I89" s="59"/>
      <c r="J89" s="260"/>
      <c r="K89" s="341"/>
    </row>
    <row r="90" spans="1:11" ht="12.75">
      <c r="A90" s="14"/>
      <c r="C90" s="499"/>
      <c r="F90" s="286"/>
      <c r="G90" s="286"/>
    </row>
    <row r="91" spans="1:11" ht="63.75">
      <c r="A91" s="219" t="s">
        <v>5</v>
      </c>
      <c r="B91" s="342" t="s">
        <v>445</v>
      </c>
      <c r="C91" s="187"/>
      <c r="D91" s="129" t="s">
        <v>10</v>
      </c>
      <c r="E91" s="288" t="s">
        <v>243</v>
      </c>
      <c r="F91" s="289" t="s">
        <v>244</v>
      </c>
      <c r="G91" s="290" t="s">
        <v>245</v>
      </c>
      <c r="H91" s="291" t="s">
        <v>246</v>
      </c>
      <c r="I91" s="22" t="s">
        <v>13</v>
      </c>
      <c r="J91" s="240" t="s">
        <v>162</v>
      </c>
      <c r="K91" s="14"/>
    </row>
    <row r="92" spans="1:11" ht="12.75">
      <c r="A92" s="2" t="s">
        <v>114</v>
      </c>
      <c r="B92" s="4" t="s">
        <v>446</v>
      </c>
      <c r="C92" s="59"/>
      <c r="D92" s="51" t="s">
        <v>473</v>
      </c>
      <c r="E92" s="47">
        <v>90</v>
      </c>
      <c r="F92" s="47">
        <v>16</v>
      </c>
      <c r="G92" s="223">
        <v>22500</v>
      </c>
      <c r="H92" s="222">
        <v>22500</v>
      </c>
      <c r="I92" s="6"/>
      <c r="J92" s="230"/>
      <c r="K92" s="1204" t="s">
        <v>314</v>
      </c>
    </row>
    <row r="93" spans="1:11" ht="12.75">
      <c r="A93" s="452" t="s">
        <v>119</v>
      </c>
      <c r="B93" s="481" t="s">
        <v>474</v>
      </c>
      <c r="C93" s="454"/>
      <c r="D93" s="454" t="s">
        <v>431</v>
      </c>
      <c r="E93" s="456"/>
      <c r="F93" s="456"/>
      <c r="G93" s="478"/>
      <c r="H93" s="498"/>
      <c r="I93" s="479"/>
      <c r="J93" s="463" t="s">
        <v>118</v>
      </c>
      <c r="K93" s="1205"/>
    </row>
    <row r="94" spans="1:11" ht="12.75">
      <c r="A94" s="132"/>
      <c r="B94" s="4"/>
      <c r="C94" s="6"/>
      <c r="D94" s="45"/>
      <c r="E94" s="52"/>
      <c r="F94" s="221"/>
      <c r="G94" s="236" t="s">
        <v>177</v>
      </c>
      <c r="H94" s="264">
        <f>SUM(H92:I93)</f>
        <v>22500</v>
      </c>
      <c r="I94" s="59"/>
      <c r="J94" s="260"/>
      <c r="K94" s="341"/>
    </row>
    <row r="95" spans="1:11" ht="12.75">
      <c r="A95" s="14"/>
      <c r="C95" s="499"/>
      <c r="F95" s="286"/>
      <c r="G95" s="286"/>
    </row>
    <row r="96" spans="1:11" ht="12.75">
      <c r="A96" s="14"/>
      <c r="B96" s="183"/>
      <c r="C96" s="14"/>
      <c r="D96" s="185"/>
      <c r="E96" s="35"/>
      <c r="F96" s="209"/>
      <c r="G96" s="209"/>
      <c r="H96" s="14"/>
      <c r="I96" s="14"/>
      <c r="J96" s="14"/>
      <c r="K96" s="14"/>
    </row>
    <row r="97" spans="1:11" ht="12.75">
      <c r="C97" s="499"/>
      <c r="K97" s="287"/>
    </row>
    <row r="98" spans="1:11" ht="63.75">
      <c r="A98" s="219" t="s">
        <v>5</v>
      </c>
      <c r="B98" s="342" t="s">
        <v>316</v>
      </c>
      <c r="C98" s="217"/>
      <c r="D98" s="129" t="s">
        <v>10</v>
      </c>
      <c r="E98" s="288" t="s">
        <v>243</v>
      </c>
      <c r="F98" s="289" t="s">
        <v>244</v>
      </c>
      <c r="G98" s="290" t="s">
        <v>245</v>
      </c>
      <c r="H98" s="291" t="s">
        <v>246</v>
      </c>
      <c r="I98" s="22" t="s">
        <v>13</v>
      </c>
      <c r="J98" s="240" t="s">
        <v>162</v>
      </c>
      <c r="K98" s="287"/>
    </row>
    <row r="99" spans="1:11" ht="12.75">
      <c r="A99" s="132" t="s">
        <v>458</v>
      </c>
      <c r="B99" s="4" t="s">
        <v>317</v>
      </c>
      <c r="C99" s="59"/>
      <c r="D99" s="51"/>
      <c r="E99" s="47"/>
      <c r="F99" s="47"/>
      <c r="G99" s="353">
        <v>28000</v>
      </c>
      <c r="H99" s="353">
        <v>28000</v>
      </c>
      <c r="I99" s="6"/>
      <c r="J99" s="144" t="s">
        <v>210</v>
      </c>
      <c r="K99" s="287"/>
    </row>
    <row r="100" spans="1:11" ht="12.75">
      <c r="A100" s="132" t="s">
        <v>459</v>
      </c>
      <c r="B100" s="4" t="s">
        <v>392</v>
      </c>
      <c r="C100" s="6"/>
      <c r="D100" s="8"/>
      <c r="E100" s="52"/>
      <c r="F100" s="221"/>
      <c r="G100" s="449">
        <v>21250</v>
      </c>
      <c r="H100" s="449">
        <v>21250</v>
      </c>
      <c r="I100" s="59"/>
      <c r="J100" s="260" t="s">
        <v>331</v>
      </c>
      <c r="K100" s="325" t="s">
        <v>393</v>
      </c>
    </row>
    <row r="101" spans="1:11" ht="12.75">
      <c r="A101" s="132" t="s">
        <v>460</v>
      </c>
      <c r="B101" s="4" t="s">
        <v>461</v>
      </c>
      <c r="C101" s="6"/>
      <c r="D101" s="8"/>
      <c r="E101" s="52"/>
      <c r="F101" s="221"/>
      <c r="G101" s="355"/>
      <c r="H101" s="356"/>
      <c r="I101" s="59"/>
      <c r="J101" s="260"/>
      <c r="K101" s="287"/>
    </row>
    <row r="102" spans="1:11" ht="12.75">
      <c r="A102" s="132"/>
      <c r="B102" s="29"/>
      <c r="C102" s="6"/>
      <c r="D102" s="8"/>
      <c r="E102" s="52"/>
      <c r="F102" s="221"/>
      <c r="G102" s="236" t="s">
        <v>177</v>
      </c>
      <c r="H102" s="264">
        <f>SUM(H99:H101)</f>
        <v>49250</v>
      </c>
      <c r="I102" s="59"/>
      <c r="J102" s="260"/>
      <c r="K102" s="287"/>
    </row>
    <row r="103" spans="1:11" ht="12.75">
      <c r="C103" s="499"/>
      <c r="K103" s="287"/>
    </row>
    <row r="104" spans="1:11" ht="12.75">
      <c r="C104" s="499"/>
      <c r="K104" s="287"/>
    </row>
    <row r="105" spans="1:11" ht="63.75">
      <c r="A105" s="357" t="s">
        <v>5</v>
      </c>
      <c r="B105" s="358" t="s">
        <v>319</v>
      </c>
      <c r="C105" s="510"/>
      <c r="D105" s="360" t="s">
        <v>10</v>
      </c>
      <c r="E105" s="361" t="s">
        <v>243</v>
      </c>
      <c r="F105" s="362" t="s">
        <v>244</v>
      </c>
      <c r="G105" s="362" t="s">
        <v>245</v>
      </c>
      <c r="H105" s="363" t="s">
        <v>246</v>
      </c>
      <c r="I105" s="363" t="s">
        <v>13</v>
      </c>
      <c r="J105" s="364" t="s">
        <v>162</v>
      </c>
      <c r="K105" s="287"/>
    </row>
    <row r="106" spans="1:11" ht="12.75">
      <c r="A106" s="365">
        <v>14</v>
      </c>
      <c r="B106" s="371" t="s">
        <v>317</v>
      </c>
      <c r="C106" s="511"/>
      <c r="D106" s="457" t="s">
        <v>462</v>
      </c>
      <c r="E106" s="12"/>
      <c r="F106" s="12"/>
      <c r="G106" s="459">
        <v>25000</v>
      </c>
      <c r="H106" s="459">
        <v>25000</v>
      </c>
      <c r="I106" s="7"/>
      <c r="J106" s="144" t="s">
        <v>210</v>
      </c>
      <c r="K106" s="287"/>
    </row>
    <row r="107" spans="1:11" ht="12.75">
      <c r="A107" s="370">
        <v>38</v>
      </c>
      <c r="B107" s="371" t="s">
        <v>290</v>
      </c>
      <c r="C107" s="511"/>
      <c r="D107" s="371" t="s">
        <v>463</v>
      </c>
      <c r="E107" s="50"/>
      <c r="F107" s="368"/>
      <c r="G107" s="461">
        <v>22000</v>
      </c>
      <c r="H107" s="374">
        <v>22000</v>
      </c>
      <c r="I107" s="7"/>
      <c r="J107" s="375" t="s">
        <v>210</v>
      </c>
      <c r="K107" s="287"/>
    </row>
    <row r="108" spans="1:11" ht="12.75">
      <c r="A108" s="370"/>
      <c r="B108" s="371"/>
      <c r="C108" s="511"/>
      <c r="D108" s="372"/>
      <c r="E108" s="50"/>
      <c r="F108" s="368"/>
      <c r="G108" s="376" t="s">
        <v>177</v>
      </c>
      <c r="H108" s="377">
        <f>SUM(H107+H106)</f>
        <v>47000</v>
      </c>
      <c r="I108" s="7"/>
      <c r="J108" s="378"/>
      <c r="K108" s="287"/>
    </row>
    <row r="109" spans="1:11" ht="12.75">
      <c r="C109" s="499"/>
      <c r="J109" s="287"/>
      <c r="K109" s="287"/>
    </row>
    <row r="110" spans="1:11" ht="12.75">
      <c r="C110" s="499"/>
    </row>
    <row r="111" spans="1:11" ht="63.75">
      <c r="A111" s="219" t="s">
        <v>5</v>
      </c>
      <c r="B111" s="342" t="s">
        <v>323</v>
      </c>
      <c r="C111" s="187"/>
      <c r="D111" s="129" t="s">
        <v>10</v>
      </c>
      <c r="E111" s="288" t="s">
        <v>243</v>
      </c>
      <c r="F111" s="289" t="s">
        <v>244</v>
      </c>
      <c r="G111" s="290" t="s">
        <v>245</v>
      </c>
      <c r="H111" s="291" t="s">
        <v>246</v>
      </c>
      <c r="I111" s="22" t="s">
        <v>13</v>
      </c>
      <c r="J111" s="240" t="s">
        <v>162</v>
      </c>
    </row>
    <row r="112" spans="1:11" ht="12.75">
      <c r="A112" s="2" t="s">
        <v>114</v>
      </c>
      <c r="B112" s="4" t="s">
        <v>442</v>
      </c>
      <c r="C112" s="59"/>
      <c r="D112" s="51" t="s">
        <v>464</v>
      </c>
      <c r="E112" s="47"/>
      <c r="F112" s="47"/>
      <c r="G112" s="223">
        <v>22500</v>
      </c>
      <c r="H112" s="222">
        <v>22500</v>
      </c>
      <c r="I112" s="6"/>
      <c r="J112" s="230" t="s">
        <v>210</v>
      </c>
    </row>
    <row r="113" spans="1:11" ht="12.75">
      <c r="A113" s="452"/>
      <c r="B113" s="481"/>
      <c r="C113" s="454"/>
      <c r="D113" s="454"/>
      <c r="E113" s="456"/>
      <c r="F113" s="456"/>
      <c r="G113" s="478"/>
      <c r="H113" s="498"/>
      <c r="I113" s="479"/>
      <c r="J113" s="463"/>
      <c r="K113" s="509"/>
    </row>
    <row r="114" spans="1:11" ht="12.75">
      <c r="A114" s="132"/>
      <c r="B114" s="29"/>
      <c r="C114" s="6"/>
      <c r="D114" s="8"/>
      <c r="E114" s="52"/>
      <c r="F114" s="221"/>
      <c r="G114" s="236" t="s">
        <v>177</v>
      </c>
      <c r="H114" s="264">
        <f>SUM(H112:I113)</f>
        <v>22500</v>
      </c>
      <c r="I114" s="59"/>
      <c r="J114" s="260"/>
    </row>
    <row r="115" spans="1:11" ht="12.75">
      <c r="C115" s="499"/>
    </row>
    <row r="116" spans="1:11" ht="12.75">
      <c r="C116" s="499"/>
    </row>
    <row r="117" spans="1:11" ht="63.75">
      <c r="A117" s="219" t="s">
        <v>5</v>
      </c>
      <c r="B117" s="342" t="s">
        <v>325</v>
      </c>
      <c r="C117" s="187"/>
      <c r="D117" s="129" t="s">
        <v>10</v>
      </c>
      <c r="E117" s="288" t="s">
        <v>243</v>
      </c>
      <c r="F117" s="289" t="s">
        <v>244</v>
      </c>
      <c r="G117" s="290" t="s">
        <v>245</v>
      </c>
      <c r="H117" s="291" t="s">
        <v>246</v>
      </c>
      <c r="I117" s="22" t="s">
        <v>13</v>
      </c>
      <c r="J117" s="240" t="s">
        <v>162</v>
      </c>
    </row>
    <row r="118" spans="1:11" ht="12.75">
      <c r="A118" s="452" t="s">
        <v>114</v>
      </c>
      <c r="B118" s="481" t="s">
        <v>134</v>
      </c>
      <c r="C118" s="454"/>
      <c r="D118" s="477" t="s">
        <v>148</v>
      </c>
      <c r="E118" s="456"/>
      <c r="F118" s="456"/>
      <c r="G118" s="478">
        <v>17500</v>
      </c>
      <c r="H118" s="478">
        <v>17500</v>
      </c>
      <c r="I118" s="479"/>
      <c r="J118" s="503" t="s">
        <v>331</v>
      </c>
      <c r="K118" s="509"/>
    </row>
    <row r="119" spans="1:11" ht="12.75">
      <c r="A119" s="2" t="s">
        <v>119</v>
      </c>
      <c r="B119" s="4" t="s">
        <v>134</v>
      </c>
      <c r="C119" s="59"/>
      <c r="D119" s="59" t="s">
        <v>148</v>
      </c>
      <c r="E119" s="47"/>
      <c r="F119" s="47"/>
      <c r="G119" s="223">
        <v>17500</v>
      </c>
      <c r="H119" s="222">
        <v>17500</v>
      </c>
      <c r="I119" s="6"/>
      <c r="J119" s="144" t="s">
        <v>331</v>
      </c>
    </row>
    <row r="120" spans="1:11" ht="12.75">
      <c r="A120" s="132"/>
      <c r="B120" s="29"/>
      <c r="C120" s="6"/>
      <c r="D120" s="8"/>
      <c r="E120" s="52"/>
      <c r="F120" s="221"/>
      <c r="G120" s="236" t="s">
        <v>177</v>
      </c>
      <c r="H120" s="264">
        <f>SUM(H118:I119)</f>
        <v>35000</v>
      </c>
      <c r="I120" s="59"/>
      <c r="J120" s="260"/>
    </row>
    <row r="121" spans="1:11" ht="12.75">
      <c r="C121" s="499"/>
    </row>
    <row r="122" spans="1:11" ht="12.75">
      <c r="C122" s="499"/>
    </row>
    <row r="123" spans="1:11" ht="63.75">
      <c r="A123" s="219" t="s">
        <v>5</v>
      </c>
      <c r="B123" s="342" t="s">
        <v>326</v>
      </c>
      <c r="C123" s="187"/>
      <c r="D123" s="129" t="s">
        <v>10</v>
      </c>
      <c r="E123" s="288" t="s">
        <v>243</v>
      </c>
      <c r="F123" s="289" t="s">
        <v>244</v>
      </c>
      <c r="G123" s="290" t="s">
        <v>245</v>
      </c>
      <c r="H123" s="291" t="s">
        <v>246</v>
      </c>
      <c r="I123" s="22" t="s">
        <v>13</v>
      </c>
      <c r="J123" s="240" t="s">
        <v>162</v>
      </c>
    </row>
    <row r="124" spans="1:11" ht="12.75">
      <c r="A124" s="2" t="s">
        <v>114</v>
      </c>
      <c r="B124" s="4" t="s">
        <v>407</v>
      </c>
      <c r="C124" s="59"/>
      <c r="D124" s="51" t="s">
        <v>148</v>
      </c>
      <c r="E124" s="47"/>
      <c r="F124" s="47"/>
      <c r="G124" s="223">
        <v>21250</v>
      </c>
      <c r="H124" s="223">
        <v>21250</v>
      </c>
      <c r="I124" s="6"/>
      <c r="J124" s="230" t="s">
        <v>376</v>
      </c>
    </row>
    <row r="125" spans="1:11" ht="12.75">
      <c r="A125" s="2" t="s">
        <v>119</v>
      </c>
      <c r="B125" s="4" t="s">
        <v>475</v>
      </c>
      <c r="C125" s="59"/>
      <c r="D125" s="59" t="s">
        <v>476</v>
      </c>
      <c r="E125" s="47"/>
      <c r="F125" s="47"/>
      <c r="G125" s="223">
        <v>26000</v>
      </c>
      <c r="H125" s="223">
        <v>26000</v>
      </c>
      <c r="I125" s="6"/>
      <c r="J125" s="144" t="s">
        <v>477</v>
      </c>
    </row>
    <row r="126" spans="1:11" ht="12.75">
      <c r="A126" s="132"/>
      <c r="B126" s="29"/>
      <c r="C126" s="6"/>
      <c r="D126" s="8"/>
      <c r="E126" s="52"/>
      <c r="F126" s="221"/>
      <c r="G126" s="236" t="s">
        <v>177</v>
      </c>
      <c r="H126" s="264">
        <f>SUM(H124:I125)</f>
        <v>47250</v>
      </c>
      <c r="I126" s="59"/>
      <c r="J126" s="260"/>
    </row>
    <row r="127" spans="1:11" ht="12.75">
      <c r="C127" s="499"/>
    </row>
    <row r="128" spans="1:11" ht="12.75">
      <c r="C128" s="499"/>
    </row>
    <row r="129" spans="3:9" ht="16.5">
      <c r="C129" s="499"/>
      <c r="H129" s="466" t="s">
        <v>408</v>
      </c>
      <c r="I129" s="470">
        <f>J18+J43+H66+H69+H76+H80+H84+H62+H102+H108+H114+H120+H126</f>
        <v>792603.84</v>
      </c>
    </row>
    <row r="130" spans="3:9" ht="12.75">
      <c r="C130" s="499"/>
    </row>
    <row r="131" spans="3:9" ht="12.75">
      <c r="C131" s="499"/>
    </row>
    <row r="132" spans="3:9" ht="12.75">
      <c r="C132" s="499"/>
    </row>
    <row r="133" spans="3:9" ht="12.75">
      <c r="C133" s="499"/>
    </row>
    <row r="134" spans="3:9" ht="12.75">
      <c r="C134" s="499"/>
    </row>
    <row r="135" spans="3:9" ht="12.75">
      <c r="C135" s="499"/>
    </row>
    <row r="136" spans="3:9" ht="12.75">
      <c r="C136" s="499"/>
    </row>
    <row r="137" spans="3:9" ht="12.75">
      <c r="C137" s="499"/>
    </row>
    <row r="138" spans="3:9" ht="12.75">
      <c r="C138" s="499"/>
    </row>
    <row r="139" spans="3:9" ht="12.75">
      <c r="C139" s="499"/>
    </row>
    <row r="140" spans="3:9" ht="12.75">
      <c r="C140" s="499"/>
    </row>
    <row r="141" spans="3:9" ht="12.75">
      <c r="C141" s="499"/>
    </row>
    <row r="142" spans="3:9" ht="12.75">
      <c r="C142" s="499"/>
    </row>
    <row r="143" spans="3:9" ht="12.75">
      <c r="C143" s="499"/>
    </row>
    <row r="144" spans="3:9" ht="12.75">
      <c r="C144" s="499"/>
    </row>
    <row r="145" spans="3:3" ht="12.75">
      <c r="C145" s="499"/>
    </row>
    <row r="146" spans="3:3" ht="12.75">
      <c r="C146" s="499"/>
    </row>
    <row r="147" spans="3:3" ht="12.75">
      <c r="C147" s="499"/>
    </row>
    <row r="148" spans="3:3" ht="12.75">
      <c r="C148" s="499"/>
    </row>
    <row r="149" spans="3:3" ht="12.75">
      <c r="C149" s="499"/>
    </row>
    <row r="150" spans="3:3" ht="12.75">
      <c r="C150" s="499"/>
    </row>
    <row r="151" spans="3:3" ht="12.75">
      <c r="C151" s="499"/>
    </row>
    <row r="152" spans="3:3" ht="12.75">
      <c r="C152" s="499"/>
    </row>
    <row r="153" spans="3:3" ht="12.75">
      <c r="C153" s="499"/>
    </row>
    <row r="154" spans="3:3" ht="12.75">
      <c r="C154" s="499"/>
    </row>
    <row r="155" spans="3:3" ht="12.75">
      <c r="C155" s="499"/>
    </row>
    <row r="156" spans="3:3" ht="12.75">
      <c r="C156" s="499"/>
    </row>
    <row r="157" spans="3:3" ht="12.75">
      <c r="C157" s="499"/>
    </row>
    <row r="158" spans="3:3" ht="12.75">
      <c r="C158" s="499"/>
    </row>
    <row r="159" spans="3:3" ht="12.75">
      <c r="C159" s="499"/>
    </row>
    <row r="160" spans="3:3" ht="12.75">
      <c r="C160" s="499"/>
    </row>
    <row r="161" spans="3:3" ht="12.75">
      <c r="C161" s="499"/>
    </row>
    <row r="162" spans="3:3" ht="12.75">
      <c r="C162" s="499"/>
    </row>
    <row r="163" spans="3:3" ht="12.75">
      <c r="C163" s="499"/>
    </row>
    <row r="164" spans="3:3" ht="12.75">
      <c r="C164" s="499"/>
    </row>
    <row r="165" spans="3:3" ht="12.75">
      <c r="C165" s="499"/>
    </row>
    <row r="166" spans="3:3" ht="12.75">
      <c r="C166" s="499"/>
    </row>
    <row r="167" spans="3:3" ht="12.75">
      <c r="C167" s="499"/>
    </row>
    <row r="168" spans="3:3" ht="12.75">
      <c r="C168" s="499"/>
    </row>
    <row r="169" spans="3:3" ht="12.75">
      <c r="C169" s="499"/>
    </row>
    <row r="170" spans="3:3" ht="12.75">
      <c r="C170" s="499"/>
    </row>
    <row r="171" spans="3:3" ht="12.75">
      <c r="C171" s="499"/>
    </row>
    <row r="172" spans="3:3" ht="12.75">
      <c r="C172" s="499"/>
    </row>
    <row r="173" spans="3:3" ht="12.75">
      <c r="C173" s="499"/>
    </row>
    <row r="174" spans="3:3" ht="12.75">
      <c r="C174" s="499"/>
    </row>
    <row r="175" spans="3:3" ht="12.75">
      <c r="C175" s="499"/>
    </row>
    <row r="176" spans="3:3" ht="12.75">
      <c r="C176" s="499"/>
    </row>
    <row r="177" spans="3:3" ht="12.75">
      <c r="C177" s="499"/>
    </row>
    <row r="178" spans="3:3" ht="12.75">
      <c r="C178" s="499"/>
    </row>
    <row r="179" spans="3:3" ht="12.75">
      <c r="C179" s="499"/>
    </row>
    <row r="180" spans="3:3" ht="12.75">
      <c r="C180" s="499"/>
    </row>
    <row r="181" spans="3:3" ht="12.75">
      <c r="C181" s="499"/>
    </row>
    <row r="182" spans="3:3" ht="12.75">
      <c r="C182" s="499"/>
    </row>
    <row r="183" spans="3:3" ht="12.75">
      <c r="C183" s="499"/>
    </row>
    <row r="184" spans="3:3" ht="12.75">
      <c r="C184" s="499"/>
    </row>
    <row r="185" spans="3:3" ht="12.75">
      <c r="C185" s="499"/>
    </row>
    <row r="186" spans="3:3" ht="12.75">
      <c r="C186" s="499"/>
    </row>
    <row r="187" spans="3:3" ht="12.75">
      <c r="C187" s="499"/>
    </row>
    <row r="188" spans="3:3" ht="12.75">
      <c r="C188" s="499"/>
    </row>
    <row r="189" spans="3:3" ht="12.75">
      <c r="C189" s="499"/>
    </row>
    <row r="190" spans="3:3" ht="12.75">
      <c r="C190" s="499"/>
    </row>
    <row r="191" spans="3:3" ht="12.75">
      <c r="C191" s="499"/>
    </row>
    <row r="192" spans="3:3" ht="12.75">
      <c r="C192" s="499"/>
    </row>
    <row r="193" spans="3:3" ht="12.75">
      <c r="C193" s="499"/>
    </row>
    <row r="194" spans="3:3" ht="12.75">
      <c r="C194" s="499"/>
    </row>
    <row r="195" spans="3:3" ht="12.75">
      <c r="C195" s="499"/>
    </row>
    <row r="196" spans="3:3" ht="12.75">
      <c r="C196" s="499"/>
    </row>
    <row r="197" spans="3:3" ht="12.75">
      <c r="C197" s="499"/>
    </row>
    <row r="198" spans="3:3" ht="12.75">
      <c r="C198" s="499"/>
    </row>
    <row r="199" spans="3:3" ht="12.75">
      <c r="C199" s="499"/>
    </row>
    <row r="200" spans="3:3" ht="12.75">
      <c r="C200" s="499"/>
    </row>
    <row r="201" spans="3:3" ht="12.75">
      <c r="C201" s="499"/>
    </row>
    <row r="202" spans="3:3" ht="12.75">
      <c r="C202" s="499"/>
    </row>
    <row r="203" spans="3:3" ht="12.75">
      <c r="C203" s="499"/>
    </row>
    <row r="204" spans="3:3" ht="12.75">
      <c r="C204" s="499"/>
    </row>
    <row r="205" spans="3:3" ht="12.75">
      <c r="C205" s="499"/>
    </row>
    <row r="206" spans="3:3" ht="12.75">
      <c r="C206" s="499"/>
    </row>
    <row r="207" spans="3:3" ht="12.75">
      <c r="C207" s="499"/>
    </row>
    <row r="208" spans="3:3" ht="12.75">
      <c r="C208" s="499"/>
    </row>
    <row r="209" spans="3:3" ht="12.75">
      <c r="C209" s="499"/>
    </row>
    <row r="210" spans="3:3" ht="12.75">
      <c r="C210" s="499"/>
    </row>
    <row r="211" spans="3:3" ht="12.75">
      <c r="C211" s="499"/>
    </row>
    <row r="212" spans="3:3" ht="12.75">
      <c r="C212" s="499"/>
    </row>
    <row r="213" spans="3:3" ht="12.75">
      <c r="C213" s="499"/>
    </row>
    <row r="214" spans="3:3" ht="12.75">
      <c r="C214" s="499"/>
    </row>
    <row r="215" spans="3:3" ht="12.75">
      <c r="C215" s="499"/>
    </row>
    <row r="216" spans="3:3" ht="12.75">
      <c r="C216" s="499"/>
    </row>
    <row r="217" spans="3:3" ht="12.75">
      <c r="C217" s="499"/>
    </row>
    <row r="218" spans="3:3" ht="12.75">
      <c r="C218" s="499"/>
    </row>
    <row r="219" spans="3:3" ht="12.75">
      <c r="C219" s="499"/>
    </row>
    <row r="220" spans="3:3" ht="12.75">
      <c r="C220" s="499"/>
    </row>
    <row r="221" spans="3:3" ht="12.75">
      <c r="C221" s="499"/>
    </row>
    <row r="222" spans="3:3" ht="12.75">
      <c r="C222" s="499"/>
    </row>
    <row r="223" spans="3:3" ht="12.75">
      <c r="C223" s="499"/>
    </row>
    <row r="224" spans="3:3" ht="12.75">
      <c r="C224" s="499"/>
    </row>
    <row r="225" spans="3:3" ht="12.75">
      <c r="C225" s="499"/>
    </row>
    <row r="226" spans="3:3" ht="12.75">
      <c r="C226" s="499"/>
    </row>
    <row r="227" spans="3:3" ht="12.75">
      <c r="C227" s="499"/>
    </row>
    <row r="228" spans="3:3" ht="12.75">
      <c r="C228" s="499"/>
    </row>
    <row r="229" spans="3:3" ht="12.75">
      <c r="C229" s="499"/>
    </row>
    <row r="230" spans="3:3" ht="12.75">
      <c r="C230" s="499"/>
    </row>
    <row r="231" spans="3:3" ht="12.75">
      <c r="C231" s="499"/>
    </row>
    <row r="232" spans="3:3" ht="12.75">
      <c r="C232" s="499"/>
    </row>
    <row r="233" spans="3:3" ht="12.75">
      <c r="C233" s="499"/>
    </row>
    <row r="234" spans="3:3" ht="12.75">
      <c r="C234" s="499"/>
    </row>
    <row r="235" spans="3:3" ht="12.75">
      <c r="C235" s="499"/>
    </row>
    <row r="236" spans="3:3" ht="12.75">
      <c r="C236" s="499"/>
    </row>
    <row r="237" spans="3:3" ht="12.75">
      <c r="C237" s="499"/>
    </row>
    <row r="238" spans="3:3" ht="12.75">
      <c r="C238" s="499"/>
    </row>
    <row r="239" spans="3:3" ht="12.75">
      <c r="C239" s="499"/>
    </row>
    <row r="240" spans="3:3" ht="12.75">
      <c r="C240" s="499"/>
    </row>
    <row r="241" spans="3:3" ht="12.75">
      <c r="C241" s="499"/>
    </row>
    <row r="242" spans="3:3" ht="12.75">
      <c r="C242" s="499"/>
    </row>
    <row r="243" spans="3:3" ht="12.75">
      <c r="C243" s="499"/>
    </row>
    <row r="244" spans="3:3" ht="12.75">
      <c r="C244" s="499"/>
    </row>
    <row r="245" spans="3:3" ht="12.75">
      <c r="C245" s="499"/>
    </row>
    <row r="246" spans="3:3" ht="12.75">
      <c r="C246" s="499"/>
    </row>
    <row r="247" spans="3:3" ht="12.75">
      <c r="C247" s="499"/>
    </row>
    <row r="248" spans="3:3" ht="12.75">
      <c r="C248" s="499"/>
    </row>
    <row r="249" spans="3:3" ht="12.75">
      <c r="C249" s="499"/>
    </row>
    <row r="250" spans="3:3" ht="12.75">
      <c r="C250" s="499"/>
    </row>
    <row r="251" spans="3:3" ht="12.75">
      <c r="C251" s="499"/>
    </row>
    <row r="252" spans="3:3" ht="12.75">
      <c r="C252" s="499"/>
    </row>
    <row r="253" spans="3:3" ht="12.75">
      <c r="C253" s="499"/>
    </row>
    <row r="254" spans="3:3" ht="12.75">
      <c r="C254" s="499"/>
    </row>
    <row r="255" spans="3:3" ht="12.75">
      <c r="C255" s="499"/>
    </row>
    <row r="256" spans="3:3" ht="12.75">
      <c r="C256" s="499"/>
    </row>
    <row r="257" spans="3:3" ht="12.75">
      <c r="C257" s="499"/>
    </row>
    <row r="258" spans="3:3" ht="12.75">
      <c r="C258" s="499"/>
    </row>
    <row r="259" spans="3:3" ht="12.75">
      <c r="C259" s="499"/>
    </row>
    <row r="260" spans="3:3" ht="12.75">
      <c r="C260" s="499"/>
    </row>
    <row r="261" spans="3:3" ht="12.75">
      <c r="C261" s="499"/>
    </row>
    <row r="262" spans="3:3" ht="12.75">
      <c r="C262" s="499"/>
    </row>
    <row r="263" spans="3:3" ht="12.75">
      <c r="C263" s="499"/>
    </row>
    <row r="264" spans="3:3" ht="12.75">
      <c r="C264" s="499"/>
    </row>
    <row r="265" spans="3:3" ht="12.75">
      <c r="C265" s="499"/>
    </row>
    <row r="266" spans="3:3" ht="12.75">
      <c r="C266" s="499"/>
    </row>
    <row r="267" spans="3:3" ht="12.75">
      <c r="C267" s="499"/>
    </row>
    <row r="268" spans="3:3" ht="12.75">
      <c r="C268" s="499"/>
    </row>
    <row r="269" spans="3:3" ht="12.75">
      <c r="C269" s="499"/>
    </row>
    <row r="270" spans="3:3" ht="12.75">
      <c r="C270" s="499"/>
    </row>
    <row r="271" spans="3:3" ht="12.75">
      <c r="C271" s="499"/>
    </row>
    <row r="272" spans="3:3" ht="12.75">
      <c r="C272" s="499"/>
    </row>
    <row r="273" spans="3:3" ht="12.75">
      <c r="C273" s="499"/>
    </row>
    <row r="274" spans="3:3" ht="12.75">
      <c r="C274" s="499"/>
    </row>
    <row r="275" spans="3:3" ht="12.75">
      <c r="C275" s="499"/>
    </row>
    <row r="276" spans="3:3" ht="12.75">
      <c r="C276" s="499"/>
    </row>
    <row r="277" spans="3:3" ht="12.75">
      <c r="C277" s="499"/>
    </row>
    <row r="278" spans="3:3" ht="12.75">
      <c r="C278" s="499"/>
    </row>
    <row r="279" spans="3:3" ht="12.75">
      <c r="C279" s="499"/>
    </row>
    <row r="280" spans="3:3" ht="12.75">
      <c r="C280" s="499"/>
    </row>
    <row r="281" spans="3:3" ht="12.75">
      <c r="C281" s="499"/>
    </row>
    <row r="282" spans="3:3" ht="12.75">
      <c r="C282" s="499"/>
    </row>
    <row r="283" spans="3:3" ht="12.75">
      <c r="C283" s="499"/>
    </row>
    <row r="284" spans="3:3" ht="12.75">
      <c r="C284" s="499"/>
    </row>
    <row r="285" spans="3:3" ht="12.75">
      <c r="C285" s="499"/>
    </row>
    <row r="286" spans="3:3" ht="12.75">
      <c r="C286" s="499"/>
    </row>
    <row r="287" spans="3:3" ht="12.75">
      <c r="C287" s="499"/>
    </row>
    <row r="288" spans="3:3" ht="12.75">
      <c r="C288" s="499"/>
    </row>
    <row r="289" spans="3:3" ht="12.75">
      <c r="C289" s="499"/>
    </row>
    <row r="290" spans="3:3" ht="12.75">
      <c r="C290" s="499"/>
    </row>
    <row r="291" spans="3:3" ht="12.75">
      <c r="C291" s="499"/>
    </row>
    <row r="292" spans="3:3" ht="12.75">
      <c r="C292" s="499"/>
    </row>
    <row r="293" spans="3:3" ht="12.75">
      <c r="C293" s="499"/>
    </row>
    <row r="294" spans="3:3" ht="12.75">
      <c r="C294" s="499"/>
    </row>
    <row r="295" spans="3:3" ht="12.75">
      <c r="C295" s="499"/>
    </row>
    <row r="296" spans="3:3" ht="12.75">
      <c r="C296" s="499"/>
    </row>
    <row r="297" spans="3:3" ht="12.75">
      <c r="C297" s="499"/>
    </row>
    <row r="298" spans="3:3" ht="12.75">
      <c r="C298" s="499"/>
    </row>
    <row r="299" spans="3:3" ht="12.75">
      <c r="C299" s="499"/>
    </row>
    <row r="300" spans="3:3" ht="12.75">
      <c r="C300" s="499"/>
    </row>
    <row r="301" spans="3:3" ht="12.75">
      <c r="C301" s="499"/>
    </row>
    <row r="302" spans="3:3" ht="12.75">
      <c r="C302" s="499"/>
    </row>
    <row r="303" spans="3:3" ht="12.75">
      <c r="C303" s="499"/>
    </row>
    <row r="304" spans="3:3" ht="12.75">
      <c r="C304" s="499"/>
    </row>
    <row r="305" spans="3:3" ht="12.75">
      <c r="C305" s="499"/>
    </row>
    <row r="306" spans="3:3" ht="12.75">
      <c r="C306" s="499"/>
    </row>
    <row r="307" spans="3:3" ht="12.75">
      <c r="C307" s="499"/>
    </row>
    <row r="308" spans="3:3" ht="12.75">
      <c r="C308" s="499"/>
    </row>
    <row r="309" spans="3:3" ht="12.75">
      <c r="C309" s="499"/>
    </row>
    <row r="310" spans="3:3" ht="12.75">
      <c r="C310" s="499"/>
    </row>
    <row r="311" spans="3:3" ht="12.75">
      <c r="C311" s="499"/>
    </row>
    <row r="312" spans="3:3" ht="12.75">
      <c r="C312" s="499"/>
    </row>
    <row r="313" spans="3:3" ht="12.75">
      <c r="C313" s="499"/>
    </row>
    <row r="314" spans="3:3" ht="12.75">
      <c r="C314" s="499"/>
    </row>
    <row r="315" spans="3:3" ht="12.75">
      <c r="C315" s="499"/>
    </row>
    <row r="316" spans="3:3" ht="12.75">
      <c r="C316" s="499"/>
    </row>
    <row r="317" spans="3:3" ht="12.75">
      <c r="C317" s="499"/>
    </row>
    <row r="318" spans="3:3" ht="12.75">
      <c r="C318" s="499"/>
    </row>
    <row r="319" spans="3:3" ht="12.75">
      <c r="C319" s="499"/>
    </row>
    <row r="320" spans="3:3" ht="12.75">
      <c r="C320" s="499"/>
    </row>
    <row r="321" spans="3:3" ht="12.75">
      <c r="C321" s="499"/>
    </row>
    <row r="322" spans="3:3" ht="12.75">
      <c r="C322" s="499"/>
    </row>
    <row r="323" spans="3:3" ht="12.75">
      <c r="C323" s="499"/>
    </row>
    <row r="324" spans="3:3" ht="12.75">
      <c r="C324" s="499"/>
    </row>
    <row r="325" spans="3:3" ht="12.75">
      <c r="C325" s="499"/>
    </row>
    <row r="326" spans="3:3" ht="12.75">
      <c r="C326" s="499"/>
    </row>
    <row r="327" spans="3:3" ht="12.75">
      <c r="C327" s="499"/>
    </row>
    <row r="328" spans="3:3" ht="12.75">
      <c r="C328" s="499"/>
    </row>
    <row r="329" spans="3:3" ht="12.75">
      <c r="C329" s="499"/>
    </row>
    <row r="330" spans="3:3" ht="12.75">
      <c r="C330" s="499"/>
    </row>
    <row r="331" spans="3:3" ht="12.75">
      <c r="C331" s="499"/>
    </row>
    <row r="332" spans="3:3" ht="12.75">
      <c r="C332" s="499"/>
    </row>
    <row r="333" spans="3:3" ht="12.75">
      <c r="C333" s="499"/>
    </row>
    <row r="334" spans="3:3" ht="12.75">
      <c r="C334" s="499"/>
    </row>
    <row r="335" spans="3:3" ht="12.75">
      <c r="C335" s="499"/>
    </row>
    <row r="336" spans="3:3" ht="12.75">
      <c r="C336" s="499"/>
    </row>
    <row r="337" spans="3:3" ht="12.75">
      <c r="C337" s="499"/>
    </row>
    <row r="338" spans="3:3" ht="12.75">
      <c r="C338" s="499"/>
    </row>
    <row r="339" spans="3:3" ht="12.75">
      <c r="C339" s="499"/>
    </row>
    <row r="340" spans="3:3" ht="12.75">
      <c r="C340" s="499"/>
    </row>
    <row r="341" spans="3:3" ht="12.75">
      <c r="C341" s="499"/>
    </row>
    <row r="342" spans="3:3" ht="12.75">
      <c r="C342" s="499"/>
    </row>
    <row r="343" spans="3:3" ht="12.75">
      <c r="C343" s="499"/>
    </row>
    <row r="344" spans="3:3" ht="12.75">
      <c r="C344" s="499"/>
    </row>
    <row r="345" spans="3:3" ht="12.75">
      <c r="C345" s="499"/>
    </row>
    <row r="346" spans="3:3" ht="12.75">
      <c r="C346" s="499"/>
    </row>
    <row r="347" spans="3:3" ht="12.75">
      <c r="C347" s="499"/>
    </row>
    <row r="348" spans="3:3" ht="12.75">
      <c r="C348" s="499"/>
    </row>
    <row r="349" spans="3:3" ht="12.75">
      <c r="C349" s="499"/>
    </row>
    <row r="350" spans="3:3" ht="12.75">
      <c r="C350" s="499"/>
    </row>
    <row r="351" spans="3:3" ht="12.75">
      <c r="C351" s="499"/>
    </row>
    <row r="352" spans="3:3" ht="12.75">
      <c r="C352" s="499"/>
    </row>
    <row r="353" spans="3:3" ht="12.75">
      <c r="C353" s="499"/>
    </row>
    <row r="354" spans="3:3" ht="12.75">
      <c r="C354" s="499"/>
    </row>
    <row r="355" spans="3:3" ht="12.75">
      <c r="C355" s="499"/>
    </row>
    <row r="356" spans="3:3" ht="12.75">
      <c r="C356" s="499"/>
    </row>
    <row r="357" spans="3:3" ht="12.75">
      <c r="C357" s="499"/>
    </row>
    <row r="358" spans="3:3" ht="12.75">
      <c r="C358" s="499"/>
    </row>
    <row r="359" spans="3:3" ht="12.75">
      <c r="C359" s="499"/>
    </row>
    <row r="360" spans="3:3" ht="12.75">
      <c r="C360" s="499"/>
    </row>
    <row r="361" spans="3:3" ht="12.75">
      <c r="C361" s="499"/>
    </row>
    <row r="362" spans="3:3" ht="12.75">
      <c r="C362" s="499"/>
    </row>
    <row r="363" spans="3:3" ht="12.75">
      <c r="C363" s="499"/>
    </row>
    <row r="364" spans="3:3" ht="12.75">
      <c r="C364" s="499"/>
    </row>
    <row r="365" spans="3:3" ht="12.75">
      <c r="C365" s="499"/>
    </row>
    <row r="366" spans="3:3" ht="12.75">
      <c r="C366" s="499"/>
    </row>
    <row r="367" spans="3:3" ht="12.75">
      <c r="C367" s="499"/>
    </row>
    <row r="368" spans="3:3" ht="12.75">
      <c r="C368" s="499"/>
    </row>
    <row r="369" spans="3:3" ht="12.75">
      <c r="C369" s="499"/>
    </row>
    <row r="370" spans="3:3" ht="12.75">
      <c r="C370" s="499"/>
    </row>
    <row r="371" spans="3:3" ht="12.75">
      <c r="C371" s="499"/>
    </row>
    <row r="372" spans="3:3" ht="12.75">
      <c r="C372" s="499"/>
    </row>
    <row r="373" spans="3:3" ht="12.75">
      <c r="C373" s="499"/>
    </row>
    <row r="374" spans="3:3" ht="12.75">
      <c r="C374" s="499"/>
    </row>
    <row r="375" spans="3:3" ht="12.75">
      <c r="C375" s="499"/>
    </row>
    <row r="376" spans="3:3" ht="12.75">
      <c r="C376" s="499"/>
    </row>
    <row r="377" spans="3:3" ht="12.75">
      <c r="C377" s="499"/>
    </row>
    <row r="378" spans="3:3" ht="12.75">
      <c r="C378" s="499"/>
    </row>
    <row r="379" spans="3:3" ht="12.75">
      <c r="C379" s="499"/>
    </row>
    <row r="380" spans="3:3" ht="12.75">
      <c r="C380" s="499"/>
    </row>
    <row r="381" spans="3:3" ht="12.75">
      <c r="C381" s="499"/>
    </row>
    <row r="382" spans="3:3" ht="12.75">
      <c r="C382" s="499"/>
    </row>
    <row r="383" spans="3:3" ht="12.75">
      <c r="C383" s="499"/>
    </row>
    <row r="384" spans="3:3" ht="12.75">
      <c r="C384" s="499"/>
    </row>
    <row r="385" spans="3:3" ht="12.75">
      <c r="C385" s="499"/>
    </row>
    <row r="386" spans="3:3" ht="12.75">
      <c r="C386" s="499"/>
    </row>
    <row r="387" spans="3:3" ht="12.75">
      <c r="C387" s="499"/>
    </row>
    <row r="388" spans="3:3" ht="12.75">
      <c r="C388" s="499"/>
    </row>
    <row r="389" spans="3:3" ht="12.75">
      <c r="C389" s="499"/>
    </row>
    <row r="390" spans="3:3" ht="12.75">
      <c r="C390" s="499"/>
    </row>
    <row r="391" spans="3:3" ht="12.75">
      <c r="C391" s="499"/>
    </row>
    <row r="392" spans="3:3" ht="12.75">
      <c r="C392" s="499"/>
    </row>
    <row r="393" spans="3:3" ht="12.75">
      <c r="C393" s="499"/>
    </row>
    <row r="394" spans="3:3" ht="12.75">
      <c r="C394" s="499"/>
    </row>
    <row r="395" spans="3:3" ht="12.75">
      <c r="C395" s="499"/>
    </row>
    <row r="396" spans="3:3" ht="12.75">
      <c r="C396" s="499"/>
    </row>
    <row r="397" spans="3:3" ht="12.75">
      <c r="C397" s="499"/>
    </row>
    <row r="398" spans="3:3" ht="12.75">
      <c r="C398" s="499"/>
    </row>
    <row r="399" spans="3:3" ht="12.75">
      <c r="C399" s="499"/>
    </row>
    <row r="400" spans="3:3" ht="12.75">
      <c r="C400" s="499"/>
    </row>
    <row r="401" spans="3:3" ht="12.75">
      <c r="C401" s="499"/>
    </row>
    <row r="402" spans="3:3" ht="12.75">
      <c r="C402" s="499"/>
    </row>
    <row r="403" spans="3:3" ht="12.75">
      <c r="C403" s="499"/>
    </row>
    <row r="404" spans="3:3" ht="12.75">
      <c r="C404" s="499"/>
    </row>
    <row r="405" spans="3:3" ht="12.75">
      <c r="C405" s="499"/>
    </row>
    <row r="406" spans="3:3" ht="12.75">
      <c r="C406" s="499"/>
    </row>
    <row r="407" spans="3:3" ht="12.75">
      <c r="C407" s="499"/>
    </row>
    <row r="408" spans="3:3" ht="12.75">
      <c r="C408" s="499"/>
    </row>
    <row r="409" spans="3:3" ht="12.75">
      <c r="C409" s="499"/>
    </row>
    <row r="410" spans="3:3" ht="12.75">
      <c r="C410" s="499"/>
    </row>
    <row r="411" spans="3:3" ht="12.75">
      <c r="C411" s="499"/>
    </row>
    <row r="412" spans="3:3" ht="12.75">
      <c r="C412" s="499"/>
    </row>
    <row r="413" spans="3:3" ht="12.75">
      <c r="C413" s="499"/>
    </row>
    <row r="414" spans="3:3" ht="12.75">
      <c r="C414" s="499"/>
    </row>
    <row r="415" spans="3:3" ht="12.75">
      <c r="C415" s="499"/>
    </row>
    <row r="416" spans="3:3" ht="12.75">
      <c r="C416" s="499"/>
    </row>
    <row r="417" spans="3:3" ht="12.75">
      <c r="C417" s="499"/>
    </row>
    <row r="418" spans="3:3" ht="12.75">
      <c r="C418" s="499"/>
    </row>
    <row r="419" spans="3:3" ht="12.75">
      <c r="C419" s="499"/>
    </row>
    <row r="420" spans="3:3" ht="12.75">
      <c r="C420" s="499"/>
    </row>
    <row r="421" spans="3:3" ht="12.75">
      <c r="C421" s="499"/>
    </row>
    <row r="422" spans="3:3" ht="12.75">
      <c r="C422" s="499"/>
    </row>
    <row r="423" spans="3:3" ht="12.75">
      <c r="C423" s="499"/>
    </row>
    <row r="424" spans="3:3" ht="12.75">
      <c r="C424" s="499"/>
    </row>
    <row r="425" spans="3:3" ht="12.75">
      <c r="C425" s="499"/>
    </row>
    <row r="426" spans="3:3" ht="12.75">
      <c r="C426" s="499"/>
    </row>
    <row r="427" spans="3:3" ht="12.75">
      <c r="C427" s="499"/>
    </row>
    <row r="428" spans="3:3" ht="12.75">
      <c r="C428" s="499"/>
    </row>
    <row r="429" spans="3:3" ht="12.75">
      <c r="C429" s="499"/>
    </row>
    <row r="430" spans="3:3" ht="12.75">
      <c r="C430" s="499"/>
    </row>
    <row r="431" spans="3:3" ht="12.75">
      <c r="C431" s="499"/>
    </row>
    <row r="432" spans="3:3" ht="12.75">
      <c r="C432" s="499"/>
    </row>
    <row r="433" spans="3:3" ht="12.75">
      <c r="C433" s="499"/>
    </row>
    <row r="434" spans="3:3" ht="12.75">
      <c r="C434" s="499"/>
    </row>
    <row r="435" spans="3:3" ht="12.75">
      <c r="C435" s="499"/>
    </row>
    <row r="436" spans="3:3" ht="12.75">
      <c r="C436" s="499"/>
    </row>
    <row r="437" spans="3:3" ht="12.75">
      <c r="C437" s="499"/>
    </row>
    <row r="438" spans="3:3" ht="12.75">
      <c r="C438" s="499"/>
    </row>
    <row r="439" spans="3:3" ht="12.75">
      <c r="C439" s="499"/>
    </row>
    <row r="440" spans="3:3" ht="12.75">
      <c r="C440" s="499"/>
    </row>
    <row r="441" spans="3:3" ht="12.75">
      <c r="C441" s="499"/>
    </row>
    <row r="442" spans="3:3" ht="12.75">
      <c r="C442" s="499"/>
    </row>
    <row r="443" spans="3:3" ht="12.75">
      <c r="C443" s="499"/>
    </row>
    <row r="444" spans="3:3" ht="12.75">
      <c r="C444" s="499"/>
    </row>
    <row r="445" spans="3:3" ht="12.75">
      <c r="C445" s="499"/>
    </row>
    <row r="446" spans="3:3" ht="12.75">
      <c r="C446" s="499"/>
    </row>
    <row r="447" spans="3:3" ht="12.75">
      <c r="C447" s="499"/>
    </row>
    <row r="448" spans="3:3" ht="12.75">
      <c r="C448" s="499"/>
    </row>
    <row r="449" spans="3:3" ht="12.75">
      <c r="C449" s="499"/>
    </row>
    <row r="450" spans="3:3" ht="12.75">
      <c r="C450" s="499"/>
    </row>
    <row r="451" spans="3:3" ht="12.75">
      <c r="C451" s="499"/>
    </row>
    <row r="452" spans="3:3" ht="12.75">
      <c r="C452" s="499"/>
    </row>
    <row r="453" spans="3:3" ht="12.75">
      <c r="C453" s="499"/>
    </row>
    <row r="454" spans="3:3" ht="12.75">
      <c r="C454" s="499"/>
    </row>
    <row r="455" spans="3:3" ht="12.75">
      <c r="C455" s="499"/>
    </row>
    <row r="456" spans="3:3" ht="12.75">
      <c r="C456" s="499"/>
    </row>
    <row r="457" spans="3:3" ht="12.75">
      <c r="C457" s="499"/>
    </row>
    <row r="458" spans="3:3" ht="12.75">
      <c r="C458" s="499"/>
    </row>
    <row r="459" spans="3:3" ht="12.75">
      <c r="C459" s="499"/>
    </row>
    <row r="460" spans="3:3" ht="12.75">
      <c r="C460" s="499"/>
    </row>
    <row r="461" spans="3:3" ht="12.75">
      <c r="C461" s="499"/>
    </row>
    <row r="462" spans="3:3" ht="12.75">
      <c r="C462" s="499"/>
    </row>
    <row r="463" spans="3:3" ht="12.75">
      <c r="C463" s="499"/>
    </row>
    <row r="464" spans="3:3" ht="12.75">
      <c r="C464" s="499"/>
    </row>
    <row r="465" spans="3:3" ht="12.75">
      <c r="C465" s="499"/>
    </row>
    <row r="466" spans="3:3" ht="12.75">
      <c r="C466" s="499"/>
    </row>
    <row r="467" spans="3:3" ht="12.75">
      <c r="C467" s="499"/>
    </row>
    <row r="468" spans="3:3" ht="12.75">
      <c r="C468" s="499"/>
    </row>
    <row r="469" spans="3:3" ht="12.75">
      <c r="C469" s="499"/>
    </row>
    <row r="470" spans="3:3" ht="12.75">
      <c r="C470" s="499"/>
    </row>
    <row r="471" spans="3:3" ht="12.75">
      <c r="C471" s="499"/>
    </row>
    <row r="472" spans="3:3" ht="12.75">
      <c r="C472" s="499"/>
    </row>
    <row r="473" spans="3:3" ht="12.75">
      <c r="C473" s="499"/>
    </row>
    <row r="474" spans="3:3" ht="12.75">
      <c r="C474" s="499"/>
    </row>
    <row r="475" spans="3:3" ht="12.75">
      <c r="C475" s="499"/>
    </row>
    <row r="476" spans="3:3" ht="12.75">
      <c r="C476" s="499"/>
    </row>
    <row r="477" spans="3:3" ht="12.75">
      <c r="C477" s="499"/>
    </row>
    <row r="478" spans="3:3" ht="12.75">
      <c r="C478" s="499"/>
    </row>
    <row r="479" spans="3:3" ht="12.75">
      <c r="C479" s="499"/>
    </row>
    <row r="480" spans="3:3" ht="12.75">
      <c r="C480" s="499"/>
    </row>
    <row r="481" spans="3:3" ht="12.75">
      <c r="C481" s="499"/>
    </row>
    <row r="482" spans="3:3" ht="12.75">
      <c r="C482" s="499"/>
    </row>
    <row r="483" spans="3:3" ht="12.75">
      <c r="C483" s="499"/>
    </row>
    <row r="484" spans="3:3" ht="12.75">
      <c r="C484" s="499"/>
    </row>
    <row r="485" spans="3:3" ht="12.75">
      <c r="C485" s="499"/>
    </row>
    <row r="486" spans="3:3" ht="12.75">
      <c r="C486" s="499"/>
    </row>
    <row r="487" spans="3:3" ht="12.75">
      <c r="C487" s="499"/>
    </row>
    <row r="488" spans="3:3" ht="12.75">
      <c r="C488" s="499"/>
    </row>
    <row r="489" spans="3:3" ht="12.75">
      <c r="C489" s="499"/>
    </row>
    <row r="490" spans="3:3" ht="12.75">
      <c r="C490" s="499"/>
    </row>
    <row r="491" spans="3:3" ht="12.75">
      <c r="C491" s="499"/>
    </row>
    <row r="492" spans="3:3" ht="12.75">
      <c r="C492" s="499"/>
    </row>
    <row r="493" spans="3:3" ht="12.75">
      <c r="C493" s="499"/>
    </row>
    <row r="494" spans="3:3" ht="12.75">
      <c r="C494" s="499"/>
    </row>
    <row r="495" spans="3:3" ht="12.75">
      <c r="C495" s="499"/>
    </row>
    <row r="496" spans="3:3" ht="12.75">
      <c r="C496" s="499"/>
    </row>
    <row r="497" spans="3:3" ht="12.75">
      <c r="C497" s="499"/>
    </row>
    <row r="498" spans="3:3" ht="12.75">
      <c r="C498" s="499"/>
    </row>
    <row r="499" spans="3:3" ht="12.75">
      <c r="C499" s="499"/>
    </row>
    <row r="500" spans="3:3" ht="12.75">
      <c r="C500" s="499"/>
    </row>
    <row r="501" spans="3:3" ht="12.75">
      <c r="C501" s="499"/>
    </row>
    <row r="502" spans="3:3" ht="12.75">
      <c r="C502" s="499"/>
    </row>
    <row r="503" spans="3:3" ht="12.75">
      <c r="C503" s="499"/>
    </row>
    <row r="504" spans="3:3" ht="12.75">
      <c r="C504" s="499"/>
    </row>
    <row r="505" spans="3:3" ht="12.75">
      <c r="C505" s="499"/>
    </row>
    <row r="506" spans="3:3" ht="12.75">
      <c r="C506" s="499"/>
    </row>
    <row r="507" spans="3:3" ht="12.75">
      <c r="C507" s="499"/>
    </row>
    <row r="508" spans="3:3" ht="12.75">
      <c r="C508" s="499"/>
    </row>
    <row r="509" spans="3:3" ht="12.75">
      <c r="C509" s="499"/>
    </row>
    <row r="510" spans="3:3" ht="12.75">
      <c r="C510" s="499"/>
    </row>
    <row r="511" spans="3:3" ht="12.75">
      <c r="C511" s="499"/>
    </row>
    <row r="512" spans="3:3" ht="12.75">
      <c r="C512" s="499"/>
    </row>
    <row r="513" spans="3:3" ht="12.75">
      <c r="C513" s="499"/>
    </row>
    <row r="514" spans="3:3" ht="12.75">
      <c r="C514" s="499"/>
    </row>
    <row r="515" spans="3:3" ht="12.75">
      <c r="C515" s="499"/>
    </row>
    <row r="516" spans="3:3" ht="12.75">
      <c r="C516" s="499"/>
    </row>
    <row r="517" spans="3:3" ht="12.75">
      <c r="C517" s="499"/>
    </row>
    <row r="518" spans="3:3" ht="12.75">
      <c r="C518" s="499"/>
    </row>
    <row r="519" spans="3:3" ht="12.75">
      <c r="C519" s="499"/>
    </row>
    <row r="520" spans="3:3" ht="12.75">
      <c r="C520" s="499"/>
    </row>
    <row r="521" spans="3:3" ht="12.75">
      <c r="C521" s="499"/>
    </row>
    <row r="522" spans="3:3" ht="12.75">
      <c r="C522" s="499"/>
    </row>
    <row r="523" spans="3:3" ht="12.75">
      <c r="C523" s="499"/>
    </row>
    <row r="524" spans="3:3" ht="12.75">
      <c r="C524" s="499"/>
    </row>
    <row r="525" spans="3:3" ht="12.75">
      <c r="C525" s="499"/>
    </row>
    <row r="526" spans="3:3" ht="12.75">
      <c r="C526" s="499"/>
    </row>
    <row r="527" spans="3:3" ht="12.75">
      <c r="C527" s="499"/>
    </row>
    <row r="528" spans="3:3" ht="12.75">
      <c r="C528" s="499"/>
    </row>
    <row r="529" spans="3:3" ht="12.75">
      <c r="C529" s="499"/>
    </row>
    <row r="530" spans="3:3" ht="12.75">
      <c r="C530" s="499"/>
    </row>
    <row r="531" spans="3:3" ht="12.75">
      <c r="C531" s="499"/>
    </row>
    <row r="532" spans="3:3" ht="12.75">
      <c r="C532" s="499"/>
    </row>
    <row r="533" spans="3:3" ht="12.75">
      <c r="C533" s="499"/>
    </row>
    <row r="534" spans="3:3" ht="12.75">
      <c r="C534" s="499"/>
    </row>
    <row r="535" spans="3:3" ht="12.75">
      <c r="C535" s="499"/>
    </row>
    <row r="536" spans="3:3" ht="12.75">
      <c r="C536" s="499"/>
    </row>
    <row r="537" spans="3:3" ht="12.75">
      <c r="C537" s="499"/>
    </row>
    <row r="538" spans="3:3" ht="12.75">
      <c r="C538" s="499"/>
    </row>
    <row r="539" spans="3:3" ht="12.75">
      <c r="C539" s="499"/>
    </row>
    <row r="540" spans="3:3" ht="12.75">
      <c r="C540" s="499"/>
    </row>
    <row r="541" spans="3:3" ht="12.75">
      <c r="C541" s="499"/>
    </row>
    <row r="542" spans="3:3" ht="12.75">
      <c r="C542" s="499"/>
    </row>
    <row r="543" spans="3:3" ht="12.75">
      <c r="C543" s="499"/>
    </row>
    <row r="544" spans="3:3" ht="12.75">
      <c r="C544" s="499"/>
    </row>
    <row r="545" spans="3:3" ht="12.75">
      <c r="C545" s="499"/>
    </row>
    <row r="546" spans="3:3" ht="12.75">
      <c r="C546" s="499"/>
    </row>
    <row r="547" spans="3:3" ht="12.75">
      <c r="C547" s="499"/>
    </row>
    <row r="548" spans="3:3" ht="12.75">
      <c r="C548" s="499"/>
    </row>
    <row r="549" spans="3:3" ht="12.75">
      <c r="C549" s="499"/>
    </row>
    <row r="550" spans="3:3" ht="12.75">
      <c r="C550" s="499"/>
    </row>
    <row r="551" spans="3:3" ht="12.75">
      <c r="C551" s="499"/>
    </row>
    <row r="552" spans="3:3" ht="12.75">
      <c r="C552" s="499"/>
    </row>
    <row r="553" spans="3:3" ht="12.75">
      <c r="C553" s="499"/>
    </row>
    <row r="554" spans="3:3" ht="12.75">
      <c r="C554" s="499"/>
    </row>
    <row r="555" spans="3:3" ht="12.75">
      <c r="C555" s="499"/>
    </row>
    <row r="556" spans="3:3" ht="12.75">
      <c r="C556" s="499"/>
    </row>
    <row r="557" spans="3:3" ht="12.75">
      <c r="C557" s="499"/>
    </row>
    <row r="558" spans="3:3" ht="12.75">
      <c r="C558" s="499"/>
    </row>
    <row r="559" spans="3:3" ht="12.75">
      <c r="C559" s="499"/>
    </row>
    <row r="560" spans="3:3" ht="12.75">
      <c r="C560" s="499"/>
    </row>
    <row r="561" spans="3:3" ht="12.75">
      <c r="C561" s="499"/>
    </row>
    <row r="562" spans="3:3" ht="12.75">
      <c r="C562" s="499"/>
    </row>
    <row r="563" spans="3:3" ht="12.75">
      <c r="C563" s="499"/>
    </row>
    <row r="564" spans="3:3" ht="12.75">
      <c r="C564" s="499"/>
    </row>
    <row r="565" spans="3:3" ht="12.75">
      <c r="C565" s="499"/>
    </row>
    <row r="566" spans="3:3" ht="12.75">
      <c r="C566" s="499"/>
    </row>
    <row r="567" spans="3:3" ht="12.75">
      <c r="C567" s="499"/>
    </row>
    <row r="568" spans="3:3" ht="12.75">
      <c r="C568" s="499"/>
    </row>
    <row r="569" spans="3:3" ht="12.75">
      <c r="C569" s="499"/>
    </row>
    <row r="570" spans="3:3" ht="12.75">
      <c r="C570" s="499"/>
    </row>
    <row r="571" spans="3:3" ht="12.75">
      <c r="C571" s="499"/>
    </row>
    <row r="572" spans="3:3" ht="12.75">
      <c r="C572" s="499"/>
    </row>
    <row r="573" spans="3:3" ht="12.75">
      <c r="C573" s="499"/>
    </row>
    <row r="574" spans="3:3" ht="12.75">
      <c r="C574" s="499"/>
    </row>
    <row r="575" spans="3:3" ht="12.75">
      <c r="C575" s="499"/>
    </row>
    <row r="576" spans="3:3" ht="12.75">
      <c r="C576" s="499"/>
    </row>
    <row r="577" spans="3:3" ht="12.75">
      <c r="C577" s="499"/>
    </row>
    <row r="578" spans="3:3" ht="12.75">
      <c r="C578" s="499"/>
    </row>
    <row r="579" spans="3:3" ht="12.75">
      <c r="C579" s="499"/>
    </row>
    <row r="580" spans="3:3" ht="12.75">
      <c r="C580" s="499"/>
    </row>
    <row r="581" spans="3:3" ht="12.75">
      <c r="C581" s="499"/>
    </row>
    <row r="582" spans="3:3" ht="12.75">
      <c r="C582" s="499"/>
    </row>
    <row r="583" spans="3:3" ht="12.75">
      <c r="C583" s="499"/>
    </row>
    <row r="584" spans="3:3" ht="12.75">
      <c r="C584" s="499"/>
    </row>
    <row r="585" spans="3:3" ht="12.75">
      <c r="C585" s="499"/>
    </row>
    <row r="586" spans="3:3" ht="12.75">
      <c r="C586" s="499"/>
    </row>
    <row r="587" spans="3:3" ht="12.75">
      <c r="C587" s="499"/>
    </row>
    <row r="588" spans="3:3" ht="12.75">
      <c r="C588" s="499"/>
    </row>
    <row r="589" spans="3:3" ht="12.75">
      <c r="C589" s="499"/>
    </row>
    <row r="590" spans="3:3" ht="12.75">
      <c r="C590" s="499"/>
    </row>
    <row r="591" spans="3:3" ht="12.75">
      <c r="C591" s="499"/>
    </row>
    <row r="592" spans="3:3" ht="12.75">
      <c r="C592" s="499"/>
    </row>
    <row r="593" spans="3:3" ht="12.75">
      <c r="C593" s="499"/>
    </row>
    <row r="594" spans="3:3" ht="12.75">
      <c r="C594" s="499"/>
    </row>
    <row r="595" spans="3:3" ht="12.75">
      <c r="C595" s="499"/>
    </row>
    <row r="596" spans="3:3" ht="12.75">
      <c r="C596" s="499"/>
    </row>
    <row r="597" spans="3:3" ht="12.75">
      <c r="C597" s="499"/>
    </row>
    <row r="598" spans="3:3" ht="12.75">
      <c r="C598" s="499"/>
    </row>
    <row r="599" spans="3:3" ht="12.75">
      <c r="C599" s="499"/>
    </row>
    <row r="600" spans="3:3" ht="12.75">
      <c r="C600" s="499"/>
    </row>
    <row r="601" spans="3:3" ht="12.75">
      <c r="C601" s="499"/>
    </row>
    <row r="602" spans="3:3" ht="12.75">
      <c r="C602" s="499"/>
    </row>
    <row r="603" spans="3:3" ht="12.75">
      <c r="C603" s="499"/>
    </row>
    <row r="604" spans="3:3" ht="12.75">
      <c r="C604" s="499"/>
    </row>
    <row r="605" spans="3:3" ht="12.75">
      <c r="C605" s="499"/>
    </row>
    <row r="606" spans="3:3" ht="12.75">
      <c r="C606" s="499"/>
    </row>
    <row r="607" spans="3:3" ht="12.75">
      <c r="C607" s="499"/>
    </row>
    <row r="608" spans="3:3" ht="12.75">
      <c r="C608" s="499"/>
    </row>
    <row r="609" spans="3:3" ht="12.75">
      <c r="C609" s="499"/>
    </row>
    <row r="610" spans="3:3" ht="12.75">
      <c r="C610" s="499"/>
    </row>
    <row r="611" spans="3:3" ht="12.75">
      <c r="C611" s="499"/>
    </row>
    <row r="612" spans="3:3" ht="12.75">
      <c r="C612" s="499"/>
    </row>
    <row r="613" spans="3:3" ht="12.75">
      <c r="C613" s="499"/>
    </row>
    <row r="614" spans="3:3" ht="12.75">
      <c r="C614" s="499"/>
    </row>
    <row r="615" spans="3:3" ht="12.75">
      <c r="C615" s="499"/>
    </row>
    <row r="616" spans="3:3" ht="12.75">
      <c r="C616" s="499"/>
    </row>
    <row r="617" spans="3:3" ht="12.75">
      <c r="C617" s="499"/>
    </row>
    <row r="618" spans="3:3" ht="12.75">
      <c r="C618" s="499"/>
    </row>
    <row r="619" spans="3:3" ht="12.75">
      <c r="C619" s="499"/>
    </row>
    <row r="620" spans="3:3" ht="12.75">
      <c r="C620" s="499"/>
    </row>
    <row r="621" spans="3:3" ht="12.75">
      <c r="C621" s="499"/>
    </row>
    <row r="622" spans="3:3" ht="12.75">
      <c r="C622" s="499"/>
    </row>
    <row r="623" spans="3:3" ht="12.75">
      <c r="C623" s="499"/>
    </row>
    <row r="624" spans="3:3" ht="12.75">
      <c r="C624" s="499"/>
    </row>
    <row r="625" spans="3:3" ht="12.75">
      <c r="C625" s="499"/>
    </row>
    <row r="626" spans="3:3" ht="12.75">
      <c r="C626" s="499"/>
    </row>
    <row r="627" spans="3:3" ht="12.75">
      <c r="C627" s="499"/>
    </row>
    <row r="628" spans="3:3" ht="12.75">
      <c r="C628" s="499"/>
    </row>
    <row r="629" spans="3:3" ht="12.75">
      <c r="C629" s="499"/>
    </row>
    <row r="630" spans="3:3" ht="12.75">
      <c r="C630" s="499"/>
    </row>
    <row r="631" spans="3:3" ht="12.75">
      <c r="C631" s="499"/>
    </row>
    <row r="632" spans="3:3" ht="12.75">
      <c r="C632" s="499"/>
    </row>
    <row r="633" spans="3:3" ht="12.75">
      <c r="C633" s="499"/>
    </row>
    <row r="634" spans="3:3" ht="12.75">
      <c r="C634" s="499"/>
    </row>
    <row r="635" spans="3:3" ht="12.75">
      <c r="C635" s="499"/>
    </row>
    <row r="636" spans="3:3" ht="12.75">
      <c r="C636" s="499"/>
    </row>
    <row r="637" spans="3:3" ht="12.75">
      <c r="C637" s="499"/>
    </row>
    <row r="638" spans="3:3" ht="12.75">
      <c r="C638" s="499"/>
    </row>
    <row r="639" spans="3:3" ht="12.75">
      <c r="C639" s="499"/>
    </row>
    <row r="640" spans="3:3" ht="12.75">
      <c r="C640" s="499"/>
    </row>
    <row r="641" spans="3:3" ht="12.75">
      <c r="C641" s="499"/>
    </row>
    <row r="642" spans="3:3" ht="12.75">
      <c r="C642" s="499"/>
    </row>
    <row r="643" spans="3:3" ht="12.75">
      <c r="C643" s="499"/>
    </row>
    <row r="644" spans="3:3" ht="12.75">
      <c r="C644" s="499"/>
    </row>
    <row r="645" spans="3:3" ht="12.75">
      <c r="C645" s="499"/>
    </row>
    <row r="646" spans="3:3" ht="12.75">
      <c r="C646" s="499"/>
    </row>
    <row r="647" spans="3:3" ht="12.75">
      <c r="C647" s="499"/>
    </row>
    <row r="648" spans="3:3" ht="12.75">
      <c r="C648" s="499"/>
    </row>
    <row r="649" spans="3:3" ht="12.75">
      <c r="C649" s="499"/>
    </row>
    <row r="650" spans="3:3" ht="12.75">
      <c r="C650" s="499"/>
    </row>
    <row r="651" spans="3:3" ht="12.75">
      <c r="C651" s="499"/>
    </row>
    <row r="652" spans="3:3" ht="12.75">
      <c r="C652" s="499"/>
    </row>
    <row r="653" spans="3:3" ht="12.75">
      <c r="C653" s="499"/>
    </row>
    <row r="654" spans="3:3" ht="12.75">
      <c r="C654" s="499"/>
    </row>
    <row r="655" spans="3:3" ht="12.75">
      <c r="C655" s="499"/>
    </row>
    <row r="656" spans="3:3" ht="12.75">
      <c r="C656" s="499"/>
    </row>
    <row r="657" spans="3:3" ht="12.75">
      <c r="C657" s="499"/>
    </row>
    <row r="658" spans="3:3" ht="12.75">
      <c r="C658" s="499"/>
    </row>
    <row r="659" spans="3:3" ht="12.75">
      <c r="C659" s="499"/>
    </row>
    <row r="660" spans="3:3" ht="12.75">
      <c r="C660" s="499"/>
    </row>
    <row r="661" spans="3:3" ht="12.75">
      <c r="C661" s="499"/>
    </row>
    <row r="662" spans="3:3" ht="12.75">
      <c r="C662" s="499"/>
    </row>
    <row r="663" spans="3:3" ht="12.75">
      <c r="C663" s="499"/>
    </row>
    <row r="664" spans="3:3" ht="12.75">
      <c r="C664" s="499"/>
    </row>
    <row r="665" spans="3:3" ht="12.75">
      <c r="C665" s="499"/>
    </row>
    <row r="666" spans="3:3" ht="12.75">
      <c r="C666" s="499"/>
    </row>
    <row r="667" spans="3:3" ht="12.75">
      <c r="C667" s="499"/>
    </row>
    <row r="668" spans="3:3" ht="12.75">
      <c r="C668" s="499"/>
    </row>
    <row r="669" spans="3:3" ht="12.75">
      <c r="C669" s="499"/>
    </row>
    <row r="670" spans="3:3" ht="12.75">
      <c r="C670" s="499"/>
    </row>
    <row r="671" spans="3:3" ht="12.75">
      <c r="C671" s="499"/>
    </row>
    <row r="672" spans="3:3" ht="12.75">
      <c r="C672" s="499"/>
    </row>
    <row r="673" spans="3:3" ht="12.75">
      <c r="C673" s="499"/>
    </row>
    <row r="674" spans="3:3" ht="12.75">
      <c r="C674" s="499"/>
    </row>
    <row r="675" spans="3:3" ht="12.75">
      <c r="C675" s="499"/>
    </row>
    <row r="676" spans="3:3" ht="12.75">
      <c r="C676" s="499"/>
    </row>
    <row r="677" spans="3:3" ht="12.75">
      <c r="C677" s="499"/>
    </row>
    <row r="678" spans="3:3" ht="12.75">
      <c r="C678" s="499"/>
    </row>
    <row r="679" spans="3:3" ht="12.75">
      <c r="C679" s="499"/>
    </row>
    <row r="680" spans="3:3" ht="12.75">
      <c r="C680" s="499"/>
    </row>
    <row r="681" spans="3:3" ht="12.75">
      <c r="C681" s="499"/>
    </row>
    <row r="682" spans="3:3" ht="12.75">
      <c r="C682" s="499"/>
    </row>
    <row r="683" spans="3:3" ht="12.75">
      <c r="C683" s="499"/>
    </row>
    <row r="684" spans="3:3" ht="12.75">
      <c r="C684" s="499"/>
    </row>
    <row r="685" spans="3:3" ht="12.75">
      <c r="C685" s="499"/>
    </row>
    <row r="686" spans="3:3" ht="12.75">
      <c r="C686" s="499"/>
    </row>
    <row r="687" spans="3:3" ht="12.75">
      <c r="C687" s="499"/>
    </row>
    <row r="688" spans="3:3" ht="12.75">
      <c r="C688" s="499"/>
    </row>
    <row r="689" spans="3:3" ht="12.75">
      <c r="C689" s="499"/>
    </row>
    <row r="690" spans="3:3" ht="12.75">
      <c r="C690" s="499"/>
    </row>
    <row r="691" spans="3:3" ht="12.75">
      <c r="C691" s="499"/>
    </row>
    <row r="692" spans="3:3" ht="12.75">
      <c r="C692" s="499"/>
    </row>
    <row r="693" spans="3:3" ht="12.75">
      <c r="C693" s="499"/>
    </row>
    <row r="694" spans="3:3" ht="12.75">
      <c r="C694" s="499"/>
    </row>
    <row r="695" spans="3:3" ht="12.75">
      <c r="C695" s="499"/>
    </row>
    <row r="696" spans="3:3" ht="12.75">
      <c r="C696" s="499"/>
    </row>
    <row r="697" spans="3:3" ht="12.75">
      <c r="C697" s="499"/>
    </row>
    <row r="698" spans="3:3" ht="12.75">
      <c r="C698" s="499"/>
    </row>
    <row r="699" spans="3:3" ht="12.75">
      <c r="C699" s="499"/>
    </row>
    <row r="700" spans="3:3" ht="12.75">
      <c r="C700" s="499"/>
    </row>
    <row r="701" spans="3:3" ht="12.75">
      <c r="C701" s="499"/>
    </row>
    <row r="702" spans="3:3" ht="12.75">
      <c r="C702" s="499"/>
    </row>
    <row r="703" spans="3:3" ht="12.75">
      <c r="C703" s="499"/>
    </row>
    <row r="704" spans="3:3" ht="12.75">
      <c r="C704" s="499"/>
    </row>
    <row r="705" spans="3:3" ht="12.75">
      <c r="C705" s="499"/>
    </row>
    <row r="706" spans="3:3" ht="12.75">
      <c r="C706" s="499"/>
    </row>
    <row r="707" spans="3:3" ht="12.75">
      <c r="C707" s="499"/>
    </row>
    <row r="708" spans="3:3" ht="12.75">
      <c r="C708" s="499"/>
    </row>
    <row r="709" spans="3:3" ht="12.75">
      <c r="C709" s="499"/>
    </row>
    <row r="710" spans="3:3" ht="12.75">
      <c r="C710" s="499"/>
    </row>
    <row r="711" spans="3:3" ht="12.75">
      <c r="C711" s="499"/>
    </row>
    <row r="712" spans="3:3" ht="12.75">
      <c r="C712" s="499"/>
    </row>
    <row r="713" spans="3:3" ht="12.75">
      <c r="C713" s="499"/>
    </row>
    <row r="714" spans="3:3" ht="12.75">
      <c r="C714" s="499"/>
    </row>
    <row r="715" spans="3:3" ht="12.75">
      <c r="C715" s="499"/>
    </row>
    <row r="716" spans="3:3" ht="12.75">
      <c r="C716" s="499"/>
    </row>
    <row r="717" spans="3:3" ht="12.75">
      <c r="C717" s="499"/>
    </row>
    <row r="718" spans="3:3" ht="12.75">
      <c r="C718" s="499"/>
    </row>
    <row r="719" spans="3:3" ht="12.75">
      <c r="C719" s="499"/>
    </row>
    <row r="720" spans="3:3" ht="12.75">
      <c r="C720" s="499"/>
    </row>
    <row r="721" spans="3:3" ht="12.75">
      <c r="C721" s="499"/>
    </row>
    <row r="722" spans="3:3" ht="12.75">
      <c r="C722" s="499"/>
    </row>
    <row r="723" spans="3:3" ht="12.75">
      <c r="C723" s="499"/>
    </row>
    <row r="724" spans="3:3" ht="12.75">
      <c r="C724" s="499"/>
    </row>
    <row r="725" spans="3:3" ht="12.75">
      <c r="C725" s="499"/>
    </row>
    <row r="726" spans="3:3" ht="12.75">
      <c r="C726" s="499"/>
    </row>
    <row r="727" spans="3:3" ht="12.75">
      <c r="C727" s="499"/>
    </row>
    <row r="728" spans="3:3" ht="12.75">
      <c r="C728" s="499"/>
    </row>
    <row r="729" spans="3:3" ht="12.75">
      <c r="C729" s="499"/>
    </row>
    <row r="730" spans="3:3" ht="12.75">
      <c r="C730" s="499"/>
    </row>
    <row r="731" spans="3:3" ht="12.75">
      <c r="C731" s="499"/>
    </row>
    <row r="732" spans="3:3" ht="12.75">
      <c r="C732" s="499"/>
    </row>
    <row r="733" spans="3:3" ht="12.75">
      <c r="C733" s="499"/>
    </row>
    <row r="734" spans="3:3" ht="12.75">
      <c r="C734" s="499"/>
    </row>
    <row r="735" spans="3:3" ht="12.75">
      <c r="C735" s="499"/>
    </row>
    <row r="736" spans="3:3" ht="12.75">
      <c r="C736" s="499"/>
    </row>
    <row r="737" spans="3:3" ht="12.75">
      <c r="C737" s="499"/>
    </row>
    <row r="738" spans="3:3" ht="12.75">
      <c r="C738" s="499"/>
    </row>
    <row r="739" spans="3:3" ht="12.75">
      <c r="C739" s="499"/>
    </row>
    <row r="740" spans="3:3" ht="12.75">
      <c r="C740" s="499"/>
    </row>
    <row r="741" spans="3:3" ht="12.75">
      <c r="C741" s="499"/>
    </row>
    <row r="742" spans="3:3" ht="12.75">
      <c r="C742" s="499"/>
    </row>
    <row r="743" spans="3:3" ht="12.75">
      <c r="C743" s="499"/>
    </row>
    <row r="744" spans="3:3" ht="12.75">
      <c r="C744" s="499"/>
    </row>
    <row r="745" spans="3:3" ht="12.75">
      <c r="C745" s="499"/>
    </row>
    <row r="746" spans="3:3" ht="12.75">
      <c r="C746" s="499"/>
    </row>
    <row r="747" spans="3:3" ht="12.75">
      <c r="C747" s="499"/>
    </row>
    <row r="748" spans="3:3" ht="12.75">
      <c r="C748" s="499"/>
    </row>
    <row r="749" spans="3:3" ht="12.75">
      <c r="C749" s="499"/>
    </row>
    <row r="750" spans="3:3" ht="12.75">
      <c r="C750" s="499"/>
    </row>
    <row r="751" spans="3:3" ht="12.75">
      <c r="C751" s="499"/>
    </row>
    <row r="752" spans="3:3" ht="12.75">
      <c r="C752" s="499"/>
    </row>
    <row r="753" spans="3:3" ht="12.75">
      <c r="C753" s="499"/>
    </row>
    <row r="754" spans="3:3" ht="12.75">
      <c r="C754" s="499"/>
    </row>
    <row r="755" spans="3:3" ht="12.75">
      <c r="C755" s="499"/>
    </row>
    <row r="756" spans="3:3" ht="12.75">
      <c r="C756" s="499"/>
    </row>
    <row r="757" spans="3:3" ht="12.75">
      <c r="C757" s="499"/>
    </row>
    <row r="758" spans="3:3" ht="12.75">
      <c r="C758" s="499"/>
    </row>
    <row r="759" spans="3:3" ht="12.75">
      <c r="C759" s="499"/>
    </row>
    <row r="760" spans="3:3" ht="12.75">
      <c r="C760" s="499"/>
    </row>
    <row r="761" spans="3:3" ht="12.75">
      <c r="C761" s="499"/>
    </row>
    <row r="762" spans="3:3" ht="12.75">
      <c r="C762" s="499"/>
    </row>
    <row r="763" spans="3:3" ht="12.75">
      <c r="C763" s="499"/>
    </row>
    <row r="764" spans="3:3" ht="12.75">
      <c r="C764" s="499"/>
    </row>
    <row r="765" spans="3:3" ht="12.75">
      <c r="C765" s="499"/>
    </row>
    <row r="766" spans="3:3" ht="12.75">
      <c r="C766" s="499"/>
    </row>
    <row r="767" spans="3:3" ht="12.75">
      <c r="C767" s="499"/>
    </row>
    <row r="768" spans="3:3" ht="12.75">
      <c r="C768" s="499"/>
    </row>
    <row r="769" spans="3:3" ht="12.75">
      <c r="C769" s="499"/>
    </row>
    <row r="770" spans="3:3" ht="12.75">
      <c r="C770" s="499"/>
    </row>
    <row r="771" spans="3:3" ht="12.75">
      <c r="C771" s="499"/>
    </row>
    <row r="772" spans="3:3" ht="12.75">
      <c r="C772" s="499"/>
    </row>
    <row r="773" spans="3:3" ht="12.75">
      <c r="C773" s="499"/>
    </row>
    <row r="774" spans="3:3" ht="12.75">
      <c r="C774" s="499"/>
    </row>
    <row r="775" spans="3:3" ht="12.75">
      <c r="C775" s="499"/>
    </row>
    <row r="776" spans="3:3" ht="12.75">
      <c r="C776" s="499"/>
    </row>
    <row r="777" spans="3:3" ht="12.75">
      <c r="C777" s="499"/>
    </row>
    <row r="778" spans="3:3" ht="12.75">
      <c r="C778" s="499"/>
    </row>
    <row r="779" spans="3:3" ht="12.75">
      <c r="C779" s="499"/>
    </row>
    <row r="780" spans="3:3" ht="12.75">
      <c r="C780" s="499"/>
    </row>
    <row r="781" spans="3:3" ht="12.75">
      <c r="C781" s="499"/>
    </row>
    <row r="782" spans="3:3" ht="12.75">
      <c r="C782" s="499"/>
    </row>
    <row r="783" spans="3:3" ht="12.75">
      <c r="C783" s="499"/>
    </row>
    <row r="784" spans="3:3" ht="12.75">
      <c r="C784" s="499"/>
    </row>
    <row r="785" spans="3:3" ht="12.75">
      <c r="C785" s="499"/>
    </row>
    <row r="786" spans="3:3" ht="12.75">
      <c r="C786" s="499"/>
    </row>
    <row r="787" spans="3:3" ht="12.75">
      <c r="C787" s="499"/>
    </row>
    <row r="788" spans="3:3" ht="12.75">
      <c r="C788" s="499"/>
    </row>
    <row r="789" spans="3:3" ht="12.75">
      <c r="C789" s="499"/>
    </row>
    <row r="790" spans="3:3" ht="12.75">
      <c r="C790" s="499"/>
    </row>
    <row r="791" spans="3:3" ht="12.75">
      <c r="C791" s="499"/>
    </row>
    <row r="792" spans="3:3" ht="12.75">
      <c r="C792" s="499"/>
    </row>
    <row r="793" spans="3:3" ht="12.75">
      <c r="C793" s="499"/>
    </row>
    <row r="794" spans="3:3" ht="12.75">
      <c r="C794" s="499"/>
    </row>
    <row r="795" spans="3:3" ht="12.75">
      <c r="C795" s="499"/>
    </row>
    <row r="796" spans="3:3" ht="12.75">
      <c r="C796" s="499"/>
    </row>
    <row r="797" spans="3:3" ht="12.75">
      <c r="C797" s="499"/>
    </row>
    <row r="798" spans="3:3" ht="12.75">
      <c r="C798" s="499"/>
    </row>
    <row r="799" spans="3:3" ht="12.75">
      <c r="C799" s="499"/>
    </row>
    <row r="800" spans="3:3" ht="12.75">
      <c r="C800" s="499"/>
    </row>
    <row r="801" spans="3:3" ht="12.75">
      <c r="C801" s="499"/>
    </row>
    <row r="802" spans="3:3" ht="12.75">
      <c r="C802" s="499"/>
    </row>
    <row r="803" spans="3:3" ht="12.75">
      <c r="C803" s="499"/>
    </row>
    <row r="804" spans="3:3" ht="12.75">
      <c r="C804" s="499"/>
    </row>
    <row r="805" spans="3:3" ht="12.75">
      <c r="C805" s="499"/>
    </row>
    <row r="806" spans="3:3" ht="12.75">
      <c r="C806" s="499"/>
    </row>
    <row r="807" spans="3:3" ht="12.75">
      <c r="C807" s="499"/>
    </row>
    <row r="808" spans="3:3" ht="12.75">
      <c r="C808" s="499"/>
    </row>
    <row r="809" spans="3:3" ht="12.75">
      <c r="C809" s="499"/>
    </row>
    <row r="810" spans="3:3" ht="12.75">
      <c r="C810" s="499"/>
    </row>
    <row r="811" spans="3:3" ht="12.75">
      <c r="C811" s="499"/>
    </row>
    <row r="812" spans="3:3" ht="12.75">
      <c r="C812" s="499"/>
    </row>
    <row r="813" spans="3:3" ht="12.75">
      <c r="C813" s="499"/>
    </row>
    <row r="814" spans="3:3" ht="12.75">
      <c r="C814" s="499"/>
    </row>
    <row r="815" spans="3:3" ht="12.75">
      <c r="C815" s="499"/>
    </row>
    <row r="816" spans="3:3" ht="12.75">
      <c r="C816" s="499"/>
    </row>
    <row r="817" spans="3:3" ht="12.75">
      <c r="C817" s="499"/>
    </row>
    <row r="818" spans="3:3" ht="12.75">
      <c r="C818" s="499"/>
    </row>
    <row r="819" spans="3:3" ht="12.75">
      <c r="C819" s="499"/>
    </row>
    <row r="820" spans="3:3" ht="12.75">
      <c r="C820" s="499"/>
    </row>
    <row r="821" spans="3:3" ht="12.75">
      <c r="C821" s="499"/>
    </row>
    <row r="822" spans="3:3" ht="12.75">
      <c r="C822" s="499"/>
    </row>
    <row r="823" spans="3:3" ht="12.75">
      <c r="C823" s="499"/>
    </row>
    <row r="824" spans="3:3" ht="12.75">
      <c r="C824" s="499"/>
    </row>
    <row r="825" spans="3:3" ht="12.75">
      <c r="C825" s="499"/>
    </row>
    <row r="826" spans="3:3" ht="12.75">
      <c r="C826" s="499"/>
    </row>
    <row r="827" spans="3:3" ht="12.75">
      <c r="C827" s="499"/>
    </row>
    <row r="828" spans="3:3" ht="12.75">
      <c r="C828" s="499"/>
    </row>
    <row r="829" spans="3:3" ht="12.75">
      <c r="C829" s="499"/>
    </row>
    <row r="830" spans="3:3" ht="12.75">
      <c r="C830" s="499"/>
    </row>
    <row r="831" spans="3:3" ht="12.75">
      <c r="C831" s="499"/>
    </row>
    <row r="832" spans="3:3" ht="12.75">
      <c r="C832" s="499"/>
    </row>
    <row r="833" spans="3:3" ht="12.75">
      <c r="C833" s="499"/>
    </row>
    <row r="834" spans="3:3" ht="12.75">
      <c r="C834" s="499"/>
    </row>
    <row r="835" spans="3:3" ht="12.75">
      <c r="C835" s="499"/>
    </row>
    <row r="836" spans="3:3" ht="12.75">
      <c r="C836" s="499"/>
    </row>
    <row r="837" spans="3:3" ht="12.75">
      <c r="C837" s="499"/>
    </row>
    <row r="838" spans="3:3" ht="12.75">
      <c r="C838" s="499"/>
    </row>
    <row r="839" spans="3:3" ht="12.75">
      <c r="C839" s="499"/>
    </row>
    <row r="840" spans="3:3" ht="12.75">
      <c r="C840" s="499"/>
    </row>
    <row r="841" spans="3:3" ht="12.75">
      <c r="C841" s="499"/>
    </row>
    <row r="842" spans="3:3" ht="12.75">
      <c r="C842" s="499"/>
    </row>
    <row r="843" spans="3:3" ht="12.75">
      <c r="C843" s="499"/>
    </row>
    <row r="844" spans="3:3" ht="12.75">
      <c r="C844" s="499"/>
    </row>
    <row r="845" spans="3:3" ht="12.75">
      <c r="C845" s="499"/>
    </row>
    <row r="846" spans="3:3" ht="12.75">
      <c r="C846" s="499"/>
    </row>
    <row r="847" spans="3:3" ht="12.75">
      <c r="C847" s="499"/>
    </row>
    <row r="848" spans="3:3" ht="12.75">
      <c r="C848" s="499"/>
    </row>
    <row r="849" spans="3:3" ht="12.75">
      <c r="C849" s="499"/>
    </row>
    <row r="850" spans="3:3" ht="12.75">
      <c r="C850" s="499"/>
    </row>
    <row r="851" spans="3:3" ht="12.75">
      <c r="C851" s="499"/>
    </row>
    <row r="852" spans="3:3" ht="12.75">
      <c r="C852" s="499"/>
    </row>
    <row r="853" spans="3:3" ht="12.75">
      <c r="C853" s="499"/>
    </row>
    <row r="854" spans="3:3" ht="12.75">
      <c r="C854" s="499"/>
    </row>
    <row r="855" spans="3:3" ht="12.75">
      <c r="C855" s="499"/>
    </row>
    <row r="856" spans="3:3" ht="12.75">
      <c r="C856" s="499"/>
    </row>
    <row r="857" spans="3:3" ht="12.75">
      <c r="C857" s="499"/>
    </row>
    <row r="858" spans="3:3" ht="12.75">
      <c r="C858" s="499"/>
    </row>
    <row r="859" spans="3:3" ht="12.75">
      <c r="C859" s="499"/>
    </row>
    <row r="860" spans="3:3" ht="12.75">
      <c r="C860" s="499"/>
    </row>
    <row r="861" spans="3:3" ht="12.75">
      <c r="C861" s="499"/>
    </row>
    <row r="862" spans="3:3" ht="12.75">
      <c r="C862" s="499"/>
    </row>
    <row r="863" spans="3:3" ht="12.75">
      <c r="C863" s="499"/>
    </row>
    <row r="864" spans="3:3" ht="12.75">
      <c r="C864" s="499"/>
    </row>
    <row r="865" spans="3:3" ht="12.75">
      <c r="C865" s="499"/>
    </row>
    <row r="866" spans="3:3" ht="12.75">
      <c r="C866" s="499"/>
    </row>
    <row r="867" spans="3:3" ht="12.75">
      <c r="C867" s="499"/>
    </row>
    <row r="868" spans="3:3" ht="12.75">
      <c r="C868" s="499"/>
    </row>
    <row r="869" spans="3:3" ht="12.75">
      <c r="C869" s="499"/>
    </row>
    <row r="870" spans="3:3" ht="12.75">
      <c r="C870" s="499"/>
    </row>
    <row r="871" spans="3:3" ht="12.75">
      <c r="C871" s="499"/>
    </row>
    <row r="872" spans="3:3" ht="12.75">
      <c r="C872" s="499"/>
    </row>
    <row r="873" spans="3:3" ht="12.75">
      <c r="C873" s="499"/>
    </row>
    <row r="874" spans="3:3" ht="12.75">
      <c r="C874" s="499"/>
    </row>
    <row r="875" spans="3:3" ht="12.75">
      <c r="C875" s="499"/>
    </row>
    <row r="876" spans="3:3" ht="12.75">
      <c r="C876" s="499"/>
    </row>
    <row r="877" spans="3:3" ht="12.75">
      <c r="C877" s="499"/>
    </row>
    <row r="878" spans="3:3" ht="12.75">
      <c r="C878" s="499"/>
    </row>
    <row r="879" spans="3:3" ht="12.75">
      <c r="C879" s="499"/>
    </row>
    <row r="880" spans="3:3" ht="12.75">
      <c r="C880" s="499"/>
    </row>
    <row r="881" spans="3:3" ht="12.75">
      <c r="C881" s="499"/>
    </row>
    <row r="882" spans="3:3" ht="12.75">
      <c r="C882" s="499"/>
    </row>
    <row r="883" spans="3:3" ht="12.75">
      <c r="C883" s="499"/>
    </row>
    <row r="884" spans="3:3" ht="12.75">
      <c r="C884" s="499"/>
    </row>
    <row r="885" spans="3:3" ht="12.75">
      <c r="C885" s="499"/>
    </row>
    <row r="886" spans="3:3" ht="12.75">
      <c r="C886" s="499"/>
    </row>
    <row r="887" spans="3:3" ht="12.75">
      <c r="C887" s="499"/>
    </row>
    <row r="888" spans="3:3" ht="12.75">
      <c r="C888" s="499"/>
    </row>
    <row r="889" spans="3:3" ht="12.75">
      <c r="C889" s="499"/>
    </row>
    <row r="890" spans="3:3" ht="12.75">
      <c r="C890" s="499"/>
    </row>
    <row r="891" spans="3:3" ht="12.75">
      <c r="C891" s="499"/>
    </row>
    <row r="892" spans="3:3" ht="12.75">
      <c r="C892" s="499"/>
    </row>
    <row r="893" spans="3:3" ht="12.75">
      <c r="C893" s="499"/>
    </row>
    <row r="894" spans="3:3" ht="12.75">
      <c r="C894" s="499"/>
    </row>
    <row r="895" spans="3:3" ht="12.75">
      <c r="C895" s="499"/>
    </row>
    <row r="896" spans="3:3" ht="12.75">
      <c r="C896" s="499"/>
    </row>
    <row r="897" spans="3:3" ht="12.75">
      <c r="C897" s="499"/>
    </row>
    <row r="898" spans="3:3" ht="12.75">
      <c r="C898" s="499"/>
    </row>
    <row r="899" spans="3:3" ht="12.75">
      <c r="C899" s="499"/>
    </row>
    <row r="900" spans="3:3" ht="12.75">
      <c r="C900" s="499"/>
    </row>
    <row r="901" spans="3:3" ht="12.75">
      <c r="C901" s="499"/>
    </row>
    <row r="902" spans="3:3" ht="12.75">
      <c r="C902" s="499"/>
    </row>
    <row r="903" spans="3:3" ht="12.75">
      <c r="C903" s="499"/>
    </row>
    <row r="904" spans="3:3" ht="12.75">
      <c r="C904" s="499"/>
    </row>
    <row r="905" spans="3:3" ht="12.75">
      <c r="C905" s="499"/>
    </row>
    <row r="906" spans="3:3" ht="12.75">
      <c r="C906" s="499"/>
    </row>
    <row r="907" spans="3:3" ht="12.75">
      <c r="C907" s="499"/>
    </row>
    <row r="908" spans="3:3" ht="12.75">
      <c r="C908" s="499"/>
    </row>
    <row r="909" spans="3:3" ht="12.75">
      <c r="C909" s="499"/>
    </row>
    <row r="910" spans="3:3" ht="12.75">
      <c r="C910" s="499"/>
    </row>
    <row r="911" spans="3:3" ht="12.75">
      <c r="C911" s="499"/>
    </row>
    <row r="912" spans="3:3" ht="12.75">
      <c r="C912" s="499"/>
    </row>
    <row r="913" spans="3:3" ht="12.75">
      <c r="C913" s="499"/>
    </row>
    <row r="914" spans="3:3" ht="12.75">
      <c r="C914" s="499"/>
    </row>
    <row r="915" spans="3:3" ht="12.75">
      <c r="C915" s="499"/>
    </row>
    <row r="916" spans="3:3" ht="12.75">
      <c r="C916" s="499"/>
    </row>
    <row r="917" spans="3:3" ht="12.75">
      <c r="C917" s="499"/>
    </row>
    <row r="918" spans="3:3" ht="12.75">
      <c r="C918" s="499"/>
    </row>
    <row r="919" spans="3:3" ht="12.75">
      <c r="C919" s="499"/>
    </row>
    <row r="920" spans="3:3" ht="12.75">
      <c r="C920" s="499"/>
    </row>
    <row r="921" spans="3:3" ht="12.75">
      <c r="C921" s="499"/>
    </row>
    <row r="922" spans="3:3" ht="12.75">
      <c r="C922" s="499"/>
    </row>
    <row r="923" spans="3:3" ht="12.75">
      <c r="C923" s="499"/>
    </row>
    <row r="924" spans="3:3" ht="12.75">
      <c r="C924" s="499"/>
    </row>
    <row r="925" spans="3:3" ht="12.75">
      <c r="C925" s="499"/>
    </row>
    <row r="926" spans="3:3" ht="12.75">
      <c r="C926" s="499"/>
    </row>
    <row r="927" spans="3:3" ht="12.75">
      <c r="C927" s="499"/>
    </row>
    <row r="928" spans="3:3" ht="12.75">
      <c r="C928" s="499"/>
    </row>
    <row r="929" spans="3:3" ht="12.75">
      <c r="C929" s="499"/>
    </row>
    <row r="930" spans="3:3" ht="12.75">
      <c r="C930" s="499"/>
    </row>
    <row r="931" spans="3:3" ht="12.75">
      <c r="C931" s="499"/>
    </row>
    <row r="932" spans="3:3" ht="12.75">
      <c r="C932" s="499"/>
    </row>
    <row r="933" spans="3:3" ht="12.75">
      <c r="C933" s="499"/>
    </row>
    <row r="934" spans="3:3" ht="12.75">
      <c r="C934" s="499"/>
    </row>
    <row r="935" spans="3:3" ht="12.75">
      <c r="C935" s="499"/>
    </row>
    <row r="936" spans="3:3" ht="12.75">
      <c r="C936" s="499"/>
    </row>
    <row r="937" spans="3:3" ht="12.75">
      <c r="C937" s="499"/>
    </row>
    <row r="938" spans="3:3" ht="12.75">
      <c r="C938" s="499"/>
    </row>
    <row r="939" spans="3:3" ht="12.75">
      <c r="C939" s="499"/>
    </row>
    <row r="940" spans="3:3" ht="12.75">
      <c r="C940" s="499"/>
    </row>
    <row r="941" spans="3:3" ht="12.75">
      <c r="C941" s="499"/>
    </row>
    <row r="942" spans="3:3" ht="12.75">
      <c r="C942" s="499"/>
    </row>
    <row r="943" spans="3:3" ht="12.75">
      <c r="C943" s="499"/>
    </row>
    <row r="944" spans="3:3" ht="12.75">
      <c r="C944" s="499"/>
    </row>
    <row r="945" spans="3:3" ht="12.75">
      <c r="C945" s="499"/>
    </row>
    <row r="946" spans="3:3" ht="12.75">
      <c r="C946" s="499"/>
    </row>
    <row r="947" spans="3:3" ht="12.75">
      <c r="C947" s="499"/>
    </row>
    <row r="948" spans="3:3" ht="12.75">
      <c r="C948" s="499"/>
    </row>
    <row r="949" spans="3:3" ht="12.75">
      <c r="C949" s="499"/>
    </row>
    <row r="950" spans="3:3" ht="12.75">
      <c r="C950" s="499"/>
    </row>
    <row r="951" spans="3:3" ht="12.75">
      <c r="C951" s="499"/>
    </row>
    <row r="952" spans="3:3" ht="12.75">
      <c r="C952" s="499"/>
    </row>
    <row r="953" spans="3:3" ht="12.75">
      <c r="C953" s="499"/>
    </row>
    <row r="954" spans="3:3" ht="12.75">
      <c r="C954" s="499"/>
    </row>
    <row r="955" spans="3:3" ht="12.75">
      <c r="C955" s="499"/>
    </row>
    <row r="956" spans="3:3" ht="12.75">
      <c r="C956" s="499"/>
    </row>
    <row r="957" spans="3:3" ht="12.75">
      <c r="C957" s="499"/>
    </row>
    <row r="958" spans="3:3" ht="12.75">
      <c r="C958" s="499"/>
    </row>
    <row r="959" spans="3:3" ht="12.75">
      <c r="C959" s="499"/>
    </row>
    <row r="960" spans="3:3" ht="12.75">
      <c r="C960" s="499"/>
    </row>
    <row r="961" spans="3:3" ht="12.75">
      <c r="C961" s="499"/>
    </row>
    <row r="962" spans="3:3" ht="12.75">
      <c r="C962" s="499"/>
    </row>
    <row r="963" spans="3:3" ht="12.75">
      <c r="C963" s="499"/>
    </row>
    <row r="964" spans="3:3" ht="12.75">
      <c r="C964" s="499"/>
    </row>
    <row r="965" spans="3:3" ht="12.75">
      <c r="C965" s="499"/>
    </row>
    <row r="966" spans="3:3" ht="12.75">
      <c r="C966" s="499"/>
    </row>
    <row r="967" spans="3:3" ht="12.75">
      <c r="C967" s="499"/>
    </row>
    <row r="968" spans="3:3" ht="12.75">
      <c r="C968" s="499"/>
    </row>
    <row r="969" spans="3:3" ht="12.75">
      <c r="C969" s="499"/>
    </row>
    <row r="970" spans="3:3" ht="12.75">
      <c r="C970" s="499"/>
    </row>
    <row r="971" spans="3:3" ht="12.75">
      <c r="C971" s="499"/>
    </row>
    <row r="972" spans="3:3" ht="12.75">
      <c r="C972" s="499"/>
    </row>
    <row r="973" spans="3:3" ht="12.75">
      <c r="C973" s="499"/>
    </row>
    <row r="974" spans="3:3" ht="12.75">
      <c r="C974" s="499"/>
    </row>
    <row r="975" spans="3:3" ht="12.75">
      <c r="C975" s="499"/>
    </row>
    <row r="976" spans="3:3" ht="12.75">
      <c r="C976" s="499"/>
    </row>
    <row r="977" spans="3:3" ht="12.75">
      <c r="C977" s="499"/>
    </row>
    <row r="978" spans="3:3" ht="12.75">
      <c r="C978" s="499"/>
    </row>
    <row r="979" spans="3:3" ht="12.75">
      <c r="C979" s="499"/>
    </row>
    <row r="980" spans="3:3" ht="12.75">
      <c r="C980" s="499"/>
    </row>
    <row r="981" spans="3:3" ht="12.75">
      <c r="C981" s="499"/>
    </row>
    <row r="982" spans="3:3" ht="12.75">
      <c r="C982" s="499"/>
    </row>
    <row r="983" spans="3:3" ht="12.75">
      <c r="C983" s="499"/>
    </row>
    <row r="984" spans="3:3" ht="12.75">
      <c r="C984" s="499"/>
    </row>
    <row r="985" spans="3:3" ht="12.75">
      <c r="C985" s="499"/>
    </row>
    <row r="986" spans="3:3" ht="12.75">
      <c r="C986" s="499"/>
    </row>
    <row r="987" spans="3:3" ht="12.75">
      <c r="C987" s="499"/>
    </row>
    <row r="988" spans="3:3" ht="12.75">
      <c r="C988" s="499"/>
    </row>
    <row r="989" spans="3:3" ht="12.75">
      <c r="C989" s="499"/>
    </row>
    <row r="990" spans="3:3" ht="12.75">
      <c r="C990" s="499"/>
    </row>
    <row r="991" spans="3:3" ht="12.75">
      <c r="C991" s="499"/>
    </row>
    <row r="992" spans="3:3" ht="12.75">
      <c r="C992" s="499"/>
    </row>
    <row r="993" spans="3:3" ht="12.75">
      <c r="C993" s="499"/>
    </row>
    <row r="994" spans="3:3" ht="12.75">
      <c r="C994" s="499"/>
    </row>
    <row r="995" spans="3:3" ht="12.75">
      <c r="C995" s="499"/>
    </row>
    <row r="996" spans="3:3" ht="12.75">
      <c r="C996" s="499"/>
    </row>
    <row r="997" spans="3:3" ht="12.75">
      <c r="C997" s="499"/>
    </row>
    <row r="998" spans="3:3" ht="12.75">
      <c r="C998" s="499"/>
    </row>
    <row r="999" spans="3:3" ht="12.75">
      <c r="C999" s="499"/>
    </row>
    <row r="1000" spans="3:3" ht="12.75">
      <c r="C1000" s="499"/>
    </row>
    <row r="1001" spans="3:3" ht="12.75">
      <c r="C1001" s="499"/>
    </row>
    <row r="1002" spans="3:3" ht="12.75">
      <c r="C1002" s="499"/>
    </row>
    <row r="1003" spans="3:3" ht="12.75">
      <c r="C1003" s="499"/>
    </row>
    <row r="1004" spans="3:3" ht="12.75">
      <c r="C1004" s="499"/>
    </row>
    <row r="1005" spans="3:3" ht="12.75">
      <c r="C1005" s="499"/>
    </row>
    <row r="1006" spans="3:3" ht="12.75">
      <c r="C1006" s="499"/>
    </row>
    <row r="1007" spans="3:3" ht="12.75">
      <c r="C1007" s="499"/>
    </row>
    <row r="1008" spans="3:3" ht="12.75">
      <c r="C1008" s="499"/>
    </row>
    <row r="1009" spans="3:3" ht="12.75">
      <c r="C1009" s="499"/>
    </row>
    <row r="1010" spans="3:3" ht="12.75">
      <c r="C1010" s="499"/>
    </row>
    <row r="1011" spans="3:3" ht="12.75">
      <c r="C1011" s="499"/>
    </row>
    <row r="1012" spans="3:3" ht="12.75">
      <c r="C1012" s="499"/>
    </row>
    <row r="1013" spans="3:3" ht="12.75">
      <c r="C1013" s="499"/>
    </row>
    <row r="1014" spans="3:3" ht="12.75">
      <c r="C1014" s="499"/>
    </row>
    <row r="1015" spans="3:3" ht="12.75">
      <c r="C1015" s="499"/>
    </row>
    <row r="1016" spans="3:3" ht="12.75">
      <c r="C1016" s="499"/>
    </row>
    <row r="1017" spans="3:3" ht="12.75">
      <c r="C1017" s="499"/>
    </row>
    <row r="1018" spans="3:3" ht="12.75">
      <c r="C1018" s="499"/>
    </row>
    <row r="1019" spans="3:3" ht="12.75">
      <c r="C1019" s="499"/>
    </row>
    <row r="1020" spans="3:3" ht="12.75">
      <c r="C1020" s="499"/>
    </row>
    <row r="1021" spans="3:3" ht="12.75">
      <c r="C1021" s="499"/>
    </row>
    <row r="1022" spans="3:3" ht="12.75">
      <c r="C1022" s="499"/>
    </row>
    <row r="1023" spans="3:3" ht="12.75">
      <c r="C1023" s="499"/>
    </row>
    <row r="1024" spans="3:3" ht="12.75">
      <c r="C1024" s="499"/>
    </row>
    <row r="1025" spans="3:3" ht="12.75">
      <c r="C1025" s="499"/>
    </row>
    <row r="1026" spans="3:3" ht="12.75">
      <c r="C1026" s="499"/>
    </row>
    <row r="1027" spans="3:3" ht="12.75">
      <c r="C1027" s="499"/>
    </row>
    <row r="1028" spans="3:3" ht="12.75">
      <c r="C1028" s="499"/>
    </row>
    <row r="1029" spans="3:3" ht="12.75">
      <c r="C1029" s="499"/>
    </row>
    <row r="1030" spans="3:3" ht="12.75">
      <c r="C1030" s="499"/>
    </row>
    <row r="1031" spans="3:3" ht="12.75">
      <c r="C1031" s="499"/>
    </row>
    <row r="1032" spans="3:3" ht="12.75">
      <c r="C1032" s="499"/>
    </row>
    <row r="1033" spans="3:3" ht="12.75">
      <c r="C1033" s="499"/>
    </row>
    <row r="1034" spans="3:3" ht="12.75">
      <c r="C1034" s="499"/>
    </row>
    <row r="1035" spans="3:3" ht="12.75">
      <c r="C1035" s="499"/>
    </row>
    <row r="1036" spans="3:3" ht="12.75">
      <c r="C1036" s="499"/>
    </row>
    <row r="1037" spans="3:3" ht="12.75">
      <c r="C1037" s="499"/>
    </row>
    <row r="1038" spans="3:3" ht="12.75">
      <c r="C1038" s="499"/>
    </row>
    <row r="1039" spans="3:3" ht="12.75">
      <c r="C1039" s="499"/>
    </row>
  </sheetData>
  <mergeCells count="3">
    <mergeCell ref="K82:K83"/>
    <mergeCell ref="K87:K88"/>
    <mergeCell ref="K92:K93"/>
  </mergeCells>
  <printOptions horizontalCentered="1" gridLines="1"/>
  <pageMargins left="0.25" right="0.25" top="0.75" bottom="0.75" header="0" footer="0"/>
  <pageSetup paperSize="9" fitToHeight="0" pageOrder="overThenDown" orientation="landscape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  <pageSetUpPr fitToPage="1"/>
  </sheetPr>
  <dimension ref="A1:K1046"/>
  <sheetViews>
    <sheetView workbookViewId="0"/>
  </sheetViews>
  <sheetFormatPr defaultColWidth="12.5703125" defaultRowHeight="15.75" customHeight="1"/>
  <cols>
    <col min="1" max="1" width="9.28515625" customWidth="1"/>
    <col min="2" max="2" width="43.7109375" customWidth="1"/>
    <col min="4" max="4" width="19.28515625" customWidth="1"/>
    <col min="9" max="9" width="20" customWidth="1"/>
    <col min="10" max="10" width="19.85546875" customWidth="1"/>
    <col min="11" max="11" width="19.5703125" customWidth="1"/>
  </cols>
  <sheetData>
    <row r="1" spans="1:11" ht="12.75">
      <c r="A1" s="1" t="s">
        <v>199</v>
      </c>
      <c r="C1" s="499"/>
    </row>
    <row r="2" spans="1:11" ht="12.75">
      <c r="C2" s="499"/>
    </row>
    <row r="3" spans="1:11" ht="63.75">
      <c r="A3" s="18" t="s">
        <v>5</v>
      </c>
      <c r="B3" s="20" t="s">
        <v>7</v>
      </c>
      <c r="C3" s="217" t="s">
        <v>159</v>
      </c>
      <c r="D3" s="24" t="s">
        <v>10</v>
      </c>
      <c r="E3" s="288" t="s">
        <v>243</v>
      </c>
      <c r="F3" s="289" t="s">
        <v>244</v>
      </c>
      <c r="G3" s="290" t="s">
        <v>245</v>
      </c>
      <c r="H3" s="291" t="s">
        <v>246</v>
      </c>
      <c r="I3" s="22" t="s">
        <v>13</v>
      </c>
      <c r="J3" s="134" t="s">
        <v>162</v>
      </c>
      <c r="K3" s="14"/>
    </row>
    <row r="4" spans="1:11" ht="12.75">
      <c r="A4" s="219"/>
      <c r="B4" s="328"/>
      <c r="C4" s="311"/>
      <c r="D4" s="312"/>
      <c r="E4" s="379"/>
      <c r="F4" s="315"/>
      <c r="G4" s="315"/>
      <c r="H4" s="315"/>
      <c r="I4" s="314"/>
      <c r="J4" s="380"/>
      <c r="K4" s="33"/>
    </row>
    <row r="5" spans="1:11" ht="12.75">
      <c r="A5" s="269">
        <v>1</v>
      </c>
      <c r="B5" s="4" t="s">
        <v>478</v>
      </c>
      <c r="C5" s="59">
        <v>7</v>
      </c>
      <c r="D5" s="59" t="s">
        <v>385</v>
      </c>
      <c r="E5" s="59">
        <v>90</v>
      </c>
      <c r="F5" s="59">
        <v>30</v>
      </c>
      <c r="G5" s="59">
        <v>78750</v>
      </c>
      <c r="H5" s="59">
        <v>20125</v>
      </c>
      <c r="I5" s="59"/>
      <c r="J5" s="59" t="s">
        <v>388</v>
      </c>
      <c r="K5" s="14"/>
    </row>
    <row r="6" spans="1:11" ht="12.75">
      <c r="A6" s="269">
        <v>2</v>
      </c>
      <c r="B6" s="4" t="s">
        <v>479</v>
      </c>
      <c r="C6" s="59">
        <v>5</v>
      </c>
      <c r="D6" s="455" t="s">
        <v>413</v>
      </c>
      <c r="E6" s="59"/>
      <c r="F6" s="59"/>
      <c r="G6" s="59">
        <v>26250</v>
      </c>
      <c r="H6" s="59">
        <v>19250</v>
      </c>
      <c r="I6" s="59"/>
      <c r="J6" s="59" t="s">
        <v>388</v>
      </c>
      <c r="K6" s="324"/>
    </row>
    <row r="7" spans="1:11" ht="12.75">
      <c r="A7" s="269">
        <v>3</v>
      </c>
      <c r="B7" s="4" t="s">
        <v>340</v>
      </c>
      <c r="C7" s="59">
        <v>5</v>
      </c>
      <c r="D7" s="59" t="s">
        <v>400</v>
      </c>
      <c r="E7" s="59"/>
      <c r="F7" s="59">
        <v>19</v>
      </c>
      <c r="G7" s="59">
        <v>17500</v>
      </c>
      <c r="H7" s="59">
        <v>17500</v>
      </c>
      <c r="I7" s="59"/>
      <c r="J7" s="59" t="s">
        <v>331</v>
      </c>
      <c r="K7" s="303"/>
    </row>
    <row r="8" spans="1:11" ht="12.75">
      <c r="A8" s="269">
        <v>4</v>
      </c>
      <c r="B8" s="4" t="s">
        <v>435</v>
      </c>
      <c r="C8" s="59">
        <v>7.04</v>
      </c>
      <c r="D8" s="512">
        <v>45604</v>
      </c>
      <c r="E8" s="59"/>
      <c r="F8" s="59"/>
      <c r="G8" s="59"/>
      <c r="H8" s="59"/>
      <c r="I8" s="59"/>
      <c r="J8" s="59"/>
      <c r="K8" s="324"/>
    </row>
    <row r="9" spans="1:11" ht="12.75">
      <c r="A9" s="269">
        <v>5</v>
      </c>
      <c r="B9" s="4" t="s">
        <v>430</v>
      </c>
      <c r="C9" s="59">
        <v>7.04</v>
      </c>
      <c r="D9" s="59" t="s">
        <v>431</v>
      </c>
      <c r="E9" s="59"/>
      <c r="F9" s="59"/>
      <c r="G9" s="59"/>
      <c r="H9" s="59"/>
      <c r="I9" s="59"/>
      <c r="J9" s="59"/>
      <c r="K9" s="324"/>
    </row>
    <row r="10" spans="1:11" ht="12.75">
      <c r="A10" s="269">
        <v>6</v>
      </c>
      <c r="B10" s="4" t="s">
        <v>29</v>
      </c>
      <c r="C10" s="59">
        <v>5</v>
      </c>
      <c r="D10" s="59" t="s">
        <v>209</v>
      </c>
      <c r="E10" s="59">
        <v>31</v>
      </c>
      <c r="F10" s="59">
        <v>31</v>
      </c>
      <c r="G10" s="59">
        <v>32000</v>
      </c>
      <c r="H10" s="59">
        <f>G10/E10*F10</f>
        <v>32000</v>
      </c>
      <c r="I10" s="59"/>
      <c r="J10" s="59" t="s">
        <v>331</v>
      </c>
      <c r="K10" s="14"/>
    </row>
    <row r="11" spans="1:11" ht="12.75">
      <c r="A11" s="269">
        <v>7</v>
      </c>
      <c r="B11" s="4" t="s">
        <v>335</v>
      </c>
      <c r="C11" s="59">
        <v>5</v>
      </c>
      <c r="D11" s="59" t="s">
        <v>434</v>
      </c>
      <c r="E11" s="59">
        <v>31</v>
      </c>
      <c r="F11" s="59">
        <v>30</v>
      </c>
      <c r="G11" s="59">
        <v>46000</v>
      </c>
      <c r="H11" s="59">
        <v>46000</v>
      </c>
      <c r="I11" s="59"/>
      <c r="J11" s="59" t="s">
        <v>331</v>
      </c>
      <c r="K11" s="451"/>
    </row>
    <row r="12" spans="1:11" ht="12.75">
      <c r="A12" s="269">
        <v>8</v>
      </c>
      <c r="B12" s="4" t="s">
        <v>480</v>
      </c>
      <c r="C12" s="59">
        <v>5</v>
      </c>
      <c r="D12" s="59"/>
      <c r="E12" s="59"/>
      <c r="F12" s="59"/>
      <c r="G12" s="59"/>
      <c r="H12" s="59"/>
      <c r="I12" s="59"/>
      <c r="J12" s="59"/>
      <c r="K12" s="14"/>
    </row>
    <row r="13" spans="1:11" ht="12.75">
      <c r="A13" s="269">
        <v>9</v>
      </c>
      <c r="B13" s="4" t="s">
        <v>410</v>
      </c>
      <c r="C13" s="59">
        <v>5.0599999999999996</v>
      </c>
      <c r="D13" s="59" t="s">
        <v>411</v>
      </c>
      <c r="E13" s="59"/>
      <c r="F13" s="59"/>
      <c r="G13" s="59">
        <v>26250</v>
      </c>
      <c r="H13" s="59">
        <v>26250</v>
      </c>
      <c r="I13" s="59"/>
      <c r="J13" s="59"/>
      <c r="K13" s="474"/>
    </row>
    <row r="14" spans="1:11" ht="12.75">
      <c r="A14" s="269">
        <v>10</v>
      </c>
      <c r="B14" s="4" t="s">
        <v>338</v>
      </c>
      <c r="C14" s="59">
        <v>7</v>
      </c>
      <c r="D14" s="59" t="s">
        <v>481</v>
      </c>
      <c r="E14" s="59"/>
      <c r="F14" s="59">
        <v>18</v>
      </c>
      <c r="G14" s="59">
        <v>20000</v>
      </c>
      <c r="H14" s="59">
        <v>20000</v>
      </c>
      <c r="I14" s="59"/>
      <c r="J14" s="59" t="s">
        <v>210</v>
      </c>
      <c r="K14" s="303"/>
    </row>
    <row r="15" spans="1:11" ht="12.75">
      <c r="A15" s="269">
        <v>11</v>
      </c>
      <c r="B15" s="4" t="s">
        <v>332</v>
      </c>
      <c r="C15" s="59">
        <v>5</v>
      </c>
      <c r="D15" s="59" t="s">
        <v>333</v>
      </c>
      <c r="E15" s="59">
        <v>31</v>
      </c>
      <c r="F15" s="59">
        <v>31</v>
      </c>
      <c r="G15" s="59">
        <v>20000</v>
      </c>
      <c r="H15" s="59">
        <v>20000</v>
      </c>
      <c r="I15" s="59"/>
      <c r="J15" s="59" t="s">
        <v>331</v>
      </c>
      <c r="K15" s="14"/>
    </row>
    <row r="16" spans="1:11" ht="12.75">
      <c r="A16" s="269">
        <v>12</v>
      </c>
      <c r="B16" s="4" t="s">
        <v>23</v>
      </c>
      <c r="C16" s="59">
        <v>5.04</v>
      </c>
      <c r="D16" s="59" t="s">
        <v>209</v>
      </c>
      <c r="E16" s="59">
        <v>31</v>
      </c>
      <c r="F16" s="59">
        <v>31</v>
      </c>
      <c r="G16" s="59">
        <v>30000</v>
      </c>
      <c r="H16" s="59">
        <f>G16/E16*F16</f>
        <v>30000</v>
      </c>
      <c r="I16" s="59"/>
      <c r="J16" s="59" t="s">
        <v>331</v>
      </c>
      <c r="K16" s="14"/>
    </row>
    <row r="17" spans="1:11" ht="12.75">
      <c r="A17" s="269">
        <v>13</v>
      </c>
      <c r="B17" s="4" t="s">
        <v>432</v>
      </c>
      <c r="C17" s="59">
        <v>7.22</v>
      </c>
      <c r="D17" s="59" t="s">
        <v>433</v>
      </c>
      <c r="E17" s="59">
        <v>30</v>
      </c>
      <c r="F17" s="59"/>
      <c r="G17" s="59">
        <v>37000</v>
      </c>
      <c r="H17" s="59"/>
      <c r="I17" s="59"/>
      <c r="J17" s="59" t="s">
        <v>428</v>
      </c>
      <c r="K17" s="14"/>
    </row>
    <row r="18" spans="1:11" ht="12.75">
      <c r="A18" s="482"/>
      <c r="B18" s="481" t="s">
        <v>482</v>
      </c>
      <c r="C18" s="454">
        <v>5</v>
      </c>
      <c r="D18" s="477" t="s">
        <v>483</v>
      </c>
      <c r="E18" s="456">
        <v>30</v>
      </c>
      <c r="F18" s="478">
        <v>4</v>
      </c>
      <c r="G18" s="478">
        <v>37000</v>
      </c>
      <c r="H18" s="478">
        <v>4900</v>
      </c>
      <c r="I18" s="498"/>
      <c r="J18" s="450" t="s">
        <v>428</v>
      </c>
      <c r="K18" s="501" t="s">
        <v>484</v>
      </c>
    </row>
    <row r="19" spans="1:11" ht="12.75">
      <c r="A19" s="269">
        <v>14</v>
      </c>
      <c r="B19" s="4" t="s">
        <v>26</v>
      </c>
      <c r="C19" s="59">
        <v>10</v>
      </c>
      <c r="D19" s="45" t="s">
        <v>209</v>
      </c>
      <c r="E19" s="47">
        <v>31</v>
      </c>
      <c r="F19" s="223">
        <v>31</v>
      </c>
      <c r="G19" s="223">
        <v>14000</v>
      </c>
      <c r="H19" s="221">
        <f>G19/E19*F19</f>
        <v>14000</v>
      </c>
      <c r="I19" s="220"/>
      <c r="J19" s="228" t="s">
        <v>337</v>
      </c>
      <c r="K19" s="14"/>
    </row>
    <row r="20" spans="1:11" ht="12.75">
      <c r="A20" s="269"/>
      <c r="B20" s="253"/>
      <c r="C20" s="59"/>
      <c r="D20" s="45"/>
      <c r="E20" s="47"/>
      <c r="F20" s="223"/>
      <c r="G20" s="223"/>
      <c r="H20" s="223"/>
      <c r="I20" s="209"/>
      <c r="J20" s="228"/>
      <c r="K20" s="14"/>
    </row>
    <row r="21" spans="1:11" ht="12.75">
      <c r="A21" s="482"/>
      <c r="B21" s="453"/>
      <c r="C21" s="454"/>
      <c r="D21" s="455" t="s">
        <v>431</v>
      </c>
      <c r="E21" s="456"/>
      <c r="F21" s="458"/>
      <c r="G21" s="458"/>
      <c r="H21" s="458"/>
      <c r="I21" s="460"/>
      <c r="J21" s="450"/>
      <c r="K21" s="451"/>
    </row>
    <row r="22" spans="1:11" ht="15.75" customHeight="1">
      <c r="A22" s="269"/>
      <c r="B22" s="253"/>
      <c r="C22" s="59"/>
      <c r="D22" s="251"/>
      <c r="E22" s="400"/>
      <c r="F22" s="401"/>
      <c r="G22" s="402"/>
      <c r="H22" s="222"/>
      <c r="I22" s="395"/>
      <c r="J22" s="260"/>
      <c r="K22" s="303"/>
    </row>
    <row r="23" spans="1:11" ht="12.75">
      <c r="A23" s="114"/>
      <c r="B23" s="236" t="s">
        <v>177</v>
      </c>
      <c r="C23" s="6">
        <f>SUM(C3:C22)</f>
        <v>90.4</v>
      </c>
      <c r="D23" s="109"/>
      <c r="E23" s="110"/>
      <c r="F23" s="237"/>
      <c r="G23" s="237">
        <f t="shared" ref="G23:I23" si="0">SUM(G4:G22)</f>
        <v>384750</v>
      </c>
      <c r="H23" s="237">
        <f t="shared" si="0"/>
        <v>250025</v>
      </c>
      <c r="I23" s="237">
        <f t="shared" si="0"/>
        <v>0</v>
      </c>
      <c r="J23" s="238">
        <f>H23+I23</f>
        <v>250025</v>
      </c>
      <c r="K23" s="14"/>
    </row>
    <row r="24" spans="1:11" ht="12.75">
      <c r="A24" s="114"/>
      <c r="B24" s="29"/>
      <c r="C24" s="6"/>
      <c r="D24" s="118"/>
      <c r="E24" s="120"/>
      <c r="F24" s="239"/>
      <c r="G24" s="239"/>
      <c r="H24" s="114"/>
      <c r="I24" s="114"/>
      <c r="J24" s="100"/>
      <c r="K24" s="14"/>
    </row>
    <row r="25" spans="1:11" ht="12.75">
      <c r="A25" s="316"/>
      <c r="B25" s="234"/>
      <c r="C25" s="153"/>
      <c r="D25" s="234"/>
      <c r="E25" s="234"/>
      <c r="F25" s="234"/>
      <c r="G25" s="300"/>
      <c r="H25" s="300"/>
      <c r="I25" s="227"/>
      <c r="J25" s="403"/>
      <c r="K25" s="33"/>
    </row>
    <row r="26" spans="1:11" ht="12.75">
      <c r="A26" s="317"/>
      <c r="B26" s="405"/>
      <c r="C26" s="406"/>
      <c r="D26" s="407"/>
      <c r="E26" s="408"/>
      <c r="F26" s="398"/>
      <c r="G26" s="398"/>
      <c r="H26" s="475"/>
      <c r="I26" s="410"/>
      <c r="J26" s="380"/>
      <c r="K26" s="33"/>
    </row>
    <row r="27" spans="1:11" ht="12.75">
      <c r="A27" s="317"/>
      <c r="B27" s="305"/>
      <c r="C27" s="98"/>
      <c r="D27" s="105"/>
      <c r="E27" s="200"/>
      <c r="F27" s="281"/>
      <c r="G27" s="281"/>
      <c r="H27" s="306"/>
      <c r="I27" s="306"/>
      <c r="J27" s="307"/>
      <c r="K27" s="33"/>
    </row>
    <row r="28" spans="1:11" ht="15.75" customHeight="1">
      <c r="A28" s="269"/>
      <c r="B28" s="453" t="s">
        <v>47</v>
      </c>
      <c r="C28" s="311"/>
      <c r="D28" s="454" t="s">
        <v>401</v>
      </c>
      <c r="E28" s="396">
        <v>30</v>
      </c>
      <c r="F28" s="397"/>
      <c r="G28" s="398" t="s">
        <v>402</v>
      </c>
      <c r="H28" s="314">
        <v>3700</v>
      </c>
      <c r="I28" s="462" t="s">
        <v>275</v>
      </c>
      <c r="J28" s="463" t="s">
        <v>403</v>
      </c>
      <c r="K28" s="303"/>
    </row>
    <row r="29" spans="1:11" ht="12.75">
      <c r="A29" s="317"/>
      <c r="B29" s="231"/>
      <c r="C29" s="98"/>
      <c r="D29" s="105"/>
      <c r="E29" s="47"/>
      <c r="F29" s="225"/>
      <c r="G29" s="225"/>
      <c r="H29" s="221"/>
      <c r="I29" s="225"/>
      <c r="J29" s="192"/>
      <c r="K29" s="33"/>
    </row>
    <row r="30" spans="1:11" ht="12.75">
      <c r="C30" s="499"/>
    </row>
    <row r="31" spans="1:11" ht="12.75">
      <c r="A31" s="2"/>
      <c r="B31" s="4"/>
      <c r="C31" s="6"/>
      <c r="D31" s="8"/>
      <c r="E31" s="11"/>
      <c r="F31" s="220"/>
      <c r="G31" s="220"/>
      <c r="H31" s="6"/>
      <c r="I31" s="6"/>
      <c r="J31" s="100"/>
      <c r="K31" s="14"/>
    </row>
    <row r="32" spans="1:11" ht="63.75">
      <c r="A32" s="219" t="s">
        <v>5</v>
      </c>
      <c r="B32" s="125" t="s">
        <v>74</v>
      </c>
      <c r="C32" s="217" t="s">
        <v>159</v>
      </c>
      <c r="D32" s="129" t="s">
        <v>10</v>
      </c>
      <c r="E32" s="288" t="s">
        <v>243</v>
      </c>
      <c r="F32" s="289" t="s">
        <v>244</v>
      </c>
      <c r="G32" s="290" t="s">
        <v>245</v>
      </c>
      <c r="H32" s="291" t="s">
        <v>246</v>
      </c>
      <c r="I32" s="22" t="s">
        <v>13</v>
      </c>
      <c r="J32" s="240" t="s">
        <v>162</v>
      </c>
      <c r="K32" s="14"/>
    </row>
    <row r="33" spans="1:11" ht="12.75">
      <c r="A33" s="269">
        <v>1</v>
      </c>
      <c r="B33" s="481" t="s">
        <v>485</v>
      </c>
      <c r="C33" s="59">
        <v>7.06</v>
      </c>
      <c r="D33" s="8" t="s">
        <v>385</v>
      </c>
      <c r="E33" s="6">
        <v>90</v>
      </c>
      <c r="F33" s="220">
        <v>30</v>
      </c>
      <c r="G33" s="6">
        <v>78750</v>
      </c>
      <c r="H33" s="223">
        <v>20125</v>
      </c>
      <c r="I33" s="220"/>
      <c r="J33" s="481" t="s">
        <v>331</v>
      </c>
      <c r="K33" s="491"/>
    </row>
    <row r="34" spans="1:11" ht="12.75">
      <c r="A34" s="269">
        <v>2</v>
      </c>
      <c r="B34" s="481" t="s">
        <v>486</v>
      </c>
      <c r="C34" s="59">
        <v>5</v>
      </c>
      <c r="D34" s="234" t="s">
        <v>413</v>
      </c>
      <c r="G34" s="1">
        <v>26250</v>
      </c>
      <c r="H34" s="1">
        <v>19250</v>
      </c>
      <c r="K34" s="14"/>
    </row>
    <row r="35" spans="1:11" ht="12.75">
      <c r="A35" s="269">
        <v>3</v>
      </c>
      <c r="B35" s="481" t="s">
        <v>29</v>
      </c>
      <c r="C35" s="59">
        <v>5</v>
      </c>
      <c r="D35" s="8" t="s">
        <v>209</v>
      </c>
      <c r="E35" s="6">
        <v>31</v>
      </c>
      <c r="F35" s="220">
        <v>31</v>
      </c>
      <c r="G35" s="6">
        <v>32000</v>
      </c>
      <c r="H35" s="220">
        <f>G35/E35*F35</f>
        <v>32000</v>
      </c>
      <c r="I35" s="220"/>
      <c r="J35" s="481" t="s">
        <v>331</v>
      </c>
      <c r="K35" s="14"/>
    </row>
    <row r="36" spans="1:11" ht="16.5" customHeight="1">
      <c r="A36" s="269">
        <v>4</v>
      </c>
      <c r="B36" s="481" t="s">
        <v>435</v>
      </c>
      <c r="C36" s="59">
        <v>7.04</v>
      </c>
      <c r="D36" s="8" t="s">
        <v>431</v>
      </c>
      <c r="E36" s="6"/>
      <c r="F36" s="220"/>
      <c r="G36" s="6"/>
      <c r="H36" s="220"/>
      <c r="I36" s="220"/>
      <c r="J36" s="481"/>
      <c r="K36" s="14"/>
    </row>
    <row r="37" spans="1:11" ht="16.5" customHeight="1">
      <c r="A37" s="269">
        <v>5</v>
      </c>
      <c r="B37" s="481" t="s">
        <v>430</v>
      </c>
      <c r="C37" s="59">
        <v>7.04</v>
      </c>
      <c r="D37" s="8" t="s">
        <v>431</v>
      </c>
      <c r="E37" s="6"/>
      <c r="F37" s="220"/>
      <c r="G37" s="6"/>
      <c r="H37" s="220"/>
      <c r="I37" s="220"/>
      <c r="J37" s="481"/>
      <c r="K37" s="14"/>
    </row>
    <row r="38" spans="1:11" ht="12.75">
      <c r="A38" s="269">
        <v>6</v>
      </c>
      <c r="B38" s="481" t="s">
        <v>487</v>
      </c>
      <c r="C38" s="59">
        <v>5</v>
      </c>
      <c r="D38" s="8" t="s">
        <v>424</v>
      </c>
      <c r="E38" s="6"/>
      <c r="F38" s="220">
        <v>18</v>
      </c>
      <c r="G38" s="6">
        <v>20000</v>
      </c>
      <c r="H38" s="223">
        <v>12000</v>
      </c>
      <c r="I38" s="220"/>
      <c r="J38" s="481" t="s">
        <v>331</v>
      </c>
      <c r="K38" s="324"/>
    </row>
    <row r="39" spans="1:11" ht="12.75">
      <c r="A39" s="269">
        <v>7</v>
      </c>
      <c r="B39" s="481" t="s">
        <v>363</v>
      </c>
      <c r="C39" s="59">
        <v>5</v>
      </c>
      <c r="D39" s="8" t="s">
        <v>457</v>
      </c>
      <c r="E39" s="6"/>
      <c r="F39" s="220">
        <v>15</v>
      </c>
      <c r="G39" s="6"/>
      <c r="H39" s="220"/>
      <c r="I39" s="220"/>
      <c r="J39" s="481"/>
      <c r="K39" s="491"/>
    </row>
    <row r="40" spans="1:11" ht="12.75">
      <c r="A40" s="269">
        <v>8</v>
      </c>
      <c r="B40" s="481" t="s">
        <v>366</v>
      </c>
      <c r="C40" s="59">
        <v>5</v>
      </c>
      <c r="D40" s="8" t="s">
        <v>426</v>
      </c>
      <c r="E40" s="6"/>
      <c r="F40" s="220"/>
      <c r="G40" s="6">
        <v>17500</v>
      </c>
      <c r="H40" s="223">
        <v>11083</v>
      </c>
      <c r="I40" s="220"/>
      <c r="J40" s="481" t="s">
        <v>331</v>
      </c>
      <c r="K40" s="491"/>
    </row>
    <row r="41" spans="1:11" ht="16.5" customHeight="1">
      <c r="A41" s="269">
        <v>9</v>
      </c>
      <c r="B41" s="481" t="s">
        <v>356</v>
      </c>
      <c r="C41" s="59">
        <v>7.04</v>
      </c>
      <c r="D41" s="8" t="s">
        <v>357</v>
      </c>
      <c r="E41" s="6"/>
      <c r="F41" s="220">
        <v>31</v>
      </c>
      <c r="G41" s="6">
        <v>29750</v>
      </c>
      <c r="H41" s="223">
        <v>17850</v>
      </c>
      <c r="I41" s="220"/>
      <c r="J41" s="481" t="s">
        <v>417</v>
      </c>
      <c r="K41" s="14"/>
    </row>
    <row r="42" spans="1:11" ht="12.75">
      <c r="A42" s="269">
        <v>10</v>
      </c>
      <c r="B42" s="481" t="s">
        <v>332</v>
      </c>
      <c r="C42" s="59">
        <v>5</v>
      </c>
      <c r="D42" s="8" t="s">
        <v>333</v>
      </c>
      <c r="E42" s="6"/>
      <c r="F42" s="220">
        <v>31</v>
      </c>
      <c r="G42" s="6">
        <v>20000</v>
      </c>
      <c r="H42" s="223">
        <v>17330</v>
      </c>
      <c r="I42" s="220"/>
      <c r="J42" s="481" t="s">
        <v>331</v>
      </c>
      <c r="K42" s="324"/>
    </row>
    <row r="43" spans="1:11" ht="12.75">
      <c r="A43" s="269">
        <v>11</v>
      </c>
      <c r="B43" s="481" t="s">
        <v>290</v>
      </c>
      <c r="C43" s="59">
        <v>8</v>
      </c>
      <c r="D43" s="8" t="s">
        <v>427</v>
      </c>
      <c r="E43" s="6"/>
      <c r="F43" s="220"/>
      <c r="G43" s="6">
        <v>30000</v>
      </c>
      <c r="H43" s="223">
        <v>20000</v>
      </c>
      <c r="I43" s="220"/>
      <c r="J43" s="481" t="s">
        <v>428</v>
      </c>
      <c r="K43" s="324" t="s">
        <v>199</v>
      </c>
    </row>
    <row r="44" spans="1:11" ht="12.75">
      <c r="A44" s="269">
        <v>12</v>
      </c>
      <c r="B44" s="481" t="s">
        <v>29</v>
      </c>
      <c r="C44" s="59">
        <v>5</v>
      </c>
      <c r="D44" s="8"/>
      <c r="E44" s="6"/>
      <c r="F44" s="220"/>
      <c r="G44" s="6"/>
      <c r="H44" s="220"/>
      <c r="I44" s="220"/>
      <c r="J44" s="481"/>
      <c r="K44" s="324"/>
    </row>
    <row r="45" spans="1:11" ht="12.75">
      <c r="A45" s="269">
        <v>13</v>
      </c>
      <c r="B45" s="481"/>
      <c r="C45" s="6"/>
      <c r="D45" s="8"/>
      <c r="E45" s="6"/>
      <c r="F45" s="220"/>
      <c r="G45" s="6"/>
      <c r="H45" s="220"/>
      <c r="I45" s="220"/>
      <c r="J45" s="481"/>
      <c r="K45" s="496"/>
    </row>
    <row r="46" spans="1:11" ht="12.75">
      <c r="A46" s="269">
        <v>14</v>
      </c>
      <c r="B46" s="481"/>
      <c r="C46" s="6"/>
      <c r="D46" s="8"/>
      <c r="E46" s="6"/>
      <c r="F46" s="220"/>
      <c r="G46" s="6"/>
      <c r="H46" s="220"/>
      <c r="I46" s="220"/>
      <c r="J46" s="481"/>
      <c r="K46" s="324"/>
    </row>
    <row r="47" spans="1:11" ht="12.75">
      <c r="A47" s="2"/>
      <c r="B47" s="236" t="s">
        <v>177</v>
      </c>
      <c r="C47" s="6">
        <f>SUM(C33:C46)</f>
        <v>71.180000000000007</v>
      </c>
      <c r="D47" s="8"/>
      <c r="E47" s="6">
        <f>SUM(E33:E46)</f>
        <v>121</v>
      </c>
      <c r="F47" s="220"/>
      <c r="G47" s="6">
        <f t="shared" ref="G47:I47" si="1">SUM(G33:G46)</f>
        <v>254250</v>
      </c>
      <c r="H47" s="220">
        <f t="shared" si="1"/>
        <v>149638</v>
      </c>
      <c r="I47" s="220">
        <f t="shared" si="1"/>
        <v>0</v>
      </c>
      <c r="J47" s="238">
        <f>H47+I47</f>
        <v>149638</v>
      </c>
      <c r="K47" s="14"/>
    </row>
    <row r="48" spans="1:11" ht="12.75">
      <c r="A48" s="116"/>
      <c r="B48" s="29"/>
      <c r="C48" s="6"/>
      <c r="D48" s="118"/>
      <c r="E48" s="120"/>
      <c r="F48" s="255"/>
      <c r="G48" s="255"/>
      <c r="H48" s="116"/>
      <c r="I48" s="116"/>
      <c r="J48" s="100"/>
      <c r="K48" s="14"/>
    </row>
    <row r="49" spans="1:11" ht="12.75">
      <c r="A49" s="433"/>
      <c r="B49" s="234"/>
      <c r="C49" s="500"/>
      <c r="E49" s="234"/>
      <c r="F49" s="234"/>
      <c r="G49" s="300"/>
      <c r="H49" s="300"/>
      <c r="I49" s="301"/>
      <c r="J49" s="403"/>
      <c r="K49" s="14"/>
    </row>
    <row r="50" spans="1:11" ht="16.5" customHeight="1">
      <c r="A50" s="269">
        <v>5</v>
      </c>
      <c r="B50" s="481" t="s">
        <v>418</v>
      </c>
      <c r="C50" s="6"/>
      <c r="D50" s="8" t="s">
        <v>419</v>
      </c>
      <c r="E50" s="6">
        <v>30</v>
      </c>
      <c r="F50" s="220"/>
      <c r="G50" s="6" t="s">
        <v>420</v>
      </c>
      <c r="H50" s="223">
        <v>3500</v>
      </c>
      <c r="I50" s="220" t="s">
        <v>275</v>
      </c>
      <c r="J50" s="481" t="s">
        <v>421</v>
      </c>
      <c r="K50" s="451"/>
    </row>
    <row r="51" spans="1:11" ht="12.75">
      <c r="A51" s="433"/>
      <c r="B51" s="310"/>
      <c r="C51" s="311"/>
      <c r="D51" s="312"/>
      <c r="E51" s="412"/>
      <c r="F51" s="315"/>
      <c r="G51" s="412"/>
      <c r="H51" s="315"/>
      <c r="I51" s="315"/>
      <c r="J51" s="329"/>
      <c r="K51" s="14"/>
    </row>
    <row r="52" spans="1:11" ht="12.75">
      <c r="A52" s="433"/>
      <c r="B52" s="434"/>
      <c r="C52" s="507"/>
      <c r="D52" s="436"/>
      <c r="E52" s="437"/>
      <c r="F52" s="438"/>
      <c r="G52" s="438"/>
      <c r="H52" s="438"/>
      <c r="I52" s="438"/>
      <c r="J52" s="439"/>
      <c r="K52" s="14"/>
    </row>
    <row r="53" spans="1:11" ht="12.75">
      <c r="A53" s="433"/>
      <c r="B53" s="236"/>
      <c r="C53" s="59"/>
      <c r="D53" s="45"/>
      <c r="E53" s="6"/>
      <c r="F53" s="220"/>
      <c r="G53" s="223"/>
      <c r="H53" s="223"/>
      <c r="I53" s="220"/>
      <c r="J53" s="440"/>
      <c r="K53" s="14"/>
    </row>
    <row r="54" spans="1:11" ht="12.75">
      <c r="A54" s="433"/>
      <c r="B54" s="328"/>
      <c r="C54" s="311"/>
      <c r="D54" s="312"/>
      <c r="E54" s="313"/>
      <c r="F54" s="314"/>
      <c r="G54" s="314"/>
      <c r="H54" s="315"/>
      <c r="I54" s="412"/>
      <c r="J54" s="413"/>
      <c r="K54" s="14"/>
    </row>
    <row r="55" spans="1:11" ht="12.75">
      <c r="A55" s="508"/>
      <c r="B55" s="342"/>
      <c r="C55" s="217"/>
      <c r="D55" s="129"/>
      <c r="E55" s="288"/>
      <c r="F55" s="289"/>
      <c r="G55" s="290"/>
      <c r="H55" s="291"/>
      <c r="I55" s="22"/>
      <c r="J55" s="240"/>
      <c r="K55" s="14"/>
    </row>
    <row r="56" spans="1:11" ht="12.75">
      <c r="A56" s="508"/>
      <c r="B56" s="342"/>
      <c r="C56" s="217"/>
      <c r="D56" s="129"/>
      <c r="E56" s="288"/>
      <c r="F56" s="289"/>
      <c r="G56" s="290"/>
      <c r="H56" s="291"/>
      <c r="I56" s="22"/>
      <c r="J56" s="240"/>
      <c r="K56" s="14"/>
    </row>
    <row r="57" spans="1:11" ht="12.75">
      <c r="A57" s="508"/>
      <c r="B57" s="342"/>
      <c r="C57" s="217"/>
      <c r="D57" s="129"/>
      <c r="E57" s="288"/>
      <c r="F57" s="289"/>
      <c r="G57" s="290"/>
      <c r="H57" s="291"/>
      <c r="I57" s="22"/>
      <c r="J57" s="240"/>
      <c r="K57" s="14"/>
    </row>
    <row r="58" spans="1:11" ht="63.75">
      <c r="A58" s="139" t="s">
        <v>5</v>
      </c>
      <c r="B58" s="191" t="s">
        <v>315</v>
      </c>
      <c r="C58" s="513" t="s">
        <v>159</v>
      </c>
      <c r="D58" s="514" t="s">
        <v>10</v>
      </c>
      <c r="E58" s="515" t="s">
        <v>243</v>
      </c>
      <c r="F58" s="516" t="s">
        <v>244</v>
      </c>
      <c r="G58" s="517" t="s">
        <v>245</v>
      </c>
      <c r="H58" s="518" t="s">
        <v>246</v>
      </c>
      <c r="I58" s="519" t="s">
        <v>13</v>
      </c>
      <c r="J58" s="240" t="s">
        <v>162</v>
      </c>
      <c r="K58" s="14"/>
    </row>
    <row r="59" spans="1:11" ht="12.75">
      <c r="A59" s="144">
        <v>1</v>
      </c>
      <c r="B59" s="284" t="s">
        <v>488</v>
      </c>
      <c r="C59" s="144">
        <v>7.06</v>
      </c>
      <c r="D59" s="234" t="s">
        <v>489</v>
      </c>
      <c r="E59" s="103">
        <v>90</v>
      </c>
      <c r="F59" s="103">
        <v>30</v>
      </c>
      <c r="G59" s="258">
        <v>26250</v>
      </c>
      <c r="H59" s="270">
        <v>20125</v>
      </c>
      <c r="I59" s="100"/>
      <c r="J59" s="144" t="s">
        <v>452</v>
      </c>
      <c r="K59" s="14"/>
    </row>
    <row r="60" spans="1:11" ht="12.75">
      <c r="A60" s="144">
        <v>2</v>
      </c>
      <c r="B60" s="284" t="s">
        <v>453</v>
      </c>
      <c r="C60" s="144">
        <v>5</v>
      </c>
      <c r="D60" s="144" t="s">
        <v>465</v>
      </c>
      <c r="E60" s="103">
        <v>30</v>
      </c>
      <c r="F60" s="103">
        <v>30</v>
      </c>
      <c r="G60" s="258">
        <v>26250</v>
      </c>
      <c r="H60" s="270">
        <v>19250</v>
      </c>
      <c r="I60" s="100"/>
      <c r="J60" s="144" t="s">
        <v>455</v>
      </c>
      <c r="K60" s="14"/>
    </row>
    <row r="61" spans="1:11" ht="12.75">
      <c r="A61" s="144">
        <v>3</v>
      </c>
      <c r="B61" s="284" t="s">
        <v>448</v>
      </c>
      <c r="C61" s="144">
        <v>10</v>
      </c>
      <c r="D61" s="144" t="s">
        <v>467</v>
      </c>
      <c r="E61" s="103"/>
      <c r="F61" s="103"/>
      <c r="G61" s="258"/>
      <c r="H61" s="237"/>
      <c r="I61" s="100"/>
      <c r="J61" s="192" t="s">
        <v>118</v>
      </c>
      <c r="K61" s="14"/>
    </row>
    <row r="62" spans="1:11" ht="12.75">
      <c r="A62" s="144">
        <v>4</v>
      </c>
      <c r="B62" s="284" t="s">
        <v>466</v>
      </c>
      <c r="C62" s="144">
        <v>7.04</v>
      </c>
      <c r="D62" s="144" t="s">
        <v>467</v>
      </c>
      <c r="E62" s="103"/>
      <c r="F62" s="103"/>
      <c r="G62" s="258"/>
      <c r="H62" s="237"/>
      <c r="I62" s="100"/>
      <c r="J62" s="144" t="s">
        <v>118</v>
      </c>
      <c r="K62" s="14"/>
    </row>
    <row r="63" spans="1:11" ht="12.75">
      <c r="A63" s="144">
        <v>5</v>
      </c>
      <c r="B63" s="284" t="s">
        <v>468</v>
      </c>
      <c r="C63" s="144">
        <v>5.03</v>
      </c>
      <c r="D63" s="144" t="s">
        <v>467</v>
      </c>
      <c r="E63" s="103"/>
      <c r="F63" s="103"/>
      <c r="G63" s="258"/>
      <c r="H63" s="237"/>
      <c r="I63" s="100"/>
      <c r="J63" s="144" t="s">
        <v>118</v>
      </c>
      <c r="K63" s="14"/>
    </row>
    <row r="64" spans="1:11" ht="12.75">
      <c r="A64" s="144">
        <v>6</v>
      </c>
      <c r="B64" s="284" t="s">
        <v>490</v>
      </c>
      <c r="C64" s="144">
        <v>7.01</v>
      </c>
      <c r="D64" s="144" t="s">
        <v>491</v>
      </c>
      <c r="E64" s="103"/>
      <c r="F64" s="103"/>
      <c r="G64" s="258"/>
      <c r="H64" s="237"/>
      <c r="I64" s="100"/>
      <c r="J64" s="100"/>
      <c r="K64" s="14"/>
    </row>
    <row r="65" spans="1:11" ht="12.75">
      <c r="A65" s="144">
        <v>7</v>
      </c>
      <c r="B65" s="284" t="s">
        <v>448</v>
      </c>
      <c r="C65" s="144">
        <v>10</v>
      </c>
      <c r="D65" s="144" t="s">
        <v>467</v>
      </c>
      <c r="E65" s="110"/>
      <c r="F65" s="233"/>
      <c r="G65" s="233"/>
      <c r="H65" s="100"/>
      <c r="I65" s="100"/>
      <c r="J65" s="100"/>
      <c r="K65" s="14"/>
    </row>
    <row r="66" spans="1:11" ht="12.75">
      <c r="A66" s="100"/>
      <c r="B66" s="181"/>
      <c r="C66" s="100"/>
      <c r="D66" s="109"/>
      <c r="E66" s="110"/>
      <c r="F66" s="233"/>
      <c r="G66" s="233"/>
      <c r="H66" s="100"/>
      <c r="I66" s="100"/>
      <c r="J66" s="100"/>
      <c r="K66" s="14"/>
    </row>
    <row r="67" spans="1:11" ht="12.75">
      <c r="A67" s="144">
        <v>7</v>
      </c>
      <c r="B67" s="284" t="s">
        <v>469</v>
      </c>
      <c r="C67" s="100">
        <f>SUM(C58:C66)</f>
        <v>51.139999999999993</v>
      </c>
      <c r="D67" s="109"/>
      <c r="E67" s="262"/>
      <c r="F67" s="237"/>
      <c r="G67" s="323" t="s">
        <v>177</v>
      </c>
      <c r="H67" s="238">
        <f>SUM(H64:I64)</f>
        <v>0</v>
      </c>
      <c r="I67" s="144"/>
      <c r="J67" s="260"/>
      <c r="K67" s="14"/>
    </row>
    <row r="68" spans="1:11" ht="3.75" customHeight="1">
      <c r="A68" s="2"/>
      <c r="B68" s="29"/>
      <c r="C68" s="6"/>
      <c r="D68" s="8"/>
      <c r="E68" s="11"/>
      <c r="F68" s="220"/>
      <c r="G68" s="220"/>
      <c r="H68" s="6"/>
      <c r="I68" s="6"/>
      <c r="J68" s="100"/>
      <c r="K68" s="14"/>
    </row>
    <row r="69" spans="1:11" ht="49.5" customHeight="1">
      <c r="A69" s="219"/>
      <c r="B69" s="335"/>
      <c r="C69" s="217"/>
      <c r="D69" s="129"/>
      <c r="E69" s="288"/>
      <c r="F69" s="289"/>
      <c r="G69" s="290"/>
      <c r="H69" s="291"/>
      <c r="I69" s="22"/>
      <c r="J69" s="240"/>
      <c r="K69" s="14"/>
    </row>
    <row r="70" spans="1:11" ht="63.75">
      <c r="A70" s="219" t="s">
        <v>5</v>
      </c>
      <c r="B70" s="335" t="s">
        <v>375</v>
      </c>
      <c r="C70" s="217"/>
      <c r="D70" s="129" t="s">
        <v>10</v>
      </c>
      <c r="E70" s="288" t="s">
        <v>243</v>
      </c>
      <c r="F70" s="289" t="s">
        <v>244</v>
      </c>
      <c r="G70" s="290" t="s">
        <v>245</v>
      </c>
      <c r="H70" s="291" t="s">
        <v>246</v>
      </c>
      <c r="I70" s="22" t="s">
        <v>13</v>
      </c>
      <c r="J70" s="240" t="s">
        <v>162</v>
      </c>
      <c r="K70" s="14"/>
    </row>
    <row r="71" spans="1:11" ht="12.75">
      <c r="A71" s="2">
        <v>1</v>
      </c>
      <c r="B71" s="4" t="s">
        <v>101</v>
      </c>
      <c r="C71" s="59"/>
      <c r="D71" s="45" t="s">
        <v>148</v>
      </c>
      <c r="E71" s="47">
        <v>31</v>
      </c>
      <c r="F71" s="223">
        <v>31</v>
      </c>
      <c r="G71" s="223">
        <v>27000</v>
      </c>
      <c r="H71" s="223">
        <v>27000</v>
      </c>
      <c r="I71" s="6"/>
      <c r="J71" s="144" t="s">
        <v>331</v>
      </c>
      <c r="K71" s="340" t="s">
        <v>492</v>
      </c>
    </row>
    <row r="72" spans="1:11" ht="12.75">
      <c r="A72" s="116"/>
      <c r="B72" s="172"/>
      <c r="C72" s="116"/>
      <c r="D72" s="118"/>
      <c r="E72" s="120"/>
      <c r="F72" s="255"/>
      <c r="G72" s="236" t="s">
        <v>177</v>
      </c>
      <c r="H72" s="336">
        <f>SUM(H71:I71)</f>
        <v>27000</v>
      </c>
      <c r="I72" s="116"/>
      <c r="J72" s="100"/>
      <c r="K72" s="14"/>
    </row>
    <row r="73" spans="1:11" ht="63.75">
      <c r="A73" s="219" t="s">
        <v>5</v>
      </c>
      <c r="B73" s="177" t="s">
        <v>106</v>
      </c>
      <c r="C73" s="217"/>
      <c r="D73" s="129" t="s">
        <v>10</v>
      </c>
      <c r="E73" s="288" t="s">
        <v>243</v>
      </c>
      <c r="F73" s="289" t="s">
        <v>244</v>
      </c>
      <c r="G73" s="290" t="s">
        <v>245</v>
      </c>
      <c r="H73" s="291" t="s">
        <v>246</v>
      </c>
      <c r="I73" s="22" t="s">
        <v>13</v>
      </c>
      <c r="J73" s="240" t="s">
        <v>162</v>
      </c>
      <c r="K73" s="14"/>
    </row>
    <row r="74" spans="1:11" ht="12.75">
      <c r="A74" s="100">
        <v>1</v>
      </c>
      <c r="B74" s="181" t="s">
        <v>101</v>
      </c>
      <c r="C74" s="144"/>
      <c r="D74" s="203" t="s">
        <v>148</v>
      </c>
      <c r="E74" s="103">
        <v>31</v>
      </c>
      <c r="F74" s="258">
        <v>31</v>
      </c>
      <c r="G74" s="258">
        <v>25000</v>
      </c>
      <c r="H74" s="258">
        <v>25000</v>
      </c>
      <c r="I74" s="100"/>
      <c r="J74" s="144" t="s">
        <v>331</v>
      </c>
      <c r="K74" s="340" t="s">
        <v>492</v>
      </c>
    </row>
    <row r="75" spans="1:11" ht="12.75">
      <c r="A75" s="14"/>
      <c r="B75" s="183"/>
      <c r="C75" s="14"/>
      <c r="D75" s="185"/>
      <c r="E75" s="35"/>
      <c r="F75" s="209"/>
      <c r="G75" s="236" t="s">
        <v>177</v>
      </c>
      <c r="H75" s="336">
        <f>SUM(H74:I74)</f>
        <v>25000</v>
      </c>
      <c r="I75" s="14"/>
      <c r="J75" s="100"/>
      <c r="K75" s="14"/>
    </row>
    <row r="76" spans="1:11" ht="63.75">
      <c r="A76" s="219" t="s">
        <v>5</v>
      </c>
      <c r="B76" s="191" t="s">
        <v>122</v>
      </c>
      <c r="C76" s="189"/>
      <c r="D76" s="129" t="s">
        <v>10</v>
      </c>
      <c r="E76" s="288" t="s">
        <v>243</v>
      </c>
      <c r="F76" s="289" t="s">
        <v>244</v>
      </c>
      <c r="G76" s="290" t="s">
        <v>245</v>
      </c>
      <c r="H76" s="291" t="s">
        <v>246</v>
      </c>
      <c r="I76" s="22" t="s">
        <v>13</v>
      </c>
      <c r="J76" s="240" t="s">
        <v>162</v>
      </c>
      <c r="K76" s="33" t="s">
        <v>470</v>
      </c>
    </row>
    <row r="77" spans="1:11" ht="12.75">
      <c r="A77" s="2" t="s">
        <v>114</v>
      </c>
      <c r="B77" s="4" t="s">
        <v>128</v>
      </c>
      <c r="C77" s="59"/>
      <c r="D77" s="45" t="s">
        <v>148</v>
      </c>
      <c r="E77" s="47">
        <v>31</v>
      </c>
      <c r="F77" s="47">
        <v>31</v>
      </c>
      <c r="G77" s="223">
        <v>25000</v>
      </c>
      <c r="H77" s="221">
        <f>G77/E77*F77</f>
        <v>25000</v>
      </c>
      <c r="I77" s="6"/>
      <c r="J77" s="144" t="s">
        <v>331</v>
      </c>
      <c r="K77" s="14"/>
    </row>
    <row r="78" spans="1:11" ht="12.75">
      <c r="A78" s="59" t="s">
        <v>151</v>
      </c>
      <c r="B78" s="4"/>
      <c r="C78" s="59"/>
      <c r="D78" s="45"/>
      <c r="E78" s="47"/>
      <c r="F78" s="47"/>
      <c r="G78" s="223"/>
      <c r="H78" s="221"/>
      <c r="I78" s="6"/>
      <c r="J78" s="338"/>
      <c r="K78" s="14"/>
    </row>
    <row r="79" spans="1:11" ht="12.75">
      <c r="A79" s="59" t="s">
        <v>152</v>
      </c>
      <c r="B79" s="253" t="s">
        <v>332</v>
      </c>
      <c r="C79" s="59"/>
      <c r="D79" s="45" t="s">
        <v>378</v>
      </c>
      <c r="E79" s="47">
        <v>31</v>
      </c>
      <c r="F79" s="47">
        <v>31</v>
      </c>
      <c r="G79" s="223">
        <v>21250</v>
      </c>
      <c r="H79" s="221">
        <f>G79/E79*F79</f>
        <v>21250</v>
      </c>
      <c r="I79" s="6"/>
      <c r="J79" s="260" t="s">
        <v>331</v>
      </c>
      <c r="K79" s="33" t="s">
        <v>380</v>
      </c>
    </row>
    <row r="80" spans="1:11" ht="12.75">
      <c r="A80" s="454" t="s">
        <v>153</v>
      </c>
      <c r="B80" s="481"/>
      <c r="C80" s="454"/>
      <c r="D80" s="477"/>
      <c r="E80" s="456"/>
      <c r="F80" s="456"/>
      <c r="G80" s="478"/>
      <c r="H80" s="498"/>
      <c r="I80" s="479"/>
      <c r="J80" s="463" t="s">
        <v>331</v>
      </c>
      <c r="K80" s="501"/>
    </row>
    <row r="81" spans="1:11" ht="12.75">
      <c r="A81" s="454" t="s">
        <v>132</v>
      </c>
      <c r="B81" s="453" t="s">
        <v>471</v>
      </c>
      <c r="C81" s="454"/>
      <c r="D81" s="477" t="s">
        <v>472</v>
      </c>
      <c r="E81" s="456"/>
      <c r="F81" s="456"/>
      <c r="G81" s="478"/>
      <c r="H81" s="498"/>
      <c r="I81" s="479"/>
      <c r="J81" s="463" t="s">
        <v>331</v>
      </c>
      <c r="K81" s="501"/>
    </row>
    <row r="82" spans="1:11" ht="12.75">
      <c r="A82" s="14"/>
      <c r="B82" s="183"/>
      <c r="C82" s="14"/>
      <c r="D82" s="185"/>
      <c r="E82" s="35"/>
      <c r="F82" s="209"/>
      <c r="G82" s="236" t="s">
        <v>177</v>
      </c>
      <c r="H82" s="264">
        <f>SUM(H77:I81)</f>
        <v>46250</v>
      </c>
      <c r="I82" s="14"/>
      <c r="J82" s="100"/>
      <c r="K82" s="14"/>
    </row>
    <row r="83" spans="1:11" ht="63.75">
      <c r="A83" s="219" t="s">
        <v>5</v>
      </c>
      <c r="B83" s="196" t="s">
        <v>111</v>
      </c>
      <c r="C83" s="189"/>
      <c r="D83" s="129" t="s">
        <v>10</v>
      </c>
      <c r="E83" s="288" t="s">
        <v>243</v>
      </c>
      <c r="F83" s="289" t="s">
        <v>244</v>
      </c>
      <c r="G83" s="290" t="s">
        <v>245</v>
      </c>
      <c r="H83" s="291" t="s">
        <v>246</v>
      </c>
      <c r="I83" s="22" t="s">
        <v>13</v>
      </c>
      <c r="J83" s="240" t="s">
        <v>162</v>
      </c>
      <c r="K83" s="14"/>
    </row>
    <row r="84" spans="1:11" ht="12.75">
      <c r="A84" s="2" t="s">
        <v>114</v>
      </c>
      <c r="B84" s="339" t="s">
        <v>382</v>
      </c>
      <c r="C84" s="59"/>
      <c r="D84" s="45" t="s">
        <v>148</v>
      </c>
      <c r="E84" s="47">
        <v>31</v>
      </c>
      <c r="F84" s="47">
        <v>31</v>
      </c>
      <c r="G84" s="223">
        <v>7447.74</v>
      </c>
      <c r="H84" s="223">
        <v>7447.74</v>
      </c>
      <c r="I84" s="6"/>
      <c r="J84" s="144" t="s">
        <v>331</v>
      </c>
      <c r="K84" s="14"/>
    </row>
    <row r="85" spans="1:11" ht="12.75">
      <c r="A85" s="6" t="s">
        <v>119</v>
      </c>
      <c r="B85" s="339" t="s">
        <v>382</v>
      </c>
      <c r="C85" s="59"/>
      <c r="D85" s="45" t="s">
        <v>148</v>
      </c>
      <c r="E85" s="47">
        <v>31</v>
      </c>
      <c r="F85" s="47">
        <v>31</v>
      </c>
      <c r="G85" s="223">
        <v>6406.4</v>
      </c>
      <c r="H85" s="223">
        <v>6406.4</v>
      </c>
      <c r="I85" s="6"/>
      <c r="J85" s="144" t="s">
        <v>331</v>
      </c>
      <c r="K85" s="14"/>
    </row>
    <row r="86" spans="1:11" ht="12.75">
      <c r="A86" s="116"/>
      <c r="B86" s="502" t="s">
        <v>436</v>
      </c>
      <c r="C86" s="116"/>
      <c r="D86" s="118"/>
      <c r="E86" s="120"/>
      <c r="F86" s="255"/>
      <c r="G86" s="236" t="s">
        <v>177</v>
      </c>
      <c r="H86" s="351">
        <v>13853.84</v>
      </c>
      <c r="I86" s="116"/>
      <c r="J86" s="150"/>
      <c r="K86" s="14"/>
    </row>
    <row r="87" spans="1:11" ht="63.75">
      <c r="A87" s="219" t="s">
        <v>5</v>
      </c>
      <c r="B87" s="342" t="s">
        <v>437</v>
      </c>
      <c r="C87" s="187"/>
      <c r="D87" s="129" t="s">
        <v>10</v>
      </c>
      <c r="E87" s="288" t="s">
        <v>243</v>
      </c>
      <c r="F87" s="289" t="s">
        <v>244</v>
      </c>
      <c r="G87" s="290" t="s">
        <v>245</v>
      </c>
      <c r="H87" s="291" t="s">
        <v>246</v>
      </c>
      <c r="I87" s="22" t="s">
        <v>13</v>
      </c>
      <c r="J87" s="240" t="s">
        <v>162</v>
      </c>
      <c r="K87" s="14"/>
    </row>
    <row r="88" spans="1:11" ht="51">
      <c r="A88" s="482" t="s">
        <v>114</v>
      </c>
      <c r="B88" s="481" t="s">
        <v>438</v>
      </c>
      <c r="C88" s="454"/>
      <c r="D88" s="477" t="s">
        <v>413</v>
      </c>
      <c r="E88" s="456">
        <v>30</v>
      </c>
      <c r="F88" s="456">
        <v>9</v>
      </c>
      <c r="G88" s="478"/>
      <c r="H88" s="498"/>
      <c r="I88" s="479"/>
      <c r="J88" s="503" t="s">
        <v>439</v>
      </c>
      <c r="K88" s="1206" t="s">
        <v>503</v>
      </c>
    </row>
    <row r="89" spans="1:11" ht="12.75">
      <c r="A89" s="383" t="s">
        <v>119</v>
      </c>
      <c r="B89" s="441"/>
      <c r="C89" s="385"/>
      <c r="D89" s="385"/>
      <c r="E89" s="386">
        <v>31</v>
      </c>
      <c r="F89" s="386">
        <v>31</v>
      </c>
      <c r="G89" s="387"/>
      <c r="H89" s="388"/>
      <c r="I89" s="423"/>
      <c r="J89" s="330"/>
      <c r="K89" s="1205"/>
    </row>
    <row r="90" spans="1:11" ht="12.75">
      <c r="A90" s="132"/>
      <c r="B90" s="4"/>
      <c r="C90" s="6"/>
      <c r="D90" s="45"/>
      <c r="E90" s="52"/>
      <c r="F90" s="221"/>
      <c r="G90" s="236" t="s">
        <v>177</v>
      </c>
      <c r="H90" s="264">
        <f>SUM(H88:I89)</f>
        <v>0</v>
      </c>
      <c r="I90" s="59"/>
      <c r="J90" s="260"/>
      <c r="K90" s="341"/>
    </row>
    <row r="91" spans="1:11" ht="12.75">
      <c r="A91" s="14"/>
      <c r="C91" s="499"/>
      <c r="F91" s="286"/>
      <c r="G91" s="286"/>
    </row>
    <row r="92" spans="1:11" ht="63.75">
      <c r="A92" s="219" t="s">
        <v>5</v>
      </c>
      <c r="B92" s="342" t="s">
        <v>441</v>
      </c>
      <c r="C92" s="187"/>
      <c r="D92" s="129" t="s">
        <v>10</v>
      </c>
      <c r="E92" s="288" t="s">
        <v>243</v>
      </c>
      <c r="F92" s="289" t="s">
        <v>244</v>
      </c>
      <c r="G92" s="290" t="s">
        <v>245</v>
      </c>
      <c r="H92" s="291" t="s">
        <v>246</v>
      </c>
      <c r="I92" s="22" t="s">
        <v>13</v>
      </c>
      <c r="J92" s="240" t="s">
        <v>162</v>
      </c>
      <c r="K92" s="14"/>
    </row>
    <row r="93" spans="1:11" ht="12.75">
      <c r="A93" s="2" t="s">
        <v>114</v>
      </c>
      <c r="B93" s="4" t="s">
        <v>505</v>
      </c>
      <c r="C93" s="59"/>
      <c r="D93" s="51" t="s">
        <v>506</v>
      </c>
      <c r="E93" s="47"/>
      <c r="F93" s="47"/>
      <c r="G93" s="223">
        <v>22500</v>
      </c>
      <c r="H93" s="222">
        <v>12750</v>
      </c>
      <c r="I93" s="6"/>
      <c r="J93" s="230"/>
      <c r="K93" s="1204" t="s">
        <v>314</v>
      </c>
    </row>
    <row r="94" spans="1:11" ht="12.75">
      <c r="A94" s="452" t="s">
        <v>119</v>
      </c>
      <c r="B94" s="481" t="s">
        <v>444</v>
      </c>
      <c r="C94" s="454"/>
      <c r="D94" s="454" t="s">
        <v>148</v>
      </c>
      <c r="E94" s="456"/>
      <c r="F94" s="456"/>
      <c r="G94" s="478">
        <v>19000</v>
      </c>
      <c r="H94" s="478">
        <v>19000</v>
      </c>
      <c r="I94" s="479"/>
      <c r="J94" s="463" t="s">
        <v>507</v>
      </c>
      <c r="K94" s="1205"/>
    </row>
    <row r="95" spans="1:11" ht="12.75">
      <c r="A95" s="132"/>
      <c r="B95" s="4"/>
      <c r="C95" s="6"/>
      <c r="D95" s="45"/>
      <c r="E95" s="52"/>
      <c r="F95" s="221"/>
      <c r="G95" s="236" t="s">
        <v>177</v>
      </c>
      <c r="H95" s="264">
        <f>SUM(H93:I94)</f>
        <v>31750</v>
      </c>
      <c r="I95" s="59"/>
      <c r="J95" s="260"/>
      <c r="K95" s="341"/>
    </row>
    <row r="96" spans="1:11" ht="12.75">
      <c r="A96" s="14"/>
      <c r="C96" s="499"/>
      <c r="F96" s="286"/>
      <c r="G96" s="286"/>
    </row>
    <row r="97" spans="1:11" ht="63.75">
      <c r="A97" s="219" t="s">
        <v>5</v>
      </c>
      <c r="B97" s="342" t="s">
        <v>445</v>
      </c>
      <c r="C97" s="187"/>
      <c r="D97" s="129" t="s">
        <v>10</v>
      </c>
      <c r="E97" s="288" t="s">
        <v>243</v>
      </c>
      <c r="F97" s="289" t="s">
        <v>244</v>
      </c>
      <c r="G97" s="290" t="s">
        <v>245</v>
      </c>
      <c r="H97" s="291" t="s">
        <v>246</v>
      </c>
      <c r="I97" s="22" t="s">
        <v>13</v>
      </c>
      <c r="J97" s="240" t="s">
        <v>162</v>
      </c>
      <c r="K97" s="14"/>
    </row>
    <row r="98" spans="1:11" ht="12.75">
      <c r="A98" s="2" t="s">
        <v>114</v>
      </c>
      <c r="B98" s="4" t="s">
        <v>446</v>
      </c>
      <c r="C98" s="59"/>
      <c r="D98" s="51" t="s">
        <v>473</v>
      </c>
      <c r="E98" s="47">
        <v>90</v>
      </c>
      <c r="F98" s="47">
        <v>16</v>
      </c>
      <c r="G98" s="223">
        <v>22500</v>
      </c>
      <c r="H98" s="222">
        <v>22500</v>
      </c>
      <c r="I98" s="6"/>
      <c r="J98" s="230" t="s">
        <v>477</v>
      </c>
      <c r="K98" s="1204" t="s">
        <v>314</v>
      </c>
    </row>
    <row r="99" spans="1:11" ht="12.75">
      <c r="A99" s="452" t="s">
        <v>119</v>
      </c>
      <c r="B99" s="481" t="s">
        <v>474</v>
      </c>
      <c r="C99" s="454"/>
      <c r="D99" s="454" t="s">
        <v>431</v>
      </c>
      <c r="E99" s="456"/>
      <c r="F99" s="456"/>
      <c r="G99" s="478"/>
      <c r="H99" s="498"/>
      <c r="I99" s="479"/>
      <c r="J99" s="463" t="s">
        <v>118</v>
      </c>
      <c r="K99" s="1205"/>
    </row>
    <row r="100" spans="1:11" ht="12.75">
      <c r="A100" s="132"/>
      <c r="B100" s="4"/>
      <c r="C100" s="6"/>
      <c r="D100" s="45"/>
      <c r="E100" s="52"/>
      <c r="F100" s="221"/>
      <c r="G100" s="236" t="s">
        <v>177</v>
      </c>
      <c r="H100" s="264">
        <f>SUM(H98:I99)</f>
        <v>22500</v>
      </c>
      <c r="I100" s="59"/>
      <c r="J100" s="260"/>
      <c r="K100" s="341"/>
    </row>
    <row r="101" spans="1:11" ht="12.75">
      <c r="A101" s="14"/>
      <c r="C101" s="499"/>
      <c r="F101" s="286"/>
      <c r="G101" s="286"/>
    </row>
    <row r="102" spans="1:11" ht="12.75">
      <c r="A102" s="14"/>
      <c r="B102" s="183"/>
      <c r="C102" s="14"/>
      <c r="D102" s="185"/>
      <c r="E102" s="35"/>
      <c r="F102" s="209"/>
      <c r="G102" s="209"/>
      <c r="H102" s="14"/>
      <c r="I102" s="14"/>
      <c r="J102" s="14"/>
      <c r="K102" s="14"/>
    </row>
    <row r="103" spans="1:11" ht="12.75">
      <c r="C103" s="499"/>
      <c r="K103" s="287"/>
    </row>
    <row r="104" spans="1:11" ht="63.75">
      <c r="A104" s="219" t="s">
        <v>5</v>
      </c>
      <c r="B104" s="342" t="s">
        <v>316</v>
      </c>
      <c r="C104" s="217"/>
      <c r="D104" s="129" t="s">
        <v>10</v>
      </c>
      <c r="E104" s="288" t="s">
        <v>243</v>
      </c>
      <c r="F104" s="289" t="s">
        <v>244</v>
      </c>
      <c r="G104" s="290" t="s">
        <v>245</v>
      </c>
      <c r="H104" s="291" t="s">
        <v>246</v>
      </c>
      <c r="I104" s="22" t="s">
        <v>13</v>
      </c>
      <c r="J104" s="240" t="s">
        <v>162</v>
      </c>
      <c r="K104" s="287"/>
    </row>
    <row r="105" spans="1:11" ht="12.75">
      <c r="A105" s="132" t="s">
        <v>458</v>
      </c>
      <c r="B105" s="4" t="s">
        <v>317</v>
      </c>
      <c r="C105" s="59"/>
      <c r="D105" s="51" t="s">
        <v>508</v>
      </c>
      <c r="E105" s="47"/>
      <c r="F105" s="47"/>
      <c r="G105" s="353">
        <v>28000</v>
      </c>
      <c r="H105" s="353">
        <v>28000</v>
      </c>
      <c r="I105" s="6"/>
      <c r="J105" s="144" t="s">
        <v>210</v>
      </c>
      <c r="K105" s="287"/>
    </row>
    <row r="106" spans="1:11" ht="12.75">
      <c r="A106" s="132" t="s">
        <v>459</v>
      </c>
      <c r="B106" s="4" t="s">
        <v>392</v>
      </c>
      <c r="C106" s="6"/>
      <c r="D106" s="45" t="s">
        <v>508</v>
      </c>
      <c r="E106" s="52"/>
      <c r="F106" s="221"/>
      <c r="G106" s="449">
        <v>24500</v>
      </c>
      <c r="H106" s="449">
        <v>24500</v>
      </c>
      <c r="I106" s="59"/>
      <c r="J106" s="260" t="s">
        <v>331</v>
      </c>
      <c r="K106" s="325" t="s">
        <v>393</v>
      </c>
    </row>
    <row r="107" spans="1:11" ht="12.75">
      <c r="A107" s="132" t="s">
        <v>460</v>
      </c>
      <c r="B107" s="4" t="s">
        <v>461</v>
      </c>
      <c r="C107" s="6"/>
      <c r="D107" s="45" t="s">
        <v>509</v>
      </c>
      <c r="E107" s="52"/>
      <c r="F107" s="221"/>
      <c r="G107" s="355">
        <v>27000</v>
      </c>
      <c r="H107" s="473">
        <v>27000</v>
      </c>
      <c r="I107" s="59"/>
      <c r="J107" s="260" t="s">
        <v>210</v>
      </c>
      <c r="K107" s="287"/>
    </row>
    <row r="108" spans="1:11" ht="12.75">
      <c r="A108" s="132"/>
      <c r="B108" s="29"/>
      <c r="C108" s="6"/>
      <c r="D108" s="8"/>
      <c r="E108" s="52"/>
      <c r="F108" s="221"/>
      <c r="G108" s="236" t="s">
        <v>177</v>
      </c>
      <c r="H108" s="264">
        <f>SUM(H105:H107)</f>
        <v>79500</v>
      </c>
      <c r="I108" s="59"/>
      <c r="J108" s="260"/>
      <c r="K108" s="287"/>
    </row>
    <row r="109" spans="1:11" ht="12.75">
      <c r="C109" s="499"/>
      <c r="K109" s="287"/>
    </row>
    <row r="110" spans="1:11" ht="12.75">
      <c r="C110" s="499"/>
      <c r="K110" s="287"/>
    </row>
    <row r="111" spans="1:11" ht="63.75">
      <c r="A111" s="357" t="s">
        <v>5</v>
      </c>
      <c r="B111" s="358" t="s">
        <v>319</v>
      </c>
      <c r="C111" s="510"/>
      <c r="D111" s="360" t="s">
        <v>10</v>
      </c>
      <c r="E111" s="361" t="s">
        <v>243</v>
      </c>
      <c r="F111" s="362" t="s">
        <v>244</v>
      </c>
      <c r="G111" s="362" t="s">
        <v>245</v>
      </c>
      <c r="H111" s="363" t="s">
        <v>246</v>
      </c>
      <c r="I111" s="363" t="s">
        <v>13</v>
      </c>
      <c r="J111" s="364" t="s">
        <v>162</v>
      </c>
      <c r="K111" s="287"/>
    </row>
    <row r="112" spans="1:11" ht="25.5">
      <c r="A112" s="365">
        <v>14</v>
      </c>
      <c r="B112" s="371" t="s">
        <v>317</v>
      </c>
      <c r="C112" s="511"/>
      <c r="D112" s="457" t="s">
        <v>462</v>
      </c>
      <c r="E112" s="12"/>
      <c r="F112" s="12"/>
      <c r="G112" s="459">
        <v>25000</v>
      </c>
      <c r="H112" s="459">
        <v>25000</v>
      </c>
      <c r="I112" s="7"/>
      <c r="J112" s="144" t="s">
        <v>210</v>
      </c>
      <c r="K112" s="325" t="s">
        <v>513</v>
      </c>
    </row>
    <row r="113" spans="1:11" ht="12.75">
      <c r="A113" s="370">
        <v>38</v>
      </c>
      <c r="B113" s="371" t="s">
        <v>290</v>
      </c>
      <c r="C113" s="511"/>
      <c r="D113" s="371" t="s">
        <v>463</v>
      </c>
      <c r="E113" s="50"/>
      <c r="F113" s="368"/>
      <c r="G113" s="461">
        <v>22000</v>
      </c>
      <c r="H113" s="374">
        <v>22000</v>
      </c>
      <c r="I113" s="7"/>
      <c r="J113" s="375" t="s">
        <v>210</v>
      </c>
      <c r="K113" s="287"/>
    </row>
    <row r="114" spans="1:11" ht="12.75">
      <c r="A114" s="370"/>
      <c r="B114" s="371"/>
      <c r="C114" s="511"/>
      <c r="D114" s="372"/>
      <c r="E114" s="50"/>
      <c r="F114" s="368"/>
      <c r="G114" s="376" t="s">
        <v>177</v>
      </c>
      <c r="H114" s="377">
        <f>SUM(H113+H112)</f>
        <v>47000</v>
      </c>
      <c r="I114" s="7"/>
      <c r="J114" s="378"/>
      <c r="K114" s="287"/>
    </row>
    <row r="115" spans="1:11" ht="12.75">
      <c r="C115" s="499"/>
      <c r="J115" s="287"/>
      <c r="K115" s="287"/>
    </row>
    <row r="116" spans="1:11" ht="12.75">
      <c r="C116" s="499"/>
    </row>
    <row r="117" spans="1:11" ht="63.75">
      <c r="A117" s="219" t="s">
        <v>5</v>
      </c>
      <c r="B117" s="342" t="s">
        <v>323</v>
      </c>
      <c r="C117" s="187"/>
      <c r="D117" s="129" t="s">
        <v>10</v>
      </c>
      <c r="E117" s="288" t="s">
        <v>243</v>
      </c>
      <c r="F117" s="289" t="s">
        <v>244</v>
      </c>
      <c r="G117" s="290" t="s">
        <v>245</v>
      </c>
      <c r="H117" s="291" t="s">
        <v>246</v>
      </c>
      <c r="I117" s="22" t="s">
        <v>13</v>
      </c>
      <c r="J117" s="240" t="s">
        <v>162</v>
      </c>
    </row>
    <row r="118" spans="1:11" ht="12.75">
      <c r="A118" s="2" t="s">
        <v>114</v>
      </c>
      <c r="B118" s="4" t="s">
        <v>442</v>
      </c>
      <c r="C118" s="59"/>
      <c r="D118" s="51" t="s">
        <v>514</v>
      </c>
      <c r="E118" s="47"/>
      <c r="F118" s="47"/>
      <c r="G118" s="223">
        <v>22500</v>
      </c>
      <c r="H118" s="222">
        <v>22500</v>
      </c>
      <c r="I118" s="6"/>
      <c r="J118" s="230" t="s">
        <v>210</v>
      </c>
    </row>
    <row r="119" spans="1:11" ht="12.75">
      <c r="A119" s="482" t="s">
        <v>114</v>
      </c>
      <c r="B119" s="481" t="s">
        <v>515</v>
      </c>
      <c r="C119" s="454"/>
      <c r="D119" s="454" t="s">
        <v>516</v>
      </c>
      <c r="E119" s="456"/>
      <c r="F119" s="456"/>
      <c r="G119" s="478"/>
      <c r="H119" s="498"/>
      <c r="I119" s="479"/>
      <c r="J119" s="463"/>
      <c r="K119" s="521" t="s">
        <v>517</v>
      </c>
    </row>
    <row r="120" spans="1:11" ht="12.75">
      <c r="A120" s="482" t="s">
        <v>119</v>
      </c>
      <c r="B120" s="481" t="s">
        <v>518</v>
      </c>
      <c r="C120" s="454"/>
      <c r="D120" s="454" t="s">
        <v>519</v>
      </c>
      <c r="E120" s="456"/>
      <c r="F120" s="456"/>
      <c r="G120" s="478"/>
      <c r="H120" s="498"/>
      <c r="I120" s="479"/>
      <c r="J120" s="463"/>
      <c r="K120" s="521" t="s">
        <v>520</v>
      </c>
    </row>
    <row r="121" spans="1:11" ht="12.75">
      <c r="A121" s="132"/>
      <c r="B121" s="29"/>
      <c r="C121" s="6"/>
      <c r="D121" s="8"/>
      <c r="E121" s="52"/>
      <c r="F121" s="221"/>
      <c r="G121" s="236" t="s">
        <v>177</v>
      </c>
      <c r="H121" s="264">
        <f>SUM(H118:I120)</f>
        <v>22500</v>
      </c>
      <c r="I121" s="59"/>
      <c r="J121" s="260"/>
    </row>
    <row r="122" spans="1:11" ht="12.75">
      <c r="C122" s="499"/>
    </row>
    <row r="123" spans="1:11" ht="12.75">
      <c r="C123" s="499"/>
    </row>
    <row r="124" spans="1:11" ht="63.75">
      <c r="A124" s="219" t="s">
        <v>5</v>
      </c>
      <c r="B124" s="342" t="s">
        <v>325</v>
      </c>
      <c r="C124" s="187"/>
      <c r="D124" s="129" t="s">
        <v>10</v>
      </c>
      <c r="E124" s="288" t="s">
        <v>243</v>
      </c>
      <c r="F124" s="289" t="s">
        <v>244</v>
      </c>
      <c r="G124" s="290" t="s">
        <v>245</v>
      </c>
      <c r="H124" s="291" t="s">
        <v>246</v>
      </c>
      <c r="I124" s="22" t="s">
        <v>13</v>
      </c>
      <c r="J124" s="240" t="s">
        <v>162</v>
      </c>
    </row>
    <row r="125" spans="1:11" ht="12.75">
      <c r="A125" s="452" t="s">
        <v>114</v>
      </c>
      <c r="B125" s="481" t="s">
        <v>134</v>
      </c>
      <c r="C125" s="454"/>
      <c r="D125" s="477" t="s">
        <v>148</v>
      </c>
      <c r="E125" s="456"/>
      <c r="F125" s="456"/>
      <c r="G125" s="478">
        <v>17500</v>
      </c>
      <c r="H125" s="478">
        <v>17500</v>
      </c>
      <c r="I125" s="479"/>
      <c r="J125" s="503" t="s">
        <v>331</v>
      </c>
      <c r="K125" s="509"/>
    </row>
    <row r="126" spans="1:11" ht="12.75">
      <c r="A126" s="2" t="s">
        <v>119</v>
      </c>
      <c r="B126" s="4" t="s">
        <v>134</v>
      </c>
      <c r="C126" s="59"/>
      <c r="D126" s="59" t="s">
        <v>148</v>
      </c>
      <c r="E126" s="47"/>
      <c r="F126" s="47"/>
      <c r="G126" s="223">
        <v>17500</v>
      </c>
      <c r="H126" s="222">
        <v>17500</v>
      </c>
      <c r="I126" s="6"/>
      <c r="J126" s="144" t="s">
        <v>331</v>
      </c>
    </row>
    <row r="127" spans="1:11" ht="12.75">
      <c r="A127" s="132"/>
      <c r="B127" s="29"/>
      <c r="C127" s="6"/>
      <c r="D127" s="8"/>
      <c r="E127" s="52"/>
      <c r="F127" s="221"/>
      <c r="G127" s="236" t="s">
        <v>177</v>
      </c>
      <c r="H127" s="264">
        <f>SUM(H125:I126)</f>
        <v>35000</v>
      </c>
      <c r="I127" s="59"/>
      <c r="J127" s="260"/>
    </row>
    <row r="128" spans="1:11" ht="12.75">
      <c r="C128" s="499"/>
    </row>
    <row r="129" spans="1:11" ht="12.75">
      <c r="C129" s="499"/>
    </row>
    <row r="130" spans="1:11" ht="63.75">
      <c r="A130" s="219" t="s">
        <v>5</v>
      </c>
      <c r="B130" s="342" t="s">
        <v>326</v>
      </c>
      <c r="C130" s="187"/>
      <c r="D130" s="129" t="s">
        <v>10</v>
      </c>
      <c r="E130" s="288" t="s">
        <v>243</v>
      </c>
      <c r="F130" s="289" t="s">
        <v>244</v>
      </c>
      <c r="G130" s="290" t="s">
        <v>245</v>
      </c>
      <c r="H130" s="291" t="s">
        <v>246</v>
      </c>
      <c r="I130" s="22" t="s">
        <v>13</v>
      </c>
      <c r="J130" s="240" t="s">
        <v>162</v>
      </c>
    </row>
    <row r="131" spans="1:11" ht="12.75">
      <c r="A131" s="2" t="s">
        <v>114</v>
      </c>
      <c r="B131" s="4" t="s">
        <v>407</v>
      </c>
      <c r="C131" s="59"/>
      <c r="D131" s="51" t="s">
        <v>148</v>
      </c>
      <c r="E131" s="47"/>
      <c r="F131" s="47"/>
      <c r="G131" s="223">
        <v>21250</v>
      </c>
      <c r="H131" s="223">
        <v>21250</v>
      </c>
      <c r="I131" s="6"/>
      <c r="J131" s="230" t="s">
        <v>376</v>
      </c>
    </row>
    <row r="132" spans="1:11" ht="12.75">
      <c r="A132" s="2" t="s">
        <v>119</v>
      </c>
      <c r="B132" s="4" t="s">
        <v>475</v>
      </c>
      <c r="C132" s="59"/>
      <c r="D132" s="59" t="s">
        <v>476</v>
      </c>
      <c r="E132" s="47"/>
      <c r="F132" s="47"/>
      <c r="G132" s="223">
        <v>26000</v>
      </c>
      <c r="H132" s="223">
        <v>26000</v>
      </c>
      <c r="I132" s="6"/>
      <c r="J132" s="144"/>
    </row>
    <row r="133" spans="1:11" ht="12.75">
      <c r="A133" s="132" t="s">
        <v>119</v>
      </c>
      <c r="B133" s="4" t="s">
        <v>521</v>
      </c>
      <c r="C133" s="6"/>
      <c r="D133" s="45" t="s">
        <v>519</v>
      </c>
      <c r="E133" s="52"/>
      <c r="F133" s="221"/>
      <c r="G133" s="236" t="s">
        <v>177</v>
      </c>
      <c r="H133" s="264">
        <f>SUM(H131:I132)</f>
        <v>47250</v>
      </c>
      <c r="I133" s="59"/>
      <c r="J133" s="260"/>
      <c r="K133" s="1" t="s">
        <v>520</v>
      </c>
    </row>
    <row r="134" spans="1:11" ht="12.75">
      <c r="C134" s="499"/>
    </row>
    <row r="135" spans="1:11" ht="12.75">
      <c r="C135" s="499"/>
    </row>
    <row r="136" spans="1:11" ht="16.5">
      <c r="C136" s="499"/>
      <c r="H136" s="466" t="s">
        <v>408</v>
      </c>
      <c r="I136" s="470">
        <f>J23+J47+H72+H75+H82+H86+H90+H67+H108+H114+H121+H127+H133</f>
        <v>743016.84000000008</v>
      </c>
    </row>
    <row r="137" spans="1:11" ht="12.75">
      <c r="C137" s="499"/>
    </row>
    <row r="138" spans="1:11" ht="12.75">
      <c r="C138" s="499"/>
    </row>
    <row r="139" spans="1:11" ht="12.75">
      <c r="C139" s="499"/>
    </row>
    <row r="140" spans="1:11" ht="12.75">
      <c r="C140" s="499"/>
    </row>
    <row r="141" spans="1:11" ht="12.75">
      <c r="C141" s="499"/>
    </row>
    <row r="142" spans="1:11" ht="12.75">
      <c r="C142" s="499"/>
    </row>
    <row r="143" spans="1:11" ht="12.75">
      <c r="C143" s="499"/>
    </row>
    <row r="144" spans="1:11" ht="12.75">
      <c r="C144" s="499"/>
    </row>
    <row r="145" spans="3:3" ht="12.75">
      <c r="C145" s="499"/>
    </row>
    <row r="146" spans="3:3" ht="12.75">
      <c r="C146" s="499"/>
    </row>
    <row r="147" spans="3:3" ht="12.75">
      <c r="C147" s="499"/>
    </row>
    <row r="148" spans="3:3" ht="12.75">
      <c r="C148" s="499"/>
    </row>
    <row r="149" spans="3:3" ht="12.75">
      <c r="C149" s="499"/>
    </row>
    <row r="150" spans="3:3" ht="12.75">
      <c r="C150" s="499"/>
    </row>
    <row r="151" spans="3:3" ht="12.75">
      <c r="C151" s="499"/>
    </row>
    <row r="152" spans="3:3" ht="12.75">
      <c r="C152" s="499"/>
    </row>
    <row r="153" spans="3:3" ht="12.75">
      <c r="C153" s="499"/>
    </row>
    <row r="154" spans="3:3" ht="12.75">
      <c r="C154" s="499"/>
    </row>
    <row r="155" spans="3:3" ht="12.75">
      <c r="C155" s="499"/>
    </row>
    <row r="156" spans="3:3" ht="12.75">
      <c r="C156" s="499"/>
    </row>
    <row r="157" spans="3:3" ht="12.75">
      <c r="C157" s="499"/>
    </row>
    <row r="158" spans="3:3" ht="12.75">
      <c r="C158" s="499"/>
    </row>
    <row r="159" spans="3:3" ht="12.75">
      <c r="C159" s="499"/>
    </row>
    <row r="160" spans="3:3" ht="12.75">
      <c r="C160" s="499"/>
    </row>
    <row r="161" spans="3:3" ht="12.75">
      <c r="C161" s="499"/>
    </row>
    <row r="162" spans="3:3" ht="12.75">
      <c r="C162" s="499"/>
    </row>
    <row r="163" spans="3:3" ht="12.75">
      <c r="C163" s="499"/>
    </row>
    <row r="164" spans="3:3" ht="12.75">
      <c r="C164" s="499"/>
    </row>
    <row r="165" spans="3:3" ht="12.75">
      <c r="C165" s="499"/>
    </row>
    <row r="166" spans="3:3" ht="12.75">
      <c r="C166" s="499"/>
    </row>
    <row r="167" spans="3:3" ht="12.75">
      <c r="C167" s="499"/>
    </row>
    <row r="168" spans="3:3" ht="12.75">
      <c r="C168" s="499"/>
    </row>
    <row r="169" spans="3:3" ht="12.75">
      <c r="C169" s="499"/>
    </row>
    <row r="170" spans="3:3" ht="12.75">
      <c r="C170" s="499"/>
    </row>
    <row r="171" spans="3:3" ht="12.75">
      <c r="C171" s="499"/>
    </row>
    <row r="172" spans="3:3" ht="12.75">
      <c r="C172" s="499"/>
    </row>
    <row r="173" spans="3:3" ht="12.75">
      <c r="C173" s="499"/>
    </row>
    <row r="174" spans="3:3" ht="12.75">
      <c r="C174" s="499"/>
    </row>
    <row r="175" spans="3:3" ht="12.75">
      <c r="C175" s="499"/>
    </row>
    <row r="176" spans="3:3" ht="12.75">
      <c r="C176" s="499"/>
    </row>
    <row r="177" spans="3:3" ht="12.75">
      <c r="C177" s="499"/>
    </row>
    <row r="178" spans="3:3" ht="12.75">
      <c r="C178" s="499"/>
    </row>
    <row r="179" spans="3:3" ht="12.75">
      <c r="C179" s="499"/>
    </row>
    <row r="180" spans="3:3" ht="12.75">
      <c r="C180" s="499"/>
    </row>
    <row r="181" spans="3:3" ht="12.75">
      <c r="C181" s="499"/>
    </row>
    <row r="182" spans="3:3" ht="12.75">
      <c r="C182" s="499"/>
    </row>
    <row r="183" spans="3:3" ht="12.75">
      <c r="C183" s="499"/>
    </row>
    <row r="184" spans="3:3" ht="12.75">
      <c r="C184" s="499"/>
    </row>
    <row r="185" spans="3:3" ht="12.75">
      <c r="C185" s="499"/>
    </row>
    <row r="186" spans="3:3" ht="12.75">
      <c r="C186" s="499"/>
    </row>
    <row r="187" spans="3:3" ht="12.75">
      <c r="C187" s="499"/>
    </row>
    <row r="188" spans="3:3" ht="12.75">
      <c r="C188" s="499"/>
    </row>
    <row r="189" spans="3:3" ht="12.75">
      <c r="C189" s="499"/>
    </row>
    <row r="190" spans="3:3" ht="12.75">
      <c r="C190" s="499"/>
    </row>
    <row r="191" spans="3:3" ht="12.75">
      <c r="C191" s="499"/>
    </row>
    <row r="192" spans="3:3" ht="12.75">
      <c r="C192" s="499"/>
    </row>
    <row r="193" spans="3:3" ht="12.75">
      <c r="C193" s="499"/>
    </row>
    <row r="194" spans="3:3" ht="12.75">
      <c r="C194" s="499"/>
    </row>
    <row r="195" spans="3:3" ht="12.75">
      <c r="C195" s="499"/>
    </row>
    <row r="196" spans="3:3" ht="12.75">
      <c r="C196" s="499"/>
    </row>
    <row r="197" spans="3:3" ht="12.75">
      <c r="C197" s="499"/>
    </row>
    <row r="198" spans="3:3" ht="12.75">
      <c r="C198" s="499"/>
    </row>
    <row r="199" spans="3:3" ht="12.75">
      <c r="C199" s="499"/>
    </row>
    <row r="200" spans="3:3" ht="12.75">
      <c r="C200" s="499"/>
    </row>
    <row r="201" spans="3:3" ht="12.75">
      <c r="C201" s="499"/>
    </row>
    <row r="202" spans="3:3" ht="12.75">
      <c r="C202" s="499"/>
    </row>
    <row r="203" spans="3:3" ht="12.75">
      <c r="C203" s="499"/>
    </row>
    <row r="204" spans="3:3" ht="12.75">
      <c r="C204" s="499"/>
    </row>
    <row r="205" spans="3:3" ht="12.75">
      <c r="C205" s="499"/>
    </row>
    <row r="206" spans="3:3" ht="12.75">
      <c r="C206" s="499"/>
    </row>
    <row r="207" spans="3:3" ht="12.75">
      <c r="C207" s="499"/>
    </row>
    <row r="208" spans="3:3" ht="12.75">
      <c r="C208" s="499"/>
    </row>
    <row r="209" spans="3:3" ht="12.75">
      <c r="C209" s="499"/>
    </row>
    <row r="210" spans="3:3" ht="12.75">
      <c r="C210" s="499"/>
    </row>
    <row r="211" spans="3:3" ht="12.75">
      <c r="C211" s="499"/>
    </row>
    <row r="212" spans="3:3" ht="12.75">
      <c r="C212" s="499"/>
    </row>
    <row r="213" spans="3:3" ht="12.75">
      <c r="C213" s="499"/>
    </row>
    <row r="214" spans="3:3" ht="12.75">
      <c r="C214" s="499"/>
    </row>
    <row r="215" spans="3:3" ht="12.75">
      <c r="C215" s="499"/>
    </row>
    <row r="216" spans="3:3" ht="12.75">
      <c r="C216" s="499"/>
    </row>
    <row r="217" spans="3:3" ht="12.75">
      <c r="C217" s="499"/>
    </row>
    <row r="218" spans="3:3" ht="12.75">
      <c r="C218" s="499"/>
    </row>
    <row r="219" spans="3:3" ht="12.75">
      <c r="C219" s="499"/>
    </row>
    <row r="220" spans="3:3" ht="12.75">
      <c r="C220" s="499"/>
    </row>
    <row r="221" spans="3:3" ht="12.75">
      <c r="C221" s="499"/>
    </row>
    <row r="222" spans="3:3" ht="12.75">
      <c r="C222" s="499"/>
    </row>
    <row r="223" spans="3:3" ht="12.75">
      <c r="C223" s="499"/>
    </row>
    <row r="224" spans="3:3" ht="12.75">
      <c r="C224" s="499"/>
    </row>
    <row r="225" spans="3:3" ht="12.75">
      <c r="C225" s="499"/>
    </row>
    <row r="226" spans="3:3" ht="12.75">
      <c r="C226" s="499"/>
    </row>
    <row r="227" spans="3:3" ht="12.75">
      <c r="C227" s="499"/>
    </row>
    <row r="228" spans="3:3" ht="12.75">
      <c r="C228" s="499"/>
    </row>
    <row r="229" spans="3:3" ht="12.75">
      <c r="C229" s="499"/>
    </row>
    <row r="230" spans="3:3" ht="12.75">
      <c r="C230" s="499"/>
    </row>
    <row r="231" spans="3:3" ht="12.75">
      <c r="C231" s="499"/>
    </row>
    <row r="232" spans="3:3" ht="12.75">
      <c r="C232" s="499"/>
    </row>
    <row r="233" spans="3:3" ht="12.75">
      <c r="C233" s="499"/>
    </row>
    <row r="234" spans="3:3" ht="12.75">
      <c r="C234" s="499"/>
    </row>
    <row r="235" spans="3:3" ht="12.75">
      <c r="C235" s="499"/>
    </row>
    <row r="236" spans="3:3" ht="12.75">
      <c r="C236" s="499"/>
    </row>
    <row r="237" spans="3:3" ht="12.75">
      <c r="C237" s="499"/>
    </row>
    <row r="238" spans="3:3" ht="12.75">
      <c r="C238" s="499"/>
    </row>
    <row r="239" spans="3:3" ht="12.75">
      <c r="C239" s="499"/>
    </row>
    <row r="240" spans="3:3" ht="12.75">
      <c r="C240" s="499"/>
    </row>
    <row r="241" spans="3:3" ht="12.75">
      <c r="C241" s="499"/>
    </row>
    <row r="242" spans="3:3" ht="12.75">
      <c r="C242" s="499"/>
    </row>
    <row r="243" spans="3:3" ht="12.75">
      <c r="C243" s="499"/>
    </row>
    <row r="244" spans="3:3" ht="12.75">
      <c r="C244" s="499"/>
    </row>
    <row r="245" spans="3:3" ht="12.75">
      <c r="C245" s="499"/>
    </row>
    <row r="246" spans="3:3" ht="12.75">
      <c r="C246" s="499"/>
    </row>
    <row r="247" spans="3:3" ht="12.75">
      <c r="C247" s="499"/>
    </row>
    <row r="248" spans="3:3" ht="12.75">
      <c r="C248" s="499"/>
    </row>
    <row r="249" spans="3:3" ht="12.75">
      <c r="C249" s="499"/>
    </row>
    <row r="250" spans="3:3" ht="12.75">
      <c r="C250" s="499"/>
    </row>
    <row r="251" spans="3:3" ht="12.75">
      <c r="C251" s="499"/>
    </row>
    <row r="252" spans="3:3" ht="12.75">
      <c r="C252" s="499"/>
    </row>
    <row r="253" spans="3:3" ht="12.75">
      <c r="C253" s="499"/>
    </row>
    <row r="254" spans="3:3" ht="12.75">
      <c r="C254" s="499"/>
    </row>
    <row r="255" spans="3:3" ht="12.75">
      <c r="C255" s="499"/>
    </row>
    <row r="256" spans="3:3" ht="12.75">
      <c r="C256" s="499"/>
    </row>
    <row r="257" spans="3:3" ht="12.75">
      <c r="C257" s="499"/>
    </row>
    <row r="258" spans="3:3" ht="12.75">
      <c r="C258" s="499"/>
    </row>
    <row r="259" spans="3:3" ht="12.75">
      <c r="C259" s="499"/>
    </row>
    <row r="260" spans="3:3" ht="12.75">
      <c r="C260" s="499"/>
    </row>
    <row r="261" spans="3:3" ht="12.75">
      <c r="C261" s="499"/>
    </row>
    <row r="262" spans="3:3" ht="12.75">
      <c r="C262" s="499"/>
    </row>
    <row r="263" spans="3:3" ht="12.75">
      <c r="C263" s="499"/>
    </row>
    <row r="264" spans="3:3" ht="12.75">
      <c r="C264" s="499"/>
    </row>
    <row r="265" spans="3:3" ht="12.75">
      <c r="C265" s="499"/>
    </row>
    <row r="266" spans="3:3" ht="12.75">
      <c r="C266" s="499"/>
    </row>
    <row r="267" spans="3:3" ht="12.75">
      <c r="C267" s="499"/>
    </row>
    <row r="268" spans="3:3" ht="12.75">
      <c r="C268" s="499"/>
    </row>
    <row r="269" spans="3:3" ht="12.75">
      <c r="C269" s="499"/>
    </row>
    <row r="270" spans="3:3" ht="12.75">
      <c r="C270" s="499"/>
    </row>
    <row r="271" spans="3:3" ht="12.75">
      <c r="C271" s="499"/>
    </row>
    <row r="272" spans="3:3" ht="12.75">
      <c r="C272" s="499"/>
    </row>
    <row r="273" spans="3:3" ht="12.75">
      <c r="C273" s="499"/>
    </row>
    <row r="274" spans="3:3" ht="12.75">
      <c r="C274" s="499"/>
    </row>
    <row r="275" spans="3:3" ht="12.75">
      <c r="C275" s="499"/>
    </row>
    <row r="276" spans="3:3" ht="12.75">
      <c r="C276" s="499"/>
    </row>
    <row r="277" spans="3:3" ht="12.75">
      <c r="C277" s="499"/>
    </row>
    <row r="278" spans="3:3" ht="12.75">
      <c r="C278" s="499"/>
    </row>
    <row r="279" spans="3:3" ht="12.75">
      <c r="C279" s="499"/>
    </row>
    <row r="280" spans="3:3" ht="12.75">
      <c r="C280" s="499"/>
    </row>
    <row r="281" spans="3:3" ht="12.75">
      <c r="C281" s="499"/>
    </row>
    <row r="282" spans="3:3" ht="12.75">
      <c r="C282" s="499"/>
    </row>
    <row r="283" spans="3:3" ht="12.75">
      <c r="C283" s="499"/>
    </row>
    <row r="284" spans="3:3" ht="12.75">
      <c r="C284" s="499"/>
    </row>
    <row r="285" spans="3:3" ht="12.75">
      <c r="C285" s="499"/>
    </row>
    <row r="286" spans="3:3" ht="12.75">
      <c r="C286" s="499"/>
    </row>
    <row r="287" spans="3:3" ht="12.75">
      <c r="C287" s="499"/>
    </row>
    <row r="288" spans="3:3" ht="12.75">
      <c r="C288" s="499"/>
    </row>
    <row r="289" spans="3:3" ht="12.75">
      <c r="C289" s="499"/>
    </row>
    <row r="290" spans="3:3" ht="12.75">
      <c r="C290" s="499"/>
    </row>
    <row r="291" spans="3:3" ht="12.75">
      <c r="C291" s="499"/>
    </row>
    <row r="292" spans="3:3" ht="12.75">
      <c r="C292" s="499"/>
    </row>
    <row r="293" spans="3:3" ht="12.75">
      <c r="C293" s="499"/>
    </row>
    <row r="294" spans="3:3" ht="12.75">
      <c r="C294" s="499"/>
    </row>
    <row r="295" spans="3:3" ht="12.75">
      <c r="C295" s="499"/>
    </row>
    <row r="296" spans="3:3" ht="12.75">
      <c r="C296" s="499"/>
    </row>
    <row r="297" spans="3:3" ht="12.75">
      <c r="C297" s="499"/>
    </row>
    <row r="298" spans="3:3" ht="12.75">
      <c r="C298" s="499"/>
    </row>
    <row r="299" spans="3:3" ht="12.75">
      <c r="C299" s="499"/>
    </row>
    <row r="300" spans="3:3" ht="12.75">
      <c r="C300" s="499"/>
    </row>
    <row r="301" spans="3:3" ht="12.75">
      <c r="C301" s="499"/>
    </row>
    <row r="302" spans="3:3" ht="12.75">
      <c r="C302" s="499"/>
    </row>
    <row r="303" spans="3:3" ht="12.75">
      <c r="C303" s="499"/>
    </row>
    <row r="304" spans="3:3" ht="12.75">
      <c r="C304" s="499"/>
    </row>
    <row r="305" spans="3:3" ht="12.75">
      <c r="C305" s="499"/>
    </row>
    <row r="306" spans="3:3" ht="12.75">
      <c r="C306" s="499"/>
    </row>
    <row r="307" spans="3:3" ht="12.75">
      <c r="C307" s="499"/>
    </row>
    <row r="308" spans="3:3" ht="12.75">
      <c r="C308" s="499"/>
    </row>
    <row r="309" spans="3:3" ht="12.75">
      <c r="C309" s="499"/>
    </row>
    <row r="310" spans="3:3" ht="12.75">
      <c r="C310" s="499"/>
    </row>
    <row r="311" spans="3:3" ht="12.75">
      <c r="C311" s="499"/>
    </row>
    <row r="312" spans="3:3" ht="12.75">
      <c r="C312" s="499"/>
    </row>
    <row r="313" spans="3:3" ht="12.75">
      <c r="C313" s="499"/>
    </row>
    <row r="314" spans="3:3" ht="12.75">
      <c r="C314" s="499"/>
    </row>
    <row r="315" spans="3:3" ht="12.75">
      <c r="C315" s="499"/>
    </row>
    <row r="316" spans="3:3" ht="12.75">
      <c r="C316" s="499"/>
    </row>
    <row r="317" spans="3:3" ht="12.75">
      <c r="C317" s="499"/>
    </row>
    <row r="318" spans="3:3" ht="12.75">
      <c r="C318" s="499"/>
    </row>
    <row r="319" spans="3:3" ht="12.75">
      <c r="C319" s="499"/>
    </row>
    <row r="320" spans="3:3" ht="12.75">
      <c r="C320" s="499"/>
    </row>
    <row r="321" spans="3:3" ht="12.75">
      <c r="C321" s="499"/>
    </row>
    <row r="322" spans="3:3" ht="12.75">
      <c r="C322" s="499"/>
    </row>
    <row r="323" spans="3:3" ht="12.75">
      <c r="C323" s="499"/>
    </row>
    <row r="324" spans="3:3" ht="12.75">
      <c r="C324" s="499"/>
    </row>
    <row r="325" spans="3:3" ht="12.75">
      <c r="C325" s="499"/>
    </row>
    <row r="326" spans="3:3" ht="12.75">
      <c r="C326" s="499"/>
    </row>
    <row r="327" spans="3:3" ht="12.75">
      <c r="C327" s="499"/>
    </row>
    <row r="328" spans="3:3" ht="12.75">
      <c r="C328" s="499"/>
    </row>
    <row r="329" spans="3:3" ht="12.75">
      <c r="C329" s="499"/>
    </row>
    <row r="330" spans="3:3" ht="12.75">
      <c r="C330" s="499"/>
    </row>
    <row r="331" spans="3:3" ht="12.75">
      <c r="C331" s="499"/>
    </row>
    <row r="332" spans="3:3" ht="12.75">
      <c r="C332" s="499"/>
    </row>
    <row r="333" spans="3:3" ht="12.75">
      <c r="C333" s="499"/>
    </row>
    <row r="334" spans="3:3" ht="12.75">
      <c r="C334" s="499"/>
    </row>
    <row r="335" spans="3:3" ht="12.75">
      <c r="C335" s="499"/>
    </row>
    <row r="336" spans="3:3" ht="12.75">
      <c r="C336" s="499"/>
    </row>
    <row r="337" spans="3:3" ht="12.75">
      <c r="C337" s="499"/>
    </row>
    <row r="338" spans="3:3" ht="12.75">
      <c r="C338" s="499"/>
    </row>
    <row r="339" spans="3:3" ht="12.75">
      <c r="C339" s="499"/>
    </row>
    <row r="340" spans="3:3" ht="12.75">
      <c r="C340" s="499"/>
    </row>
    <row r="341" spans="3:3" ht="12.75">
      <c r="C341" s="499"/>
    </row>
    <row r="342" spans="3:3" ht="12.75">
      <c r="C342" s="499"/>
    </row>
    <row r="343" spans="3:3" ht="12.75">
      <c r="C343" s="499"/>
    </row>
    <row r="344" spans="3:3" ht="12.75">
      <c r="C344" s="499"/>
    </row>
    <row r="345" spans="3:3" ht="12.75">
      <c r="C345" s="499"/>
    </row>
    <row r="346" spans="3:3" ht="12.75">
      <c r="C346" s="499"/>
    </row>
    <row r="347" spans="3:3" ht="12.75">
      <c r="C347" s="499"/>
    </row>
    <row r="348" spans="3:3" ht="12.75">
      <c r="C348" s="499"/>
    </row>
    <row r="349" spans="3:3" ht="12.75">
      <c r="C349" s="499"/>
    </row>
    <row r="350" spans="3:3" ht="12.75">
      <c r="C350" s="499"/>
    </row>
    <row r="351" spans="3:3" ht="12.75">
      <c r="C351" s="499"/>
    </row>
    <row r="352" spans="3:3" ht="12.75">
      <c r="C352" s="499"/>
    </row>
    <row r="353" spans="3:3" ht="12.75">
      <c r="C353" s="499"/>
    </row>
    <row r="354" spans="3:3" ht="12.75">
      <c r="C354" s="499"/>
    </row>
    <row r="355" spans="3:3" ht="12.75">
      <c r="C355" s="499"/>
    </row>
    <row r="356" spans="3:3" ht="12.75">
      <c r="C356" s="499"/>
    </row>
    <row r="357" spans="3:3" ht="12.75">
      <c r="C357" s="499"/>
    </row>
    <row r="358" spans="3:3" ht="12.75">
      <c r="C358" s="499"/>
    </row>
    <row r="359" spans="3:3" ht="12.75">
      <c r="C359" s="499"/>
    </row>
    <row r="360" spans="3:3" ht="12.75">
      <c r="C360" s="499"/>
    </row>
    <row r="361" spans="3:3" ht="12.75">
      <c r="C361" s="499"/>
    </row>
    <row r="362" spans="3:3" ht="12.75">
      <c r="C362" s="499"/>
    </row>
    <row r="363" spans="3:3" ht="12.75">
      <c r="C363" s="499"/>
    </row>
    <row r="364" spans="3:3" ht="12.75">
      <c r="C364" s="499"/>
    </row>
    <row r="365" spans="3:3" ht="12.75">
      <c r="C365" s="499"/>
    </row>
    <row r="366" spans="3:3" ht="12.75">
      <c r="C366" s="499"/>
    </row>
    <row r="367" spans="3:3" ht="12.75">
      <c r="C367" s="499"/>
    </row>
    <row r="368" spans="3:3" ht="12.75">
      <c r="C368" s="499"/>
    </row>
    <row r="369" spans="3:3" ht="12.75">
      <c r="C369" s="499"/>
    </row>
    <row r="370" spans="3:3" ht="12.75">
      <c r="C370" s="499"/>
    </row>
    <row r="371" spans="3:3" ht="12.75">
      <c r="C371" s="499"/>
    </row>
    <row r="372" spans="3:3" ht="12.75">
      <c r="C372" s="499"/>
    </row>
    <row r="373" spans="3:3" ht="12.75">
      <c r="C373" s="499"/>
    </row>
    <row r="374" spans="3:3" ht="12.75">
      <c r="C374" s="499"/>
    </row>
    <row r="375" spans="3:3" ht="12.75">
      <c r="C375" s="499"/>
    </row>
    <row r="376" spans="3:3" ht="12.75">
      <c r="C376" s="499"/>
    </row>
    <row r="377" spans="3:3" ht="12.75">
      <c r="C377" s="499"/>
    </row>
    <row r="378" spans="3:3" ht="12.75">
      <c r="C378" s="499"/>
    </row>
    <row r="379" spans="3:3" ht="12.75">
      <c r="C379" s="499"/>
    </row>
    <row r="380" spans="3:3" ht="12.75">
      <c r="C380" s="499"/>
    </row>
    <row r="381" spans="3:3" ht="12.75">
      <c r="C381" s="499"/>
    </row>
    <row r="382" spans="3:3" ht="12.75">
      <c r="C382" s="499"/>
    </row>
    <row r="383" spans="3:3" ht="12.75">
      <c r="C383" s="499"/>
    </row>
    <row r="384" spans="3:3" ht="12.75">
      <c r="C384" s="499"/>
    </row>
    <row r="385" spans="3:3" ht="12.75">
      <c r="C385" s="499"/>
    </row>
    <row r="386" spans="3:3" ht="12.75">
      <c r="C386" s="499"/>
    </row>
    <row r="387" spans="3:3" ht="12.75">
      <c r="C387" s="499"/>
    </row>
    <row r="388" spans="3:3" ht="12.75">
      <c r="C388" s="499"/>
    </row>
    <row r="389" spans="3:3" ht="12.75">
      <c r="C389" s="499"/>
    </row>
    <row r="390" spans="3:3" ht="12.75">
      <c r="C390" s="499"/>
    </row>
    <row r="391" spans="3:3" ht="12.75">
      <c r="C391" s="499"/>
    </row>
    <row r="392" spans="3:3" ht="12.75">
      <c r="C392" s="499"/>
    </row>
    <row r="393" spans="3:3" ht="12.75">
      <c r="C393" s="499"/>
    </row>
    <row r="394" spans="3:3" ht="12.75">
      <c r="C394" s="499"/>
    </row>
    <row r="395" spans="3:3" ht="12.75">
      <c r="C395" s="499"/>
    </row>
    <row r="396" spans="3:3" ht="12.75">
      <c r="C396" s="499"/>
    </row>
    <row r="397" spans="3:3" ht="12.75">
      <c r="C397" s="499"/>
    </row>
    <row r="398" spans="3:3" ht="12.75">
      <c r="C398" s="499"/>
    </row>
    <row r="399" spans="3:3" ht="12.75">
      <c r="C399" s="499"/>
    </row>
    <row r="400" spans="3:3" ht="12.75">
      <c r="C400" s="499"/>
    </row>
    <row r="401" spans="3:3" ht="12.75">
      <c r="C401" s="499"/>
    </row>
    <row r="402" spans="3:3" ht="12.75">
      <c r="C402" s="499"/>
    </row>
    <row r="403" spans="3:3" ht="12.75">
      <c r="C403" s="499"/>
    </row>
    <row r="404" spans="3:3" ht="12.75">
      <c r="C404" s="499"/>
    </row>
    <row r="405" spans="3:3" ht="12.75">
      <c r="C405" s="499"/>
    </row>
    <row r="406" spans="3:3" ht="12.75">
      <c r="C406" s="499"/>
    </row>
    <row r="407" spans="3:3" ht="12.75">
      <c r="C407" s="499"/>
    </row>
    <row r="408" spans="3:3" ht="12.75">
      <c r="C408" s="499"/>
    </row>
    <row r="409" spans="3:3" ht="12.75">
      <c r="C409" s="499"/>
    </row>
    <row r="410" spans="3:3" ht="12.75">
      <c r="C410" s="499"/>
    </row>
    <row r="411" spans="3:3" ht="12.75">
      <c r="C411" s="499"/>
    </row>
    <row r="412" spans="3:3" ht="12.75">
      <c r="C412" s="499"/>
    </row>
    <row r="413" spans="3:3" ht="12.75">
      <c r="C413" s="499"/>
    </row>
    <row r="414" spans="3:3" ht="12.75">
      <c r="C414" s="499"/>
    </row>
    <row r="415" spans="3:3" ht="12.75">
      <c r="C415" s="499"/>
    </row>
    <row r="416" spans="3:3" ht="12.75">
      <c r="C416" s="499"/>
    </row>
    <row r="417" spans="3:3" ht="12.75">
      <c r="C417" s="499"/>
    </row>
    <row r="418" spans="3:3" ht="12.75">
      <c r="C418" s="499"/>
    </row>
    <row r="419" spans="3:3" ht="12.75">
      <c r="C419" s="499"/>
    </row>
    <row r="420" spans="3:3" ht="12.75">
      <c r="C420" s="499"/>
    </row>
    <row r="421" spans="3:3" ht="12.75">
      <c r="C421" s="499"/>
    </row>
    <row r="422" spans="3:3" ht="12.75">
      <c r="C422" s="499"/>
    </row>
    <row r="423" spans="3:3" ht="12.75">
      <c r="C423" s="499"/>
    </row>
    <row r="424" spans="3:3" ht="12.75">
      <c r="C424" s="499"/>
    </row>
    <row r="425" spans="3:3" ht="12.75">
      <c r="C425" s="499"/>
    </row>
    <row r="426" spans="3:3" ht="12.75">
      <c r="C426" s="499"/>
    </row>
    <row r="427" spans="3:3" ht="12.75">
      <c r="C427" s="499"/>
    </row>
    <row r="428" spans="3:3" ht="12.75">
      <c r="C428" s="499"/>
    </row>
    <row r="429" spans="3:3" ht="12.75">
      <c r="C429" s="499"/>
    </row>
    <row r="430" spans="3:3" ht="12.75">
      <c r="C430" s="499"/>
    </row>
    <row r="431" spans="3:3" ht="12.75">
      <c r="C431" s="499"/>
    </row>
    <row r="432" spans="3:3" ht="12.75">
      <c r="C432" s="499"/>
    </row>
    <row r="433" spans="3:3" ht="12.75">
      <c r="C433" s="499"/>
    </row>
    <row r="434" spans="3:3" ht="12.75">
      <c r="C434" s="499"/>
    </row>
    <row r="435" spans="3:3" ht="12.75">
      <c r="C435" s="499"/>
    </row>
    <row r="436" spans="3:3" ht="12.75">
      <c r="C436" s="499"/>
    </row>
    <row r="437" spans="3:3" ht="12.75">
      <c r="C437" s="499"/>
    </row>
    <row r="438" spans="3:3" ht="12.75">
      <c r="C438" s="499"/>
    </row>
    <row r="439" spans="3:3" ht="12.75">
      <c r="C439" s="499"/>
    </row>
    <row r="440" spans="3:3" ht="12.75">
      <c r="C440" s="499"/>
    </row>
    <row r="441" spans="3:3" ht="12.75">
      <c r="C441" s="499"/>
    </row>
    <row r="442" spans="3:3" ht="12.75">
      <c r="C442" s="499"/>
    </row>
    <row r="443" spans="3:3" ht="12.75">
      <c r="C443" s="499"/>
    </row>
    <row r="444" spans="3:3" ht="12.75">
      <c r="C444" s="499"/>
    </row>
    <row r="445" spans="3:3" ht="12.75">
      <c r="C445" s="499"/>
    </row>
    <row r="446" spans="3:3" ht="12.75">
      <c r="C446" s="499"/>
    </row>
    <row r="447" spans="3:3" ht="12.75">
      <c r="C447" s="499"/>
    </row>
    <row r="448" spans="3:3" ht="12.75">
      <c r="C448" s="499"/>
    </row>
    <row r="449" spans="3:3" ht="12.75">
      <c r="C449" s="499"/>
    </row>
    <row r="450" spans="3:3" ht="12.75">
      <c r="C450" s="499"/>
    </row>
    <row r="451" spans="3:3" ht="12.75">
      <c r="C451" s="499"/>
    </row>
    <row r="452" spans="3:3" ht="12.75">
      <c r="C452" s="499"/>
    </row>
    <row r="453" spans="3:3" ht="12.75">
      <c r="C453" s="499"/>
    </row>
    <row r="454" spans="3:3" ht="12.75">
      <c r="C454" s="499"/>
    </row>
    <row r="455" spans="3:3" ht="12.75">
      <c r="C455" s="499"/>
    </row>
    <row r="456" spans="3:3" ht="12.75">
      <c r="C456" s="499"/>
    </row>
    <row r="457" spans="3:3" ht="12.75">
      <c r="C457" s="499"/>
    </row>
    <row r="458" spans="3:3" ht="12.75">
      <c r="C458" s="499"/>
    </row>
    <row r="459" spans="3:3" ht="12.75">
      <c r="C459" s="499"/>
    </row>
    <row r="460" spans="3:3" ht="12.75">
      <c r="C460" s="499"/>
    </row>
    <row r="461" spans="3:3" ht="12.75">
      <c r="C461" s="499"/>
    </row>
    <row r="462" spans="3:3" ht="12.75">
      <c r="C462" s="499"/>
    </row>
    <row r="463" spans="3:3" ht="12.75">
      <c r="C463" s="499"/>
    </row>
    <row r="464" spans="3:3" ht="12.75">
      <c r="C464" s="499"/>
    </row>
    <row r="465" spans="3:3" ht="12.75">
      <c r="C465" s="499"/>
    </row>
    <row r="466" spans="3:3" ht="12.75">
      <c r="C466" s="499"/>
    </row>
    <row r="467" spans="3:3" ht="12.75">
      <c r="C467" s="499"/>
    </row>
    <row r="468" spans="3:3" ht="12.75">
      <c r="C468" s="499"/>
    </row>
    <row r="469" spans="3:3" ht="12.75">
      <c r="C469" s="499"/>
    </row>
    <row r="470" spans="3:3" ht="12.75">
      <c r="C470" s="499"/>
    </row>
    <row r="471" spans="3:3" ht="12.75">
      <c r="C471" s="499"/>
    </row>
    <row r="472" spans="3:3" ht="12.75">
      <c r="C472" s="499"/>
    </row>
    <row r="473" spans="3:3" ht="12.75">
      <c r="C473" s="499"/>
    </row>
    <row r="474" spans="3:3" ht="12.75">
      <c r="C474" s="499"/>
    </row>
    <row r="475" spans="3:3" ht="12.75">
      <c r="C475" s="499"/>
    </row>
    <row r="476" spans="3:3" ht="12.75">
      <c r="C476" s="499"/>
    </row>
    <row r="477" spans="3:3" ht="12.75">
      <c r="C477" s="499"/>
    </row>
    <row r="478" spans="3:3" ht="12.75">
      <c r="C478" s="499"/>
    </row>
    <row r="479" spans="3:3" ht="12.75">
      <c r="C479" s="499"/>
    </row>
    <row r="480" spans="3:3" ht="12.75">
      <c r="C480" s="499"/>
    </row>
    <row r="481" spans="3:3" ht="12.75">
      <c r="C481" s="499"/>
    </row>
    <row r="482" spans="3:3" ht="12.75">
      <c r="C482" s="499"/>
    </row>
    <row r="483" spans="3:3" ht="12.75">
      <c r="C483" s="499"/>
    </row>
    <row r="484" spans="3:3" ht="12.75">
      <c r="C484" s="499"/>
    </row>
    <row r="485" spans="3:3" ht="12.75">
      <c r="C485" s="499"/>
    </row>
    <row r="486" spans="3:3" ht="12.75">
      <c r="C486" s="499"/>
    </row>
    <row r="487" spans="3:3" ht="12.75">
      <c r="C487" s="499"/>
    </row>
    <row r="488" spans="3:3" ht="12.75">
      <c r="C488" s="499"/>
    </row>
    <row r="489" spans="3:3" ht="12.75">
      <c r="C489" s="499"/>
    </row>
    <row r="490" spans="3:3" ht="12.75">
      <c r="C490" s="499"/>
    </row>
    <row r="491" spans="3:3" ht="12.75">
      <c r="C491" s="499"/>
    </row>
    <row r="492" spans="3:3" ht="12.75">
      <c r="C492" s="499"/>
    </row>
    <row r="493" spans="3:3" ht="12.75">
      <c r="C493" s="499"/>
    </row>
    <row r="494" spans="3:3" ht="12.75">
      <c r="C494" s="499"/>
    </row>
    <row r="495" spans="3:3" ht="12.75">
      <c r="C495" s="499"/>
    </row>
    <row r="496" spans="3:3" ht="12.75">
      <c r="C496" s="499"/>
    </row>
    <row r="497" spans="3:3" ht="12.75">
      <c r="C497" s="499"/>
    </row>
    <row r="498" spans="3:3" ht="12.75">
      <c r="C498" s="499"/>
    </row>
    <row r="499" spans="3:3" ht="12.75">
      <c r="C499" s="499"/>
    </row>
    <row r="500" spans="3:3" ht="12.75">
      <c r="C500" s="499"/>
    </row>
    <row r="501" spans="3:3" ht="12.75">
      <c r="C501" s="499"/>
    </row>
    <row r="502" spans="3:3" ht="12.75">
      <c r="C502" s="499"/>
    </row>
    <row r="503" spans="3:3" ht="12.75">
      <c r="C503" s="499"/>
    </row>
    <row r="504" spans="3:3" ht="12.75">
      <c r="C504" s="499"/>
    </row>
    <row r="505" spans="3:3" ht="12.75">
      <c r="C505" s="499"/>
    </row>
    <row r="506" spans="3:3" ht="12.75">
      <c r="C506" s="499"/>
    </row>
    <row r="507" spans="3:3" ht="12.75">
      <c r="C507" s="499"/>
    </row>
    <row r="508" spans="3:3" ht="12.75">
      <c r="C508" s="499"/>
    </row>
    <row r="509" spans="3:3" ht="12.75">
      <c r="C509" s="499"/>
    </row>
    <row r="510" spans="3:3" ht="12.75">
      <c r="C510" s="499"/>
    </row>
    <row r="511" spans="3:3" ht="12.75">
      <c r="C511" s="499"/>
    </row>
    <row r="512" spans="3:3" ht="12.75">
      <c r="C512" s="499"/>
    </row>
    <row r="513" spans="3:3" ht="12.75">
      <c r="C513" s="499"/>
    </row>
    <row r="514" spans="3:3" ht="12.75">
      <c r="C514" s="499"/>
    </row>
    <row r="515" spans="3:3" ht="12.75">
      <c r="C515" s="499"/>
    </row>
    <row r="516" spans="3:3" ht="12.75">
      <c r="C516" s="499"/>
    </row>
    <row r="517" spans="3:3" ht="12.75">
      <c r="C517" s="499"/>
    </row>
    <row r="518" spans="3:3" ht="12.75">
      <c r="C518" s="499"/>
    </row>
    <row r="519" spans="3:3" ht="12.75">
      <c r="C519" s="499"/>
    </row>
    <row r="520" spans="3:3" ht="12.75">
      <c r="C520" s="499"/>
    </row>
    <row r="521" spans="3:3" ht="12.75">
      <c r="C521" s="499"/>
    </row>
    <row r="522" spans="3:3" ht="12.75">
      <c r="C522" s="499"/>
    </row>
    <row r="523" spans="3:3" ht="12.75">
      <c r="C523" s="499"/>
    </row>
    <row r="524" spans="3:3" ht="12.75">
      <c r="C524" s="499"/>
    </row>
    <row r="525" spans="3:3" ht="12.75">
      <c r="C525" s="499"/>
    </row>
    <row r="526" spans="3:3" ht="12.75">
      <c r="C526" s="499"/>
    </row>
    <row r="527" spans="3:3" ht="12.75">
      <c r="C527" s="499"/>
    </row>
    <row r="528" spans="3:3" ht="12.75">
      <c r="C528" s="499"/>
    </row>
    <row r="529" spans="3:3" ht="12.75">
      <c r="C529" s="499"/>
    </row>
    <row r="530" spans="3:3" ht="12.75">
      <c r="C530" s="499"/>
    </row>
    <row r="531" spans="3:3" ht="12.75">
      <c r="C531" s="499"/>
    </row>
    <row r="532" spans="3:3" ht="12.75">
      <c r="C532" s="499"/>
    </row>
    <row r="533" spans="3:3" ht="12.75">
      <c r="C533" s="499"/>
    </row>
    <row r="534" spans="3:3" ht="12.75">
      <c r="C534" s="499"/>
    </row>
    <row r="535" spans="3:3" ht="12.75">
      <c r="C535" s="499"/>
    </row>
    <row r="536" spans="3:3" ht="12.75">
      <c r="C536" s="499"/>
    </row>
    <row r="537" spans="3:3" ht="12.75">
      <c r="C537" s="499"/>
    </row>
    <row r="538" spans="3:3" ht="12.75">
      <c r="C538" s="499"/>
    </row>
    <row r="539" spans="3:3" ht="12.75">
      <c r="C539" s="499"/>
    </row>
    <row r="540" spans="3:3" ht="12.75">
      <c r="C540" s="499"/>
    </row>
    <row r="541" spans="3:3" ht="12.75">
      <c r="C541" s="499"/>
    </row>
    <row r="542" spans="3:3" ht="12.75">
      <c r="C542" s="499"/>
    </row>
    <row r="543" spans="3:3" ht="12.75">
      <c r="C543" s="499"/>
    </row>
    <row r="544" spans="3:3" ht="12.75">
      <c r="C544" s="499"/>
    </row>
    <row r="545" spans="3:3" ht="12.75">
      <c r="C545" s="499"/>
    </row>
    <row r="546" spans="3:3" ht="12.75">
      <c r="C546" s="499"/>
    </row>
    <row r="547" spans="3:3" ht="12.75">
      <c r="C547" s="499"/>
    </row>
    <row r="548" spans="3:3" ht="12.75">
      <c r="C548" s="499"/>
    </row>
    <row r="549" spans="3:3" ht="12.75">
      <c r="C549" s="499"/>
    </row>
    <row r="550" spans="3:3" ht="12.75">
      <c r="C550" s="499"/>
    </row>
    <row r="551" spans="3:3" ht="12.75">
      <c r="C551" s="499"/>
    </row>
    <row r="552" spans="3:3" ht="12.75">
      <c r="C552" s="499"/>
    </row>
    <row r="553" spans="3:3" ht="12.75">
      <c r="C553" s="499"/>
    </row>
    <row r="554" spans="3:3" ht="12.75">
      <c r="C554" s="499"/>
    </row>
    <row r="555" spans="3:3" ht="12.75">
      <c r="C555" s="499"/>
    </row>
    <row r="556" spans="3:3" ht="12.75">
      <c r="C556" s="499"/>
    </row>
    <row r="557" spans="3:3" ht="12.75">
      <c r="C557" s="499"/>
    </row>
    <row r="558" spans="3:3" ht="12.75">
      <c r="C558" s="499"/>
    </row>
    <row r="559" spans="3:3" ht="12.75">
      <c r="C559" s="499"/>
    </row>
    <row r="560" spans="3:3" ht="12.75">
      <c r="C560" s="499"/>
    </row>
    <row r="561" spans="3:3" ht="12.75">
      <c r="C561" s="499"/>
    </row>
    <row r="562" spans="3:3" ht="12.75">
      <c r="C562" s="499"/>
    </row>
    <row r="563" spans="3:3" ht="12.75">
      <c r="C563" s="499"/>
    </row>
    <row r="564" spans="3:3" ht="12.75">
      <c r="C564" s="499"/>
    </row>
    <row r="565" spans="3:3" ht="12.75">
      <c r="C565" s="499"/>
    </row>
    <row r="566" spans="3:3" ht="12.75">
      <c r="C566" s="499"/>
    </row>
    <row r="567" spans="3:3" ht="12.75">
      <c r="C567" s="499"/>
    </row>
    <row r="568" spans="3:3" ht="12.75">
      <c r="C568" s="499"/>
    </row>
    <row r="569" spans="3:3" ht="12.75">
      <c r="C569" s="499"/>
    </row>
    <row r="570" spans="3:3" ht="12.75">
      <c r="C570" s="499"/>
    </row>
    <row r="571" spans="3:3" ht="12.75">
      <c r="C571" s="499"/>
    </row>
    <row r="572" spans="3:3" ht="12.75">
      <c r="C572" s="499"/>
    </row>
    <row r="573" spans="3:3" ht="12.75">
      <c r="C573" s="499"/>
    </row>
    <row r="574" spans="3:3" ht="12.75">
      <c r="C574" s="499"/>
    </row>
    <row r="575" spans="3:3" ht="12.75">
      <c r="C575" s="499"/>
    </row>
    <row r="576" spans="3:3" ht="12.75">
      <c r="C576" s="499"/>
    </row>
    <row r="577" spans="3:3" ht="12.75">
      <c r="C577" s="499"/>
    </row>
    <row r="578" spans="3:3" ht="12.75">
      <c r="C578" s="499"/>
    </row>
    <row r="579" spans="3:3" ht="12.75">
      <c r="C579" s="499"/>
    </row>
    <row r="580" spans="3:3" ht="12.75">
      <c r="C580" s="499"/>
    </row>
    <row r="581" spans="3:3" ht="12.75">
      <c r="C581" s="499"/>
    </row>
    <row r="582" spans="3:3" ht="12.75">
      <c r="C582" s="499"/>
    </row>
    <row r="583" spans="3:3" ht="12.75">
      <c r="C583" s="499"/>
    </row>
    <row r="584" spans="3:3" ht="12.75">
      <c r="C584" s="499"/>
    </row>
    <row r="585" spans="3:3" ht="12.75">
      <c r="C585" s="499"/>
    </row>
    <row r="586" spans="3:3" ht="12.75">
      <c r="C586" s="499"/>
    </row>
    <row r="587" spans="3:3" ht="12.75">
      <c r="C587" s="499"/>
    </row>
    <row r="588" spans="3:3" ht="12.75">
      <c r="C588" s="499"/>
    </row>
    <row r="589" spans="3:3" ht="12.75">
      <c r="C589" s="499"/>
    </row>
    <row r="590" spans="3:3" ht="12.75">
      <c r="C590" s="499"/>
    </row>
    <row r="591" spans="3:3" ht="12.75">
      <c r="C591" s="499"/>
    </row>
    <row r="592" spans="3:3" ht="12.75">
      <c r="C592" s="499"/>
    </row>
    <row r="593" spans="3:3" ht="12.75">
      <c r="C593" s="499"/>
    </row>
    <row r="594" spans="3:3" ht="12.75">
      <c r="C594" s="499"/>
    </row>
    <row r="595" spans="3:3" ht="12.75">
      <c r="C595" s="499"/>
    </row>
    <row r="596" spans="3:3" ht="12.75">
      <c r="C596" s="499"/>
    </row>
    <row r="597" spans="3:3" ht="12.75">
      <c r="C597" s="499"/>
    </row>
    <row r="598" spans="3:3" ht="12.75">
      <c r="C598" s="499"/>
    </row>
    <row r="599" spans="3:3" ht="12.75">
      <c r="C599" s="499"/>
    </row>
    <row r="600" spans="3:3" ht="12.75">
      <c r="C600" s="499"/>
    </row>
    <row r="601" spans="3:3" ht="12.75">
      <c r="C601" s="499"/>
    </row>
    <row r="602" spans="3:3" ht="12.75">
      <c r="C602" s="499"/>
    </row>
    <row r="603" spans="3:3" ht="12.75">
      <c r="C603" s="499"/>
    </row>
    <row r="604" spans="3:3" ht="12.75">
      <c r="C604" s="499"/>
    </row>
    <row r="605" spans="3:3" ht="12.75">
      <c r="C605" s="499"/>
    </row>
    <row r="606" spans="3:3" ht="12.75">
      <c r="C606" s="499"/>
    </row>
    <row r="607" spans="3:3" ht="12.75">
      <c r="C607" s="499"/>
    </row>
    <row r="608" spans="3:3" ht="12.75">
      <c r="C608" s="499"/>
    </row>
    <row r="609" spans="3:3" ht="12.75">
      <c r="C609" s="499"/>
    </row>
    <row r="610" spans="3:3" ht="12.75">
      <c r="C610" s="499"/>
    </row>
    <row r="611" spans="3:3" ht="12.75">
      <c r="C611" s="499"/>
    </row>
    <row r="612" spans="3:3" ht="12.75">
      <c r="C612" s="499"/>
    </row>
    <row r="613" spans="3:3" ht="12.75">
      <c r="C613" s="499"/>
    </row>
    <row r="614" spans="3:3" ht="12.75">
      <c r="C614" s="499"/>
    </row>
    <row r="615" spans="3:3" ht="12.75">
      <c r="C615" s="499"/>
    </row>
    <row r="616" spans="3:3" ht="12.75">
      <c r="C616" s="499"/>
    </row>
    <row r="617" spans="3:3" ht="12.75">
      <c r="C617" s="499"/>
    </row>
    <row r="618" spans="3:3" ht="12.75">
      <c r="C618" s="499"/>
    </row>
    <row r="619" spans="3:3" ht="12.75">
      <c r="C619" s="499"/>
    </row>
    <row r="620" spans="3:3" ht="12.75">
      <c r="C620" s="499"/>
    </row>
    <row r="621" spans="3:3" ht="12.75">
      <c r="C621" s="499"/>
    </row>
    <row r="622" spans="3:3" ht="12.75">
      <c r="C622" s="499"/>
    </row>
    <row r="623" spans="3:3" ht="12.75">
      <c r="C623" s="499"/>
    </row>
    <row r="624" spans="3:3" ht="12.75">
      <c r="C624" s="499"/>
    </row>
    <row r="625" spans="3:3" ht="12.75">
      <c r="C625" s="499"/>
    </row>
    <row r="626" spans="3:3" ht="12.75">
      <c r="C626" s="499"/>
    </row>
    <row r="627" spans="3:3" ht="12.75">
      <c r="C627" s="499"/>
    </row>
    <row r="628" spans="3:3" ht="12.75">
      <c r="C628" s="499"/>
    </row>
    <row r="629" spans="3:3" ht="12.75">
      <c r="C629" s="499"/>
    </row>
    <row r="630" spans="3:3" ht="12.75">
      <c r="C630" s="499"/>
    </row>
    <row r="631" spans="3:3" ht="12.75">
      <c r="C631" s="499"/>
    </row>
    <row r="632" spans="3:3" ht="12.75">
      <c r="C632" s="499"/>
    </row>
    <row r="633" spans="3:3" ht="12.75">
      <c r="C633" s="499"/>
    </row>
    <row r="634" spans="3:3" ht="12.75">
      <c r="C634" s="499"/>
    </row>
    <row r="635" spans="3:3" ht="12.75">
      <c r="C635" s="499"/>
    </row>
    <row r="636" spans="3:3" ht="12.75">
      <c r="C636" s="499"/>
    </row>
    <row r="637" spans="3:3" ht="12.75">
      <c r="C637" s="499"/>
    </row>
    <row r="638" spans="3:3" ht="12.75">
      <c r="C638" s="499"/>
    </row>
    <row r="639" spans="3:3" ht="12.75">
      <c r="C639" s="499"/>
    </row>
    <row r="640" spans="3:3" ht="12.75">
      <c r="C640" s="499"/>
    </row>
    <row r="641" spans="3:3" ht="12.75">
      <c r="C641" s="499"/>
    </row>
    <row r="642" spans="3:3" ht="12.75">
      <c r="C642" s="499"/>
    </row>
    <row r="643" spans="3:3" ht="12.75">
      <c r="C643" s="499"/>
    </row>
    <row r="644" spans="3:3" ht="12.75">
      <c r="C644" s="499"/>
    </row>
    <row r="645" spans="3:3" ht="12.75">
      <c r="C645" s="499"/>
    </row>
    <row r="646" spans="3:3" ht="12.75">
      <c r="C646" s="499"/>
    </row>
    <row r="647" spans="3:3" ht="12.75">
      <c r="C647" s="499"/>
    </row>
    <row r="648" spans="3:3" ht="12.75">
      <c r="C648" s="499"/>
    </row>
    <row r="649" spans="3:3" ht="12.75">
      <c r="C649" s="499"/>
    </row>
    <row r="650" spans="3:3" ht="12.75">
      <c r="C650" s="499"/>
    </row>
    <row r="651" spans="3:3" ht="12.75">
      <c r="C651" s="499"/>
    </row>
    <row r="652" spans="3:3" ht="12.75">
      <c r="C652" s="499"/>
    </row>
    <row r="653" spans="3:3" ht="12.75">
      <c r="C653" s="499"/>
    </row>
    <row r="654" spans="3:3" ht="12.75">
      <c r="C654" s="499"/>
    </row>
    <row r="655" spans="3:3" ht="12.75">
      <c r="C655" s="499"/>
    </row>
    <row r="656" spans="3:3" ht="12.75">
      <c r="C656" s="499"/>
    </row>
    <row r="657" spans="3:3" ht="12.75">
      <c r="C657" s="499"/>
    </row>
    <row r="658" spans="3:3" ht="12.75">
      <c r="C658" s="499"/>
    </row>
    <row r="659" spans="3:3" ht="12.75">
      <c r="C659" s="499"/>
    </row>
    <row r="660" spans="3:3" ht="12.75">
      <c r="C660" s="499"/>
    </row>
    <row r="661" spans="3:3" ht="12.75">
      <c r="C661" s="499"/>
    </row>
    <row r="662" spans="3:3" ht="12.75">
      <c r="C662" s="499"/>
    </row>
    <row r="663" spans="3:3" ht="12.75">
      <c r="C663" s="499"/>
    </row>
    <row r="664" spans="3:3" ht="12.75">
      <c r="C664" s="499"/>
    </row>
    <row r="665" spans="3:3" ht="12.75">
      <c r="C665" s="499"/>
    </row>
    <row r="666" spans="3:3" ht="12.75">
      <c r="C666" s="499"/>
    </row>
    <row r="667" spans="3:3" ht="12.75">
      <c r="C667" s="499"/>
    </row>
    <row r="668" spans="3:3" ht="12.75">
      <c r="C668" s="499"/>
    </row>
    <row r="669" spans="3:3" ht="12.75">
      <c r="C669" s="499"/>
    </row>
    <row r="670" spans="3:3" ht="12.75">
      <c r="C670" s="499"/>
    </row>
    <row r="671" spans="3:3" ht="12.75">
      <c r="C671" s="499"/>
    </row>
    <row r="672" spans="3:3" ht="12.75">
      <c r="C672" s="499"/>
    </row>
    <row r="673" spans="3:3" ht="12.75">
      <c r="C673" s="499"/>
    </row>
    <row r="674" spans="3:3" ht="12.75">
      <c r="C674" s="499"/>
    </row>
    <row r="675" spans="3:3" ht="12.75">
      <c r="C675" s="499"/>
    </row>
    <row r="676" spans="3:3" ht="12.75">
      <c r="C676" s="499"/>
    </row>
    <row r="677" spans="3:3" ht="12.75">
      <c r="C677" s="499"/>
    </row>
    <row r="678" spans="3:3" ht="12.75">
      <c r="C678" s="499"/>
    </row>
    <row r="679" spans="3:3" ht="12.75">
      <c r="C679" s="499"/>
    </row>
    <row r="680" spans="3:3" ht="12.75">
      <c r="C680" s="499"/>
    </row>
    <row r="681" spans="3:3" ht="12.75">
      <c r="C681" s="499"/>
    </row>
    <row r="682" spans="3:3" ht="12.75">
      <c r="C682" s="499"/>
    </row>
    <row r="683" spans="3:3" ht="12.75">
      <c r="C683" s="499"/>
    </row>
    <row r="684" spans="3:3" ht="12.75">
      <c r="C684" s="499"/>
    </row>
    <row r="685" spans="3:3" ht="12.75">
      <c r="C685" s="499"/>
    </row>
    <row r="686" spans="3:3" ht="12.75">
      <c r="C686" s="499"/>
    </row>
    <row r="687" spans="3:3" ht="12.75">
      <c r="C687" s="499"/>
    </row>
    <row r="688" spans="3:3" ht="12.75">
      <c r="C688" s="499"/>
    </row>
    <row r="689" spans="3:3" ht="12.75">
      <c r="C689" s="499"/>
    </row>
    <row r="690" spans="3:3" ht="12.75">
      <c r="C690" s="499"/>
    </row>
    <row r="691" spans="3:3" ht="12.75">
      <c r="C691" s="499"/>
    </row>
    <row r="692" spans="3:3" ht="12.75">
      <c r="C692" s="499"/>
    </row>
    <row r="693" spans="3:3" ht="12.75">
      <c r="C693" s="499"/>
    </row>
    <row r="694" spans="3:3" ht="12.75">
      <c r="C694" s="499"/>
    </row>
    <row r="695" spans="3:3" ht="12.75">
      <c r="C695" s="499"/>
    </row>
    <row r="696" spans="3:3" ht="12.75">
      <c r="C696" s="499"/>
    </row>
    <row r="697" spans="3:3" ht="12.75">
      <c r="C697" s="499"/>
    </row>
    <row r="698" spans="3:3" ht="12.75">
      <c r="C698" s="499"/>
    </row>
    <row r="699" spans="3:3" ht="12.75">
      <c r="C699" s="499"/>
    </row>
    <row r="700" spans="3:3" ht="12.75">
      <c r="C700" s="499"/>
    </row>
    <row r="701" spans="3:3" ht="12.75">
      <c r="C701" s="499"/>
    </row>
    <row r="702" spans="3:3" ht="12.75">
      <c r="C702" s="499"/>
    </row>
    <row r="703" spans="3:3" ht="12.75">
      <c r="C703" s="499"/>
    </row>
    <row r="704" spans="3:3" ht="12.75">
      <c r="C704" s="499"/>
    </row>
    <row r="705" spans="3:3" ht="12.75">
      <c r="C705" s="499"/>
    </row>
    <row r="706" spans="3:3" ht="12.75">
      <c r="C706" s="499"/>
    </row>
    <row r="707" spans="3:3" ht="12.75">
      <c r="C707" s="499"/>
    </row>
    <row r="708" spans="3:3" ht="12.75">
      <c r="C708" s="499"/>
    </row>
    <row r="709" spans="3:3" ht="12.75">
      <c r="C709" s="499"/>
    </row>
    <row r="710" spans="3:3" ht="12.75">
      <c r="C710" s="499"/>
    </row>
    <row r="711" spans="3:3" ht="12.75">
      <c r="C711" s="499"/>
    </row>
    <row r="712" spans="3:3" ht="12.75">
      <c r="C712" s="499"/>
    </row>
    <row r="713" spans="3:3" ht="12.75">
      <c r="C713" s="499"/>
    </row>
    <row r="714" spans="3:3" ht="12.75">
      <c r="C714" s="499"/>
    </row>
    <row r="715" spans="3:3" ht="12.75">
      <c r="C715" s="499"/>
    </row>
    <row r="716" spans="3:3" ht="12.75">
      <c r="C716" s="499"/>
    </row>
    <row r="717" spans="3:3" ht="12.75">
      <c r="C717" s="499"/>
    </row>
    <row r="718" spans="3:3" ht="12.75">
      <c r="C718" s="499"/>
    </row>
    <row r="719" spans="3:3" ht="12.75">
      <c r="C719" s="499"/>
    </row>
    <row r="720" spans="3:3" ht="12.75">
      <c r="C720" s="499"/>
    </row>
    <row r="721" spans="3:3" ht="12.75">
      <c r="C721" s="499"/>
    </row>
    <row r="722" spans="3:3" ht="12.75">
      <c r="C722" s="499"/>
    </row>
    <row r="723" spans="3:3" ht="12.75">
      <c r="C723" s="499"/>
    </row>
    <row r="724" spans="3:3" ht="12.75">
      <c r="C724" s="499"/>
    </row>
    <row r="725" spans="3:3" ht="12.75">
      <c r="C725" s="499"/>
    </row>
    <row r="726" spans="3:3" ht="12.75">
      <c r="C726" s="499"/>
    </row>
    <row r="727" spans="3:3" ht="12.75">
      <c r="C727" s="499"/>
    </row>
    <row r="728" spans="3:3" ht="12.75">
      <c r="C728" s="499"/>
    </row>
    <row r="729" spans="3:3" ht="12.75">
      <c r="C729" s="499"/>
    </row>
    <row r="730" spans="3:3" ht="12.75">
      <c r="C730" s="499"/>
    </row>
    <row r="731" spans="3:3" ht="12.75">
      <c r="C731" s="499"/>
    </row>
    <row r="732" spans="3:3" ht="12.75">
      <c r="C732" s="499"/>
    </row>
    <row r="733" spans="3:3" ht="12.75">
      <c r="C733" s="499"/>
    </row>
    <row r="734" spans="3:3" ht="12.75">
      <c r="C734" s="499"/>
    </row>
    <row r="735" spans="3:3" ht="12.75">
      <c r="C735" s="499"/>
    </row>
    <row r="736" spans="3:3" ht="12.75">
      <c r="C736" s="499"/>
    </row>
    <row r="737" spans="3:3" ht="12.75">
      <c r="C737" s="499"/>
    </row>
    <row r="738" spans="3:3" ht="12.75">
      <c r="C738" s="499"/>
    </row>
    <row r="739" spans="3:3" ht="12.75">
      <c r="C739" s="499"/>
    </row>
    <row r="740" spans="3:3" ht="12.75">
      <c r="C740" s="499"/>
    </row>
    <row r="741" spans="3:3" ht="12.75">
      <c r="C741" s="499"/>
    </row>
    <row r="742" spans="3:3" ht="12.75">
      <c r="C742" s="499"/>
    </row>
    <row r="743" spans="3:3" ht="12.75">
      <c r="C743" s="499"/>
    </row>
    <row r="744" spans="3:3" ht="12.75">
      <c r="C744" s="499"/>
    </row>
    <row r="745" spans="3:3" ht="12.75">
      <c r="C745" s="499"/>
    </row>
    <row r="746" spans="3:3" ht="12.75">
      <c r="C746" s="499"/>
    </row>
    <row r="747" spans="3:3" ht="12.75">
      <c r="C747" s="499"/>
    </row>
    <row r="748" spans="3:3" ht="12.75">
      <c r="C748" s="499"/>
    </row>
    <row r="749" spans="3:3" ht="12.75">
      <c r="C749" s="499"/>
    </row>
    <row r="750" spans="3:3" ht="12.75">
      <c r="C750" s="499"/>
    </row>
    <row r="751" spans="3:3" ht="12.75">
      <c r="C751" s="499"/>
    </row>
    <row r="752" spans="3:3" ht="12.75">
      <c r="C752" s="499"/>
    </row>
    <row r="753" spans="3:3" ht="12.75">
      <c r="C753" s="499"/>
    </row>
    <row r="754" spans="3:3" ht="12.75">
      <c r="C754" s="499"/>
    </row>
    <row r="755" spans="3:3" ht="12.75">
      <c r="C755" s="499"/>
    </row>
    <row r="756" spans="3:3" ht="12.75">
      <c r="C756" s="499"/>
    </row>
    <row r="757" spans="3:3" ht="12.75">
      <c r="C757" s="499"/>
    </row>
    <row r="758" spans="3:3" ht="12.75">
      <c r="C758" s="499"/>
    </row>
    <row r="759" spans="3:3" ht="12.75">
      <c r="C759" s="499"/>
    </row>
    <row r="760" spans="3:3" ht="12.75">
      <c r="C760" s="499"/>
    </row>
    <row r="761" spans="3:3" ht="12.75">
      <c r="C761" s="499"/>
    </row>
    <row r="762" spans="3:3" ht="12.75">
      <c r="C762" s="499"/>
    </row>
    <row r="763" spans="3:3" ht="12.75">
      <c r="C763" s="499"/>
    </row>
    <row r="764" spans="3:3" ht="12.75">
      <c r="C764" s="499"/>
    </row>
    <row r="765" spans="3:3" ht="12.75">
      <c r="C765" s="499"/>
    </row>
    <row r="766" spans="3:3" ht="12.75">
      <c r="C766" s="499"/>
    </row>
    <row r="767" spans="3:3" ht="12.75">
      <c r="C767" s="499"/>
    </row>
    <row r="768" spans="3:3" ht="12.75">
      <c r="C768" s="499"/>
    </row>
    <row r="769" spans="3:3" ht="12.75">
      <c r="C769" s="499"/>
    </row>
    <row r="770" spans="3:3" ht="12.75">
      <c r="C770" s="499"/>
    </row>
    <row r="771" spans="3:3" ht="12.75">
      <c r="C771" s="499"/>
    </row>
    <row r="772" spans="3:3" ht="12.75">
      <c r="C772" s="499"/>
    </row>
    <row r="773" spans="3:3" ht="12.75">
      <c r="C773" s="499"/>
    </row>
    <row r="774" spans="3:3" ht="12.75">
      <c r="C774" s="499"/>
    </row>
    <row r="775" spans="3:3" ht="12.75">
      <c r="C775" s="499"/>
    </row>
    <row r="776" spans="3:3" ht="12.75">
      <c r="C776" s="499"/>
    </row>
    <row r="777" spans="3:3" ht="12.75">
      <c r="C777" s="499"/>
    </row>
    <row r="778" spans="3:3" ht="12.75">
      <c r="C778" s="499"/>
    </row>
    <row r="779" spans="3:3" ht="12.75">
      <c r="C779" s="499"/>
    </row>
    <row r="780" spans="3:3" ht="12.75">
      <c r="C780" s="499"/>
    </row>
    <row r="781" spans="3:3" ht="12.75">
      <c r="C781" s="499"/>
    </row>
    <row r="782" spans="3:3" ht="12.75">
      <c r="C782" s="499"/>
    </row>
    <row r="783" spans="3:3" ht="12.75">
      <c r="C783" s="499"/>
    </row>
    <row r="784" spans="3:3" ht="12.75">
      <c r="C784" s="499"/>
    </row>
    <row r="785" spans="3:3" ht="12.75">
      <c r="C785" s="499"/>
    </row>
    <row r="786" spans="3:3" ht="12.75">
      <c r="C786" s="499"/>
    </row>
    <row r="787" spans="3:3" ht="12.75">
      <c r="C787" s="499"/>
    </row>
    <row r="788" spans="3:3" ht="12.75">
      <c r="C788" s="499"/>
    </row>
    <row r="789" spans="3:3" ht="12.75">
      <c r="C789" s="499"/>
    </row>
    <row r="790" spans="3:3" ht="12.75">
      <c r="C790" s="499"/>
    </row>
    <row r="791" spans="3:3" ht="12.75">
      <c r="C791" s="499"/>
    </row>
    <row r="792" spans="3:3" ht="12.75">
      <c r="C792" s="499"/>
    </row>
    <row r="793" spans="3:3" ht="12.75">
      <c r="C793" s="499"/>
    </row>
    <row r="794" spans="3:3" ht="12.75">
      <c r="C794" s="499"/>
    </row>
    <row r="795" spans="3:3" ht="12.75">
      <c r="C795" s="499"/>
    </row>
    <row r="796" spans="3:3" ht="12.75">
      <c r="C796" s="499"/>
    </row>
    <row r="797" spans="3:3" ht="12.75">
      <c r="C797" s="499"/>
    </row>
    <row r="798" spans="3:3" ht="12.75">
      <c r="C798" s="499"/>
    </row>
    <row r="799" spans="3:3" ht="12.75">
      <c r="C799" s="499"/>
    </row>
    <row r="800" spans="3:3" ht="12.75">
      <c r="C800" s="499"/>
    </row>
    <row r="801" spans="3:3" ht="12.75">
      <c r="C801" s="499"/>
    </row>
    <row r="802" spans="3:3" ht="12.75">
      <c r="C802" s="499"/>
    </row>
    <row r="803" spans="3:3" ht="12.75">
      <c r="C803" s="499"/>
    </row>
    <row r="804" spans="3:3" ht="12.75">
      <c r="C804" s="499"/>
    </row>
    <row r="805" spans="3:3" ht="12.75">
      <c r="C805" s="499"/>
    </row>
    <row r="806" spans="3:3" ht="12.75">
      <c r="C806" s="499"/>
    </row>
    <row r="807" spans="3:3" ht="12.75">
      <c r="C807" s="499"/>
    </row>
    <row r="808" spans="3:3" ht="12.75">
      <c r="C808" s="499"/>
    </row>
    <row r="809" spans="3:3" ht="12.75">
      <c r="C809" s="499"/>
    </row>
    <row r="810" spans="3:3" ht="12.75">
      <c r="C810" s="499"/>
    </row>
    <row r="811" spans="3:3" ht="12.75">
      <c r="C811" s="499"/>
    </row>
    <row r="812" spans="3:3" ht="12.75">
      <c r="C812" s="499"/>
    </row>
    <row r="813" spans="3:3" ht="12.75">
      <c r="C813" s="499"/>
    </row>
    <row r="814" spans="3:3" ht="12.75">
      <c r="C814" s="499"/>
    </row>
    <row r="815" spans="3:3" ht="12.75">
      <c r="C815" s="499"/>
    </row>
    <row r="816" spans="3:3" ht="12.75">
      <c r="C816" s="499"/>
    </row>
    <row r="817" spans="3:3" ht="12.75">
      <c r="C817" s="499"/>
    </row>
    <row r="818" spans="3:3" ht="12.75">
      <c r="C818" s="499"/>
    </row>
    <row r="819" spans="3:3" ht="12.75">
      <c r="C819" s="499"/>
    </row>
    <row r="820" spans="3:3" ht="12.75">
      <c r="C820" s="499"/>
    </row>
    <row r="821" spans="3:3" ht="12.75">
      <c r="C821" s="499"/>
    </row>
    <row r="822" spans="3:3" ht="12.75">
      <c r="C822" s="499"/>
    </row>
    <row r="823" spans="3:3" ht="12.75">
      <c r="C823" s="499"/>
    </row>
    <row r="824" spans="3:3" ht="12.75">
      <c r="C824" s="499"/>
    </row>
    <row r="825" spans="3:3" ht="12.75">
      <c r="C825" s="499"/>
    </row>
    <row r="826" spans="3:3" ht="12.75">
      <c r="C826" s="499"/>
    </row>
    <row r="827" spans="3:3" ht="12.75">
      <c r="C827" s="499"/>
    </row>
    <row r="828" spans="3:3" ht="12.75">
      <c r="C828" s="499"/>
    </row>
    <row r="829" spans="3:3" ht="12.75">
      <c r="C829" s="499"/>
    </row>
    <row r="830" spans="3:3" ht="12.75">
      <c r="C830" s="499"/>
    </row>
    <row r="831" spans="3:3" ht="12.75">
      <c r="C831" s="499"/>
    </row>
    <row r="832" spans="3:3" ht="12.75">
      <c r="C832" s="499"/>
    </row>
    <row r="833" spans="3:3" ht="12.75">
      <c r="C833" s="499"/>
    </row>
    <row r="834" spans="3:3" ht="12.75">
      <c r="C834" s="499"/>
    </row>
    <row r="835" spans="3:3" ht="12.75">
      <c r="C835" s="499"/>
    </row>
    <row r="836" spans="3:3" ht="12.75">
      <c r="C836" s="499"/>
    </row>
    <row r="837" spans="3:3" ht="12.75">
      <c r="C837" s="499"/>
    </row>
    <row r="838" spans="3:3" ht="12.75">
      <c r="C838" s="499"/>
    </row>
    <row r="839" spans="3:3" ht="12.75">
      <c r="C839" s="499"/>
    </row>
    <row r="840" spans="3:3" ht="12.75">
      <c r="C840" s="499"/>
    </row>
    <row r="841" spans="3:3" ht="12.75">
      <c r="C841" s="499"/>
    </row>
    <row r="842" spans="3:3" ht="12.75">
      <c r="C842" s="499"/>
    </row>
    <row r="843" spans="3:3" ht="12.75">
      <c r="C843" s="499"/>
    </row>
    <row r="844" spans="3:3" ht="12.75">
      <c r="C844" s="499"/>
    </row>
    <row r="845" spans="3:3" ht="12.75">
      <c r="C845" s="499"/>
    </row>
    <row r="846" spans="3:3" ht="12.75">
      <c r="C846" s="499"/>
    </row>
    <row r="847" spans="3:3" ht="12.75">
      <c r="C847" s="499"/>
    </row>
    <row r="848" spans="3:3" ht="12.75">
      <c r="C848" s="499"/>
    </row>
    <row r="849" spans="3:3" ht="12.75">
      <c r="C849" s="499"/>
    </row>
    <row r="850" spans="3:3" ht="12.75">
      <c r="C850" s="499"/>
    </row>
    <row r="851" spans="3:3" ht="12.75">
      <c r="C851" s="499"/>
    </row>
    <row r="852" spans="3:3" ht="12.75">
      <c r="C852" s="499"/>
    </row>
    <row r="853" spans="3:3" ht="12.75">
      <c r="C853" s="499"/>
    </row>
    <row r="854" spans="3:3" ht="12.75">
      <c r="C854" s="499"/>
    </row>
    <row r="855" spans="3:3" ht="12.75">
      <c r="C855" s="499"/>
    </row>
    <row r="856" spans="3:3" ht="12.75">
      <c r="C856" s="499"/>
    </row>
    <row r="857" spans="3:3" ht="12.75">
      <c r="C857" s="499"/>
    </row>
    <row r="858" spans="3:3" ht="12.75">
      <c r="C858" s="499"/>
    </row>
    <row r="859" spans="3:3" ht="12.75">
      <c r="C859" s="499"/>
    </row>
    <row r="860" spans="3:3" ht="12.75">
      <c r="C860" s="499"/>
    </row>
    <row r="861" spans="3:3" ht="12.75">
      <c r="C861" s="499"/>
    </row>
    <row r="862" spans="3:3" ht="12.75">
      <c r="C862" s="499"/>
    </row>
    <row r="863" spans="3:3" ht="12.75">
      <c r="C863" s="499"/>
    </row>
    <row r="864" spans="3:3" ht="12.75">
      <c r="C864" s="499"/>
    </row>
    <row r="865" spans="3:3" ht="12.75">
      <c r="C865" s="499"/>
    </row>
    <row r="866" spans="3:3" ht="12.75">
      <c r="C866" s="499"/>
    </row>
    <row r="867" spans="3:3" ht="12.75">
      <c r="C867" s="499"/>
    </row>
    <row r="868" spans="3:3" ht="12.75">
      <c r="C868" s="499"/>
    </row>
    <row r="869" spans="3:3" ht="12.75">
      <c r="C869" s="499"/>
    </row>
    <row r="870" spans="3:3" ht="12.75">
      <c r="C870" s="499"/>
    </row>
    <row r="871" spans="3:3" ht="12.75">
      <c r="C871" s="499"/>
    </row>
    <row r="872" spans="3:3" ht="12.75">
      <c r="C872" s="499"/>
    </row>
    <row r="873" spans="3:3" ht="12.75">
      <c r="C873" s="499"/>
    </row>
    <row r="874" spans="3:3" ht="12.75">
      <c r="C874" s="499"/>
    </row>
    <row r="875" spans="3:3" ht="12.75">
      <c r="C875" s="499"/>
    </row>
    <row r="876" spans="3:3" ht="12.75">
      <c r="C876" s="499"/>
    </row>
    <row r="877" spans="3:3" ht="12.75">
      <c r="C877" s="499"/>
    </row>
    <row r="878" spans="3:3" ht="12.75">
      <c r="C878" s="499"/>
    </row>
    <row r="879" spans="3:3" ht="12.75">
      <c r="C879" s="499"/>
    </row>
    <row r="880" spans="3:3" ht="12.75">
      <c r="C880" s="499"/>
    </row>
    <row r="881" spans="3:3" ht="12.75">
      <c r="C881" s="499"/>
    </row>
    <row r="882" spans="3:3" ht="12.75">
      <c r="C882" s="499"/>
    </row>
    <row r="883" spans="3:3" ht="12.75">
      <c r="C883" s="499"/>
    </row>
    <row r="884" spans="3:3" ht="12.75">
      <c r="C884" s="499"/>
    </row>
    <row r="885" spans="3:3" ht="12.75">
      <c r="C885" s="499"/>
    </row>
    <row r="886" spans="3:3" ht="12.75">
      <c r="C886" s="499"/>
    </row>
    <row r="887" spans="3:3" ht="12.75">
      <c r="C887" s="499"/>
    </row>
    <row r="888" spans="3:3" ht="12.75">
      <c r="C888" s="499"/>
    </row>
    <row r="889" spans="3:3" ht="12.75">
      <c r="C889" s="499"/>
    </row>
    <row r="890" spans="3:3" ht="12.75">
      <c r="C890" s="499"/>
    </row>
    <row r="891" spans="3:3" ht="12.75">
      <c r="C891" s="499"/>
    </row>
    <row r="892" spans="3:3" ht="12.75">
      <c r="C892" s="499"/>
    </row>
    <row r="893" spans="3:3" ht="12.75">
      <c r="C893" s="499"/>
    </row>
    <row r="894" spans="3:3" ht="12.75">
      <c r="C894" s="499"/>
    </row>
    <row r="895" spans="3:3" ht="12.75">
      <c r="C895" s="499"/>
    </row>
    <row r="896" spans="3:3" ht="12.75">
      <c r="C896" s="499"/>
    </row>
    <row r="897" spans="3:3" ht="12.75">
      <c r="C897" s="499"/>
    </row>
    <row r="898" spans="3:3" ht="12.75">
      <c r="C898" s="499"/>
    </row>
    <row r="899" spans="3:3" ht="12.75">
      <c r="C899" s="499"/>
    </row>
    <row r="900" spans="3:3" ht="12.75">
      <c r="C900" s="499"/>
    </row>
    <row r="901" spans="3:3" ht="12.75">
      <c r="C901" s="499"/>
    </row>
    <row r="902" spans="3:3" ht="12.75">
      <c r="C902" s="499"/>
    </row>
    <row r="903" spans="3:3" ht="12.75">
      <c r="C903" s="499"/>
    </row>
    <row r="904" spans="3:3" ht="12.75">
      <c r="C904" s="499"/>
    </row>
    <row r="905" spans="3:3" ht="12.75">
      <c r="C905" s="499"/>
    </row>
    <row r="906" spans="3:3" ht="12.75">
      <c r="C906" s="499"/>
    </row>
    <row r="907" spans="3:3" ht="12.75">
      <c r="C907" s="499"/>
    </row>
    <row r="908" spans="3:3" ht="12.75">
      <c r="C908" s="499"/>
    </row>
    <row r="909" spans="3:3" ht="12.75">
      <c r="C909" s="499"/>
    </row>
    <row r="910" spans="3:3" ht="12.75">
      <c r="C910" s="499"/>
    </row>
    <row r="911" spans="3:3" ht="12.75">
      <c r="C911" s="499"/>
    </row>
    <row r="912" spans="3:3" ht="12.75">
      <c r="C912" s="499"/>
    </row>
    <row r="913" spans="3:3" ht="12.75">
      <c r="C913" s="499"/>
    </row>
    <row r="914" spans="3:3" ht="12.75">
      <c r="C914" s="499"/>
    </row>
    <row r="915" spans="3:3" ht="12.75">
      <c r="C915" s="499"/>
    </row>
    <row r="916" spans="3:3" ht="12.75">
      <c r="C916" s="499"/>
    </row>
    <row r="917" spans="3:3" ht="12.75">
      <c r="C917" s="499"/>
    </row>
    <row r="918" spans="3:3" ht="12.75">
      <c r="C918" s="499"/>
    </row>
    <row r="919" spans="3:3" ht="12.75">
      <c r="C919" s="499"/>
    </row>
    <row r="920" spans="3:3" ht="12.75">
      <c r="C920" s="499"/>
    </row>
    <row r="921" spans="3:3" ht="12.75">
      <c r="C921" s="499"/>
    </row>
    <row r="922" spans="3:3" ht="12.75">
      <c r="C922" s="499"/>
    </row>
    <row r="923" spans="3:3" ht="12.75">
      <c r="C923" s="499"/>
    </row>
    <row r="924" spans="3:3" ht="12.75">
      <c r="C924" s="499"/>
    </row>
    <row r="925" spans="3:3" ht="12.75">
      <c r="C925" s="499"/>
    </row>
    <row r="926" spans="3:3" ht="12.75">
      <c r="C926" s="499"/>
    </row>
    <row r="927" spans="3:3" ht="12.75">
      <c r="C927" s="499"/>
    </row>
    <row r="928" spans="3:3" ht="12.75">
      <c r="C928" s="499"/>
    </row>
    <row r="929" spans="3:3" ht="12.75">
      <c r="C929" s="499"/>
    </row>
    <row r="930" spans="3:3" ht="12.75">
      <c r="C930" s="499"/>
    </row>
    <row r="931" spans="3:3" ht="12.75">
      <c r="C931" s="499"/>
    </row>
    <row r="932" spans="3:3" ht="12.75">
      <c r="C932" s="499"/>
    </row>
    <row r="933" spans="3:3" ht="12.75">
      <c r="C933" s="499"/>
    </row>
    <row r="934" spans="3:3" ht="12.75">
      <c r="C934" s="499"/>
    </row>
    <row r="935" spans="3:3" ht="12.75">
      <c r="C935" s="499"/>
    </row>
    <row r="936" spans="3:3" ht="12.75">
      <c r="C936" s="499"/>
    </row>
    <row r="937" spans="3:3" ht="12.75">
      <c r="C937" s="499"/>
    </row>
    <row r="938" spans="3:3" ht="12.75">
      <c r="C938" s="499"/>
    </row>
    <row r="939" spans="3:3" ht="12.75">
      <c r="C939" s="499"/>
    </row>
    <row r="940" spans="3:3" ht="12.75">
      <c r="C940" s="499"/>
    </row>
    <row r="941" spans="3:3" ht="12.75">
      <c r="C941" s="499"/>
    </row>
    <row r="942" spans="3:3" ht="12.75">
      <c r="C942" s="499"/>
    </row>
    <row r="943" spans="3:3" ht="12.75">
      <c r="C943" s="499"/>
    </row>
    <row r="944" spans="3:3" ht="12.75">
      <c r="C944" s="499"/>
    </row>
    <row r="945" spans="3:3" ht="12.75">
      <c r="C945" s="499"/>
    </row>
    <row r="946" spans="3:3" ht="12.75">
      <c r="C946" s="499"/>
    </row>
    <row r="947" spans="3:3" ht="12.75">
      <c r="C947" s="499"/>
    </row>
    <row r="948" spans="3:3" ht="12.75">
      <c r="C948" s="499"/>
    </row>
    <row r="949" spans="3:3" ht="12.75">
      <c r="C949" s="499"/>
    </row>
    <row r="950" spans="3:3" ht="12.75">
      <c r="C950" s="499"/>
    </row>
    <row r="951" spans="3:3" ht="12.75">
      <c r="C951" s="499"/>
    </row>
    <row r="952" spans="3:3" ht="12.75">
      <c r="C952" s="499"/>
    </row>
    <row r="953" spans="3:3" ht="12.75">
      <c r="C953" s="499"/>
    </row>
    <row r="954" spans="3:3" ht="12.75">
      <c r="C954" s="499"/>
    </row>
    <row r="955" spans="3:3" ht="12.75">
      <c r="C955" s="499"/>
    </row>
    <row r="956" spans="3:3" ht="12.75">
      <c r="C956" s="499"/>
    </row>
    <row r="957" spans="3:3" ht="12.75">
      <c r="C957" s="499"/>
    </row>
    <row r="958" spans="3:3" ht="12.75">
      <c r="C958" s="499"/>
    </row>
    <row r="959" spans="3:3" ht="12.75">
      <c r="C959" s="499"/>
    </row>
    <row r="960" spans="3:3" ht="12.75">
      <c r="C960" s="499"/>
    </row>
    <row r="961" spans="3:3" ht="12.75">
      <c r="C961" s="499"/>
    </row>
    <row r="962" spans="3:3" ht="12.75">
      <c r="C962" s="499"/>
    </row>
    <row r="963" spans="3:3" ht="12.75">
      <c r="C963" s="499"/>
    </row>
    <row r="964" spans="3:3" ht="12.75">
      <c r="C964" s="499"/>
    </row>
    <row r="965" spans="3:3" ht="12.75">
      <c r="C965" s="499"/>
    </row>
    <row r="966" spans="3:3" ht="12.75">
      <c r="C966" s="499"/>
    </row>
    <row r="967" spans="3:3" ht="12.75">
      <c r="C967" s="499"/>
    </row>
    <row r="968" spans="3:3" ht="12.75">
      <c r="C968" s="499"/>
    </row>
    <row r="969" spans="3:3" ht="12.75">
      <c r="C969" s="499"/>
    </row>
    <row r="970" spans="3:3" ht="12.75">
      <c r="C970" s="499"/>
    </row>
    <row r="971" spans="3:3" ht="12.75">
      <c r="C971" s="499"/>
    </row>
    <row r="972" spans="3:3" ht="12.75">
      <c r="C972" s="499"/>
    </row>
    <row r="973" spans="3:3" ht="12.75">
      <c r="C973" s="499"/>
    </row>
    <row r="974" spans="3:3" ht="12.75">
      <c r="C974" s="499"/>
    </row>
    <row r="975" spans="3:3" ht="12.75">
      <c r="C975" s="499"/>
    </row>
    <row r="976" spans="3:3" ht="12.75">
      <c r="C976" s="499"/>
    </row>
    <row r="977" spans="3:3" ht="12.75">
      <c r="C977" s="499"/>
    </row>
    <row r="978" spans="3:3" ht="12.75">
      <c r="C978" s="499"/>
    </row>
    <row r="979" spans="3:3" ht="12.75">
      <c r="C979" s="499"/>
    </row>
    <row r="980" spans="3:3" ht="12.75">
      <c r="C980" s="499"/>
    </row>
    <row r="981" spans="3:3" ht="12.75">
      <c r="C981" s="499"/>
    </row>
    <row r="982" spans="3:3" ht="12.75">
      <c r="C982" s="499"/>
    </row>
    <row r="983" spans="3:3" ht="12.75">
      <c r="C983" s="499"/>
    </row>
    <row r="984" spans="3:3" ht="12.75">
      <c r="C984" s="499"/>
    </row>
    <row r="985" spans="3:3" ht="12.75">
      <c r="C985" s="499"/>
    </row>
    <row r="986" spans="3:3" ht="12.75">
      <c r="C986" s="499"/>
    </row>
    <row r="987" spans="3:3" ht="12.75">
      <c r="C987" s="499"/>
    </row>
    <row r="988" spans="3:3" ht="12.75">
      <c r="C988" s="499"/>
    </row>
    <row r="989" spans="3:3" ht="12.75">
      <c r="C989" s="499"/>
    </row>
    <row r="990" spans="3:3" ht="12.75">
      <c r="C990" s="499"/>
    </row>
    <row r="991" spans="3:3" ht="12.75">
      <c r="C991" s="499"/>
    </row>
    <row r="992" spans="3:3" ht="12.75">
      <c r="C992" s="499"/>
    </row>
    <row r="993" spans="3:3" ht="12.75">
      <c r="C993" s="499"/>
    </row>
    <row r="994" spans="3:3" ht="12.75">
      <c r="C994" s="499"/>
    </row>
    <row r="995" spans="3:3" ht="12.75">
      <c r="C995" s="499"/>
    </row>
    <row r="996" spans="3:3" ht="12.75">
      <c r="C996" s="499"/>
    </row>
    <row r="997" spans="3:3" ht="12.75">
      <c r="C997" s="499"/>
    </row>
    <row r="998" spans="3:3" ht="12.75">
      <c r="C998" s="499"/>
    </row>
    <row r="999" spans="3:3" ht="12.75">
      <c r="C999" s="499"/>
    </row>
    <row r="1000" spans="3:3" ht="12.75">
      <c r="C1000" s="499"/>
    </row>
    <row r="1001" spans="3:3" ht="12.75">
      <c r="C1001" s="499"/>
    </row>
    <row r="1002" spans="3:3" ht="12.75">
      <c r="C1002" s="499"/>
    </row>
    <row r="1003" spans="3:3" ht="12.75">
      <c r="C1003" s="499"/>
    </row>
    <row r="1004" spans="3:3" ht="12.75">
      <c r="C1004" s="499"/>
    </row>
    <row r="1005" spans="3:3" ht="12.75">
      <c r="C1005" s="499"/>
    </row>
    <row r="1006" spans="3:3" ht="12.75">
      <c r="C1006" s="499"/>
    </row>
    <row r="1007" spans="3:3" ht="12.75">
      <c r="C1007" s="499"/>
    </row>
    <row r="1008" spans="3:3" ht="12.75">
      <c r="C1008" s="499"/>
    </row>
    <row r="1009" spans="3:3" ht="12.75">
      <c r="C1009" s="499"/>
    </row>
    <row r="1010" spans="3:3" ht="12.75">
      <c r="C1010" s="499"/>
    </row>
    <row r="1011" spans="3:3" ht="12.75">
      <c r="C1011" s="499"/>
    </row>
    <row r="1012" spans="3:3" ht="12.75">
      <c r="C1012" s="499"/>
    </row>
    <row r="1013" spans="3:3" ht="12.75">
      <c r="C1013" s="499"/>
    </row>
    <row r="1014" spans="3:3" ht="12.75">
      <c r="C1014" s="499"/>
    </row>
    <row r="1015" spans="3:3" ht="12.75">
      <c r="C1015" s="499"/>
    </row>
    <row r="1016" spans="3:3" ht="12.75">
      <c r="C1016" s="499"/>
    </row>
    <row r="1017" spans="3:3" ht="12.75">
      <c r="C1017" s="499"/>
    </row>
    <row r="1018" spans="3:3" ht="12.75">
      <c r="C1018" s="499"/>
    </row>
    <row r="1019" spans="3:3" ht="12.75">
      <c r="C1019" s="499"/>
    </row>
    <row r="1020" spans="3:3" ht="12.75">
      <c r="C1020" s="499"/>
    </row>
    <row r="1021" spans="3:3" ht="12.75">
      <c r="C1021" s="499"/>
    </row>
    <row r="1022" spans="3:3" ht="12.75">
      <c r="C1022" s="499"/>
    </row>
    <row r="1023" spans="3:3" ht="12.75">
      <c r="C1023" s="499"/>
    </row>
    <row r="1024" spans="3:3" ht="12.75">
      <c r="C1024" s="499"/>
    </row>
    <row r="1025" spans="3:3" ht="12.75">
      <c r="C1025" s="499"/>
    </row>
    <row r="1026" spans="3:3" ht="12.75">
      <c r="C1026" s="499"/>
    </row>
    <row r="1027" spans="3:3" ht="12.75">
      <c r="C1027" s="499"/>
    </row>
    <row r="1028" spans="3:3" ht="12.75">
      <c r="C1028" s="499"/>
    </row>
    <row r="1029" spans="3:3" ht="12.75">
      <c r="C1029" s="499"/>
    </row>
    <row r="1030" spans="3:3" ht="12.75">
      <c r="C1030" s="499"/>
    </row>
    <row r="1031" spans="3:3" ht="12.75">
      <c r="C1031" s="499"/>
    </row>
    <row r="1032" spans="3:3" ht="12.75">
      <c r="C1032" s="499"/>
    </row>
    <row r="1033" spans="3:3" ht="12.75">
      <c r="C1033" s="499"/>
    </row>
    <row r="1034" spans="3:3" ht="12.75">
      <c r="C1034" s="499"/>
    </row>
    <row r="1035" spans="3:3" ht="12.75">
      <c r="C1035" s="499"/>
    </row>
    <row r="1036" spans="3:3" ht="12.75">
      <c r="C1036" s="499"/>
    </row>
    <row r="1037" spans="3:3" ht="12.75">
      <c r="C1037" s="499"/>
    </row>
    <row r="1038" spans="3:3" ht="12.75">
      <c r="C1038" s="499"/>
    </row>
    <row r="1039" spans="3:3" ht="12.75">
      <c r="C1039" s="499"/>
    </row>
    <row r="1040" spans="3:3" ht="12.75">
      <c r="C1040" s="499"/>
    </row>
    <row r="1041" spans="3:3" ht="12.75">
      <c r="C1041" s="499"/>
    </row>
    <row r="1042" spans="3:3" ht="12.75">
      <c r="C1042" s="499"/>
    </row>
    <row r="1043" spans="3:3" ht="12.75">
      <c r="C1043" s="499"/>
    </row>
    <row r="1044" spans="3:3" ht="12.75">
      <c r="C1044" s="499"/>
    </row>
    <row r="1045" spans="3:3" ht="12.75">
      <c r="C1045" s="499"/>
    </row>
    <row r="1046" spans="3:3" ht="12.75">
      <c r="C1046" s="499"/>
    </row>
  </sheetData>
  <mergeCells count="3">
    <mergeCell ref="K88:K89"/>
    <mergeCell ref="K93:K94"/>
    <mergeCell ref="K98:K99"/>
  </mergeCells>
  <printOptions horizontalCentered="1" gridLines="1"/>
  <pageMargins left="0.25" right="0.25" top="0.75" bottom="0.75" header="0" footer="0"/>
  <pageSetup paperSize="9" fitToHeight="0" pageOrder="overThenDown" orientation="landscape" cellComments="atEnd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K137"/>
  <sheetViews>
    <sheetView workbookViewId="0"/>
  </sheetViews>
  <sheetFormatPr defaultColWidth="12.5703125" defaultRowHeight="15.75" customHeight="1"/>
  <cols>
    <col min="2" max="2" width="45" customWidth="1"/>
    <col min="3" max="3" width="11.5703125" customWidth="1"/>
    <col min="4" max="4" width="18" customWidth="1"/>
    <col min="11" max="11" width="34.140625" customWidth="1"/>
  </cols>
  <sheetData>
    <row r="1" spans="1:11" ht="12.75">
      <c r="A1" s="1" t="s">
        <v>199</v>
      </c>
      <c r="C1" s="499"/>
    </row>
    <row r="2" spans="1:11" ht="12.75">
      <c r="C2" s="499"/>
    </row>
    <row r="3" spans="1:11" ht="63.75">
      <c r="A3" s="18" t="s">
        <v>5</v>
      </c>
      <c r="B3" s="20" t="s">
        <v>7</v>
      </c>
      <c r="C3" s="217" t="s">
        <v>159</v>
      </c>
      <c r="D3" s="24" t="s">
        <v>10</v>
      </c>
      <c r="E3" s="288" t="s">
        <v>243</v>
      </c>
      <c r="F3" s="289" t="s">
        <v>244</v>
      </c>
      <c r="G3" s="290" t="s">
        <v>245</v>
      </c>
      <c r="H3" s="291" t="s">
        <v>246</v>
      </c>
      <c r="I3" s="22" t="s">
        <v>13</v>
      </c>
      <c r="J3" s="134" t="s">
        <v>162</v>
      </c>
      <c r="K3" s="14"/>
    </row>
    <row r="4" spans="1:11" ht="12.75">
      <c r="A4" s="219"/>
      <c r="B4" s="328"/>
      <c r="C4" s="311"/>
      <c r="D4" s="312"/>
      <c r="E4" s="379"/>
      <c r="F4" s="315"/>
      <c r="G4" s="315"/>
      <c r="H4" s="315"/>
      <c r="I4" s="314"/>
      <c r="J4" s="380"/>
      <c r="K4" s="33"/>
    </row>
    <row r="5" spans="1:11" ht="12.75">
      <c r="A5" s="269">
        <v>1</v>
      </c>
      <c r="B5" s="4" t="s">
        <v>478</v>
      </c>
      <c r="C5" s="59">
        <v>7</v>
      </c>
      <c r="D5" s="59" t="s">
        <v>385</v>
      </c>
      <c r="E5" s="59">
        <v>90</v>
      </c>
      <c r="F5" s="59">
        <v>30</v>
      </c>
      <c r="G5" s="59">
        <v>78750</v>
      </c>
      <c r="H5" s="59"/>
      <c r="I5" s="59"/>
      <c r="J5" s="59" t="s">
        <v>388</v>
      </c>
      <c r="K5" s="14"/>
    </row>
    <row r="6" spans="1:11" ht="12.75">
      <c r="A6" s="269"/>
      <c r="B6" s="4" t="s">
        <v>20</v>
      </c>
      <c r="C6" s="59">
        <v>5</v>
      </c>
      <c r="D6" s="455"/>
      <c r="E6" s="59"/>
      <c r="F6" s="59"/>
      <c r="G6" s="59"/>
      <c r="H6" s="59"/>
      <c r="I6" s="59"/>
      <c r="J6" s="59" t="s">
        <v>118</v>
      </c>
      <c r="K6" s="324"/>
    </row>
    <row r="7" spans="1:11" ht="12.75">
      <c r="A7" s="269">
        <v>3</v>
      </c>
      <c r="B7" s="4" t="s">
        <v>340</v>
      </c>
      <c r="C7" s="59">
        <v>5</v>
      </c>
      <c r="D7" s="59" t="s">
        <v>493</v>
      </c>
      <c r="E7" s="59"/>
      <c r="F7" s="59">
        <v>19</v>
      </c>
      <c r="G7" s="59">
        <v>17500</v>
      </c>
      <c r="H7" s="59">
        <v>17500</v>
      </c>
      <c r="I7" s="59"/>
      <c r="J7" s="59" t="s">
        <v>331</v>
      </c>
      <c r="K7" s="303"/>
    </row>
    <row r="8" spans="1:11" ht="12.75">
      <c r="A8" s="269"/>
      <c r="B8" s="4" t="s">
        <v>494</v>
      </c>
      <c r="C8" s="59">
        <v>5</v>
      </c>
      <c r="D8" s="512"/>
      <c r="E8" s="59"/>
      <c r="F8" s="59"/>
      <c r="G8" s="59"/>
      <c r="H8" s="59"/>
      <c r="I8" s="59"/>
      <c r="J8" s="59" t="s">
        <v>118</v>
      </c>
      <c r="K8" s="324"/>
    </row>
    <row r="9" spans="1:11" ht="12.75">
      <c r="A9" s="269"/>
      <c r="B9" s="4" t="s">
        <v>495</v>
      </c>
      <c r="C9" s="59">
        <v>7</v>
      </c>
      <c r="D9" s="59" t="s">
        <v>496</v>
      </c>
      <c r="E9" s="59">
        <v>30</v>
      </c>
      <c r="F9" s="59">
        <v>6</v>
      </c>
      <c r="G9" s="59">
        <v>37000</v>
      </c>
      <c r="H9" s="59">
        <v>7400</v>
      </c>
      <c r="I9" s="59"/>
      <c r="J9" s="59"/>
      <c r="K9" s="324"/>
    </row>
    <row r="10" spans="1:11" ht="12.75">
      <c r="A10" s="269">
        <v>6</v>
      </c>
      <c r="B10" s="4" t="s">
        <v>29</v>
      </c>
      <c r="C10" s="59">
        <v>5</v>
      </c>
      <c r="D10" s="59" t="s">
        <v>209</v>
      </c>
      <c r="E10" s="59">
        <v>31</v>
      </c>
      <c r="F10" s="59">
        <v>31</v>
      </c>
      <c r="G10" s="59">
        <v>32000</v>
      </c>
      <c r="H10" s="59">
        <f>G10/E10*F10</f>
        <v>32000</v>
      </c>
      <c r="I10" s="59"/>
      <c r="J10" s="59" t="s">
        <v>331</v>
      </c>
      <c r="K10" s="14"/>
    </row>
    <row r="11" spans="1:11" ht="12.75">
      <c r="A11" s="269">
        <v>7</v>
      </c>
      <c r="B11" s="4" t="s">
        <v>335</v>
      </c>
      <c r="C11" s="59">
        <v>5</v>
      </c>
      <c r="D11" s="59" t="s">
        <v>497</v>
      </c>
      <c r="E11" s="59">
        <v>31</v>
      </c>
      <c r="F11" s="59">
        <v>30</v>
      </c>
      <c r="G11" s="59">
        <v>46000</v>
      </c>
      <c r="H11" s="59">
        <v>46000</v>
      </c>
      <c r="I11" s="59"/>
      <c r="J11" s="59" t="s">
        <v>331</v>
      </c>
      <c r="K11" s="451"/>
    </row>
    <row r="12" spans="1:11" ht="12.75">
      <c r="A12" s="269"/>
      <c r="B12" s="4"/>
      <c r="C12" s="59"/>
      <c r="D12" s="59"/>
      <c r="E12" s="59"/>
      <c r="F12" s="59"/>
      <c r="G12" s="59"/>
      <c r="H12" s="59"/>
      <c r="I12" s="59"/>
      <c r="J12" s="59"/>
      <c r="K12" s="14"/>
    </row>
    <row r="13" spans="1:11" ht="12.75">
      <c r="A13" s="269">
        <v>9</v>
      </c>
      <c r="B13" s="4" t="s">
        <v>410</v>
      </c>
      <c r="C13" s="59">
        <v>5.0599999999999996</v>
      </c>
      <c r="D13" s="59" t="s">
        <v>498</v>
      </c>
      <c r="E13" s="59"/>
      <c r="F13" s="59"/>
      <c r="G13" s="59">
        <v>26250</v>
      </c>
      <c r="H13" s="59">
        <v>26250</v>
      </c>
      <c r="I13" s="59"/>
      <c r="J13" s="59"/>
      <c r="K13" s="474" t="s">
        <v>499</v>
      </c>
    </row>
    <row r="14" spans="1:11" ht="12.75">
      <c r="A14" s="269">
        <v>10</v>
      </c>
      <c r="B14" s="4" t="s">
        <v>338</v>
      </c>
      <c r="C14" s="59">
        <v>7</v>
      </c>
      <c r="D14" s="59" t="s">
        <v>500</v>
      </c>
      <c r="E14" s="59"/>
      <c r="F14" s="59">
        <v>18</v>
      </c>
      <c r="G14" s="59">
        <v>20000</v>
      </c>
      <c r="H14" s="59">
        <v>20000</v>
      </c>
      <c r="I14" s="59"/>
      <c r="J14" s="59" t="s">
        <v>210</v>
      </c>
      <c r="K14" s="303"/>
    </row>
    <row r="15" spans="1:11" ht="12.75">
      <c r="A15" s="269">
        <v>11</v>
      </c>
      <c r="B15" s="4" t="s">
        <v>332</v>
      </c>
      <c r="C15" s="59">
        <v>5</v>
      </c>
      <c r="D15" s="59" t="s">
        <v>501</v>
      </c>
      <c r="E15" s="59">
        <v>31</v>
      </c>
      <c r="F15" s="59">
        <v>31</v>
      </c>
      <c r="G15" s="59">
        <v>20000</v>
      </c>
      <c r="H15" s="59">
        <v>20000</v>
      </c>
      <c r="I15" s="59"/>
      <c r="J15" s="59" t="s">
        <v>331</v>
      </c>
      <c r="K15" s="33" t="s">
        <v>502</v>
      </c>
    </row>
    <row r="16" spans="1:11" ht="12.75">
      <c r="A16" s="269">
        <v>12</v>
      </c>
      <c r="B16" s="4" t="s">
        <v>23</v>
      </c>
      <c r="C16" s="59">
        <v>5.04</v>
      </c>
      <c r="D16" s="59" t="s">
        <v>209</v>
      </c>
      <c r="E16" s="59">
        <v>31</v>
      </c>
      <c r="F16" s="59">
        <v>31</v>
      </c>
      <c r="G16" s="59">
        <v>30000</v>
      </c>
      <c r="H16" s="59">
        <f>G16/E16*F16</f>
        <v>30000</v>
      </c>
      <c r="I16" s="59"/>
      <c r="J16" s="59" t="s">
        <v>331</v>
      </c>
      <c r="K16" s="14"/>
    </row>
    <row r="17" spans="1:11" ht="12.75">
      <c r="A17" s="269">
        <v>13</v>
      </c>
      <c r="B17" s="4" t="s">
        <v>432</v>
      </c>
      <c r="C17" s="59">
        <v>7.22</v>
      </c>
      <c r="D17" s="59" t="s">
        <v>433</v>
      </c>
      <c r="E17" s="59">
        <v>30</v>
      </c>
      <c r="F17" s="59"/>
      <c r="G17" s="59">
        <v>37000</v>
      </c>
      <c r="H17" s="59"/>
      <c r="I17" s="59"/>
      <c r="J17" s="59" t="s">
        <v>428</v>
      </c>
      <c r="K17" s="14"/>
    </row>
    <row r="18" spans="1:11" ht="12.75">
      <c r="A18" s="482"/>
      <c r="B18" s="481" t="s">
        <v>482</v>
      </c>
      <c r="C18" s="454">
        <v>5</v>
      </c>
      <c r="D18" s="477" t="s">
        <v>483</v>
      </c>
      <c r="E18" s="456">
        <v>30</v>
      </c>
      <c r="F18" s="478">
        <v>4</v>
      </c>
      <c r="G18" s="478">
        <v>29600</v>
      </c>
      <c r="H18" s="478">
        <v>3920</v>
      </c>
      <c r="I18" s="498"/>
      <c r="J18" s="450" t="s">
        <v>428</v>
      </c>
      <c r="K18" s="501" t="s">
        <v>484</v>
      </c>
    </row>
    <row r="19" spans="1:11" ht="25.5">
      <c r="A19" s="269">
        <v>14</v>
      </c>
      <c r="B19" s="4" t="s">
        <v>26</v>
      </c>
      <c r="C19" s="59">
        <v>10</v>
      </c>
      <c r="D19" s="45" t="s">
        <v>209</v>
      </c>
      <c r="E19" s="47">
        <v>31</v>
      </c>
      <c r="F19" s="223">
        <v>31</v>
      </c>
      <c r="G19" s="223">
        <v>14000</v>
      </c>
      <c r="H19" s="221">
        <f>G19/E19*F19</f>
        <v>14000</v>
      </c>
      <c r="I19" s="220"/>
      <c r="J19" s="230" t="s">
        <v>504</v>
      </c>
      <c r="K19" s="14"/>
    </row>
    <row r="20" spans="1:11" ht="12.75">
      <c r="A20" s="269"/>
      <c r="B20" s="253"/>
      <c r="C20" s="59"/>
      <c r="D20" s="45"/>
      <c r="E20" s="47"/>
      <c r="F20" s="223"/>
      <c r="G20" s="223"/>
      <c r="H20" s="223"/>
      <c r="I20" s="209"/>
      <c r="J20" s="228"/>
      <c r="K20" s="14"/>
    </row>
    <row r="21" spans="1:11" ht="12.75">
      <c r="A21" s="482"/>
      <c r="B21" s="453"/>
      <c r="C21" s="454"/>
      <c r="D21" s="455"/>
      <c r="E21" s="456"/>
      <c r="F21" s="458"/>
      <c r="G21" s="458"/>
      <c r="H21" s="458"/>
      <c r="I21" s="460"/>
      <c r="J21" s="450"/>
      <c r="K21" s="451"/>
    </row>
    <row r="22" spans="1:11" ht="12.75">
      <c r="A22" s="269"/>
      <c r="B22" s="253"/>
      <c r="C22" s="59"/>
      <c r="D22" s="251"/>
      <c r="E22" s="400"/>
      <c r="F22" s="401"/>
      <c r="G22" s="402"/>
      <c r="H22" s="222"/>
      <c r="I22" s="395"/>
      <c r="J22" s="260"/>
      <c r="K22" s="303"/>
    </row>
    <row r="23" spans="1:11" ht="12.75">
      <c r="A23" s="114"/>
      <c r="B23" s="236" t="s">
        <v>177</v>
      </c>
      <c r="C23" s="6">
        <f>SUM(C3:C22)</f>
        <v>83.320000000000007</v>
      </c>
      <c r="D23" s="109"/>
      <c r="E23" s="110"/>
      <c r="F23" s="237"/>
      <c r="G23" s="237">
        <f t="shared" ref="G23:I23" si="0">SUM(G4:G22)</f>
        <v>388100</v>
      </c>
      <c r="H23" s="237">
        <f t="shared" si="0"/>
        <v>217070</v>
      </c>
      <c r="I23" s="237">
        <f t="shared" si="0"/>
        <v>0</v>
      </c>
      <c r="J23" s="238">
        <f>H23+I23</f>
        <v>217070</v>
      </c>
      <c r="K23" s="14"/>
    </row>
    <row r="24" spans="1:11" ht="12.75">
      <c r="A24" s="114"/>
      <c r="B24" s="29"/>
      <c r="C24" s="6"/>
      <c r="D24" s="118"/>
      <c r="E24" s="120"/>
      <c r="F24" s="239"/>
      <c r="G24" s="239"/>
      <c r="H24" s="114"/>
      <c r="I24" s="114"/>
      <c r="J24" s="100"/>
      <c r="K24" s="14"/>
    </row>
    <row r="25" spans="1:11" ht="12.75">
      <c r="A25" s="316"/>
      <c r="B25" s="234"/>
      <c r="C25" s="153"/>
      <c r="D25" s="234"/>
      <c r="E25" s="234"/>
      <c r="F25" s="234"/>
      <c r="G25" s="300"/>
      <c r="H25" s="300"/>
      <c r="I25" s="227"/>
      <c r="J25" s="403"/>
      <c r="K25" s="33"/>
    </row>
    <row r="26" spans="1:11" ht="12.75">
      <c r="A26" s="317"/>
      <c r="B26" s="405"/>
      <c r="C26" s="406"/>
      <c r="D26" s="407"/>
      <c r="E26" s="408"/>
      <c r="F26" s="398"/>
      <c r="G26" s="398"/>
      <c r="H26" s="475"/>
      <c r="I26" s="410"/>
      <c r="J26" s="380"/>
      <c r="K26" s="33"/>
    </row>
    <row r="27" spans="1:11" ht="12.75">
      <c r="A27" s="317"/>
      <c r="B27" s="305"/>
      <c r="C27" s="98"/>
      <c r="D27" s="105"/>
      <c r="E27" s="200"/>
      <c r="F27" s="281"/>
      <c r="G27" s="281"/>
      <c r="H27" s="306"/>
      <c r="I27" s="306"/>
      <c r="J27" s="307"/>
      <c r="K27" s="33"/>
    </row>
    <row r="28" spans="1:11" ht="12.75">
      <c r="A28" s="269"/>
      <c r="B28" s="453"/>
      <c r="C28" s="311"/>
      <c r="D28" s="454"/>
      <c r="E28" s="396"/>
      <c r="F28" s="397"/>
      <c r="G28" s="398"/>
      <c r="H28" s="314"/>
      <c r="I28" s="462"/>
      <c r="J28" s="463"/>
      <c r="K28" s="303"/>
    </row>
    <row r="29" spans="1:11" ht="12.75">
      <c r="A29" s="317"/>
      <c r="B29" s="231"/>
      <c r="C29" s="98"/>
      <c r="D29" s="105"/>
      <c r="E29" s="47"/>
      <c r="F29" s="225"/>
      <c r="G29" s="225"/>
      <c r="H29" s="221"/>
      <c r="I29" s="225"/>
      <c r="J29" s="192"/>
      <c r="K29" s="33"/>
    </row>
    <row r="30" spans="1:11" ht="12.75">
      <c r="C30" s="499"/>
    </row>
    <row r="31" spans="1:11" ht="12.75">
      <c r="A31" s="2"/>
      <c r="B31" s="4"/>
      <c r="C31" s="6"/>
      <c r="D31" s="8"/>
      <c r="E31" s="11"/>
      <c r="F31" s="220"/>
      <c r="G31" s="220"/>
      <c r="H31" s="6"/>
      <c r="I31" s="6"/>
      <c r="J31" s="100"/>
      <c r="K31" s="14"/>
    </row>
    <row r="32" spans="1:11" ht="63.75">
      <c r="A32" s="219" t="s">
        <v>5</v>
      </c>
      <c r="B32" s="125" t="s">
        <v>74</v>
      </c>
      <c r="C32" s="217" t="s">
        <v>159</v>
      </c>
      <c r="D32" s="129" t="s">
        <v>10</v>
      </c>
      <c r="E32" s="288" t="s">
        <v>243</v>
      </c>
      <c r="F32" s="289" t="s">
        <v>244</v>
      </c>
      <c r="G32" s="290" t="s">
        <v>245</v>
      </c>
      <c r="H32" s="291" t="s">
        <v>246</v>
      </c>
      <c r="I32" s="22" t="s">
        <v>13</v>
      </c>
      <c r="J32" s="240" t="s">
        <v>162</v>
      </c>
      <c r="K32" s="14"/>
    </row>
    <row r="33" spans="1:11" ht="12.75">
      <c r="A33" s="269">
        <v>1</v>
      </c>
      <c r="B33" s="481" t="s">
        <v>485</v>
      </c>
      <c r="C33" s="59">
        <v>7.06</v>
      </c>
      <c r="D33" s="45" t="s">
        <v>510</v>
      </c>
      <c r="E33" s="6">
        <v>90</v>
      </c>
      <c r="F33" s="220">
        <v>30</v>
      </c>
      <c r="G33" s="6">
        <v>78750</v>
      </c>
      <c r="H33" s="223"/>
      <c r="I33" s="220"/>
      <c r="J33" s="454" t="s">
        <v>331</v>
      </c>
      <c r="K33" s="491"/>
    </row>
    <row r="34" spans="1:11" ht="12.75">
      <c r="A34" s="269"/>
      <c r="B34" s="481" t="s">
        <v>20</v>
      </c>
      <c r="C34" s="59">
        <v>5</v>
      </c>
      <c r="D34" s="234"/>
      <c r="J34" s="17" t="s">
        <v>118</v>
      </c>
      <c r="K34" s="14"/>
    </row>
    <row r="35" spans="1:11" ht="12.75">
      <c r="A35" s="269">
        <v>3</v>
      </c>
      <c r="B35" s="481" t="s">
        <v>29</v>
      </c>
      <c r="C35" s="59">
        <v>5</v>
      </c>
      <c r="D35" s="8" t="s">
        <v>209</v>
      </c>
      <c r="E35" s="6">
        <v>31</v>
      </c>
      <c r="F35" s="220">
        <v>31</v>
      </c>
      <c r="G35" s="6">
        <v>32000</v>
      </c>
      <c r="H35" s="220">
        <f>G35/E35*F35</f>
        <v>32000</v>
      </c>
      <c r="I35" s="220"/>
      <c r="J35" s="454" t="s">
        <v>331</v>
      </c>
      <c r="K35" s="14"/>
    </row>
    <row r="36" spans="1:11" ht="12.75">
      <c r="A36" s="269"/>
      <c r="B36" s="481" t="s">
        <v>494</v>
      </c>
      <c r="C36" s="59">
        <v>5</v>
      </c>
      <c r="D36" s="8"/>
      <c r="E36" s="6"/>
      <c r="F36" s="220"/>
      <c r="G36" s="6"/>
      <c r="H36" s="220"/>
      <c r="I36" s="220"/>
      <c r="J36" s="454" t="s">
        <v>118</v>
      </c>
      <c r="K36" s="14"/>
    </row>
    <row r="37" spans="1:11" ht="12.75">
      <c r="A37" s="269"/>
      <c r="B37" s="481"/>
      <c r="C37" s="59"/>
      <c r="D37" s="8"/>
      <c r="E37" s="6"/>
      <c r="F37" s="220"/>
      <c r="G37" s="6"/>
      <c r="H37" s="220"/>
      <c r="I37" s="220"/>
      <c r="J37" s="454"/>
      <c r="K37" s="14"/>
    </row>
    <row r="38" spans="1:11" ht="12.75">
      <c r="A38" s="269">
        <v>6</v>
      </c>
      <c r="B38" s="481" t="s">
        <v>511</v>
      </c>
      <c r="C38" s="59">
        <v>5</v>
      </c>
      <c r="D38" s="45" t="s">
        <v>512</v>
      </c>
      <c r="E38" s="6"/>
      <c r="F38" s="220">
        <v>18</v>
      </c>
      <c r="G38" s="6">
        <v>20000</v>
      </c>
      <c r="H38" s="223">
        <v>12000</v>
      </c>
      <c r="I38" s="220"/>
      <c r="J38" s="454" t="s">
        <v>331</v>
      </c>
      <c r="K38" s="324"/>
    </row>
    <row r="39" spans="1:11" ht="12.75">
      <c r="A39" s="269"/>
      <c r="B39" s="481"/>
      <c r="C39" s="59"/>
      <c r="D39" s="45"/>
      <c r="E39" s="6"/>
      <c r="F39" s="220"/>
      <c r="G39" s="6"/>
      <c r="H39" s="220"/>
      <c r="I39" s="220"/>
      <c r="J39" s="454"/>
      <c r="K39" s="491"/>
    </row>
    <row r="40" spans="1:11" ht="12.75">
      <c r="A40" s="269">
        <v>8</v>
      </c>
      <c r="B40" s="481" t="s">
        <v>366</v>
      </c>
      <c r="C40" s="59">
        <v>5</v>
      </c>
      <c r="D40" s="8" t="s">
        <v>426</v>
      </c>
      <c r="E40" s="6"/>
      <c r="F40" s="220"/>
      <c r="G40" s="6">
        <v>17500</v>
      </c>
      <c r="H40" s="223">
        <v>11083</v>
      </c>
      <c r="I40" s="220"/>
      <c r="J40" s="454" t="s">
        <v>331</v>
      </c>
      <c r="K40" s="491"/>
    </row>
    <row r="41" spans="1:11" ht="12.75">
      <c r="A41" s="269">
        <v>9</v>
      </c>
      <c r="B41" s="481" t="s">
        <v>356</v>
      </c>
      <c r="C41" s="59">
        <v>7.04</v>
      </c>
      <c r="D41" s="8" t="s">
        <v>357</v>
      </c>
      <c r="E41" s="6"/>
      <c r="F41" s="220">
        <v>31</v>
      </c>
      <c r="G41" s="6">
        <v>29750</v>
      </c>
      <c r="H41" s="223">
        <v>17850</v>
      </c>
      <c r="I41" s="220"/>
      <c r="J41" s="520" t="s">
        <v>417</v>
      </c>
      <c r="K41" s="14"/>
    </row>
    <row r="42" spans="1:11" ht="12.75">
      <c r="A42" s="269">
        <v>10</v>
      </c>
      <c r="B42" s="481" t="s">
        <v>332</v>
      </c>
      <c r="C42" s="59">
        <v>5</v>
      </c>
      <c r="D42" s="45" t="s">
        <v>501</v>
      </c>
      <c r="E42" s="6"/>
      <c r="F42" s="220">
        <v>31</v>
      </c>
      <c r="G42" s="6">
        <v>20000</v>
      </c>
      <c r="H42" s="223">
        <v>17330</v>
      </c>
      <c r="I42" s="220"/>
      <c r="J42" s="454" t="s">
        <v>331</v>
      </c>
      <c r="K42" s="324" t="s">
        <v>502</v>
      </c>
    </row>
    <row r="43" spans="1:11" ht="12.75">
      <c r="A43" s="269">
        <v>11</v>
      </c>
      <c r="B43" s="481" t="s">
        <v>290</v>
      </c>
      <c r="C43" s="59">
        <v>8</v>
      </c>
      <c r="D43" s="8" t="s">
        <v>427</v>
      </c>
      <c r="E43" s="6"/>
      <c r="F43" s="220"/>
      <c r="G43" s="6">
        <v>30000</v>
      </c>
      <c r="H43" s="223">
        <v>20000</v>
      </c>
      <c r="I43" s="220"/>
      <c r="J43" s="454" t="s">
        <v>428</v>
      </c>
      <c r="K43" s="324" t="s">
        <v>199</v>
      </c>
    </row>
    <row r="44" spans="1:11" ht="12.75">
      <c r="A44" s="269">
        <v>12</v>
      </c>
      <c r="B44" s="481" t="s">
        <v>29</v>
      </c>
      <c r="C44" s="59">
        <v>5</v>
      </c>
      <c r="D44" s="45" t="s">
        <v>148</v>
      </c>
      <c r="E44" s="6"/>
      <c r="F44" s="220"/>
      <c r="G44" s="6"/>
      <c r="H44" s="220"/>
      <c r="I44" s="220"/>
      <c r="J44" s="454"/>
      <c r="K44" s="324"/>
    </row>
    <row r="45" spans="1:11" ht="12.75">
      <c r="A45" s="269">
        <v>13</v>
      </c>
      <c r="B45" s="481"/>
      <c r="C45" s="6"/>
      <c r="D45" s="8"/>
      <c r="E45" s="6"/>
      <c r="F45" s="220"/>
      <c r="G45" s="6"/>
      <c r="H45" s="220"/>
      <c r="I45" s="220"/>
      <c r="J45" s="454"/>
      <c r="K45" s="496"/>
    </row>
    <row r="46" spans="1:11" ht="12.75">
      <c r="A46" s="269">
        <v>14</v>
      </c>
      <c r="B46" s="481"/>
      <c r="C46" s="6"/>
      <c r="D46" s="8"/>
      <c r="E46" s="6"/>
      <c r="F46" s="220"/>
      <c r="G46" s="6"/>
      <c r="H46" s="220"/>
      <c r="I46" s="220"/>
      <c r="J46" s="454"/>
      <c r="K46" s="324"/>
    </row>
    <row r="47" spans="1:11" ht="12.75">
      <c r="A47" s="2"/>
      <c r="B47" s="236" t="s">
        <v>177</v>
      </c>
      <c r="C47" s="6">
        <f>SUM(C33:C46)</f>
        <v>57.1</v>
      </c>
      <c r="D47" s="8"/>
      <c r="E47" s="6">
        <f>SUM(E33:E46)</f>
        <v>121</v>
      </c>
      <c r="F47" s="220"/>
      <c r="G47" s="6">
        <f t="shared" ref="G47:I47" si="1">SUM(G33:G46)</f>
        <v>228000</v>
      </c>
      <c r="H47" s="220">
        <f t="shared" si="1"/>
        <v>110263</v>
      </c>
      <c r="I47" s="220">
        <f t="shared" si="1"/>
        <v>0</v>
      </c>
      <c r="J47" s="238">
        <f>H47+I47</f>
        <v>110263</v>
      </c>
      <c r="K47" s="14"/>
    </row>
    <row r="48" spans="1:11" ht="12.75">
      <c r="A48" s="116"/>
      <c r="B48" s="29"/>
      <c r="C48" s="6"/>
      <c r="D48" s="118"/>
      <c r="E48" s="120"/>
      <c r="F48" s="255"/>
      <c r="G48" s="255"/>
      <c r="H48" s="116"/>
      <c r="I48" s="116"/>
      <c r="J48" s="100"/>
      <c r="K48" s="14"/>
    </row>
    <row r="49" spans="1:11" ht="12.75">
      <c r="A49" s="433"/>
      <c r="B49" s="234"/>
      <c r="C49" s="500"/>
      <c r="E49" s="234"/>
      <c r="F49" s="234"/>
      <c r="G49" s="300"/>
      <c r="H49" s="300"/>
      <c r="I49" s="301"/>
      <c r="J49" s="403"/>
      <c r="K49" s="14"/>
    </row>
    <row r="50" spans="1:11" ht="12.75">
      <c r="A50" s="269"/>
      <c r="B50" s="481"/>
      <c r="C50" s="6"/>
      <c r="D50" s="8"/>
      <c r="E50" s="6"/>
      <c r="F50" s="220"/>
      <c r="G50" s="6"/>
      <c r="H50" s="223"/>
      <c r="I50" s="220"/>
      <c r="J50" s="481"/>
      <c r="K50" s="451"/>
    </row>
    <row r="51" spans="1:11" ht="12.75">
      <c r="A51" s="433"/>
      <c r="B51" s="310"/>
      <c r="C51" s="311"/>
      <c r="D51" s="312"/>
      <c r="E51" s="412"/>
      <c r="F51" s="315"/>
      <c r="G51" s="412"/>
      <c r="H51" s="315"/>
      <c r="I51" s="315"/>
      <c r="J51" s="329"/>
      <c r="K51" s="14"/>
    </row>
    <row r="52" spans="1:11" ht="12.75">
      <c r="A52" s="433"/>
      <c r="B52" s="434"/>
      <c r="C52" s="507"/>
      <c r="D52" s="436"/>
      <c r="E52" s="437"/>
      <c r="F52" s="438"/>
      <c r="G52" s="438"/>
      <c r="H52" s="438"/>
      <c r="I52" s="438"/>
      <c r="J52" s="439"/>
      <c r="K52" s="14"/>
    </row>
    <row r="53" spans="1:11" ht="12.75">
      <c r="A53" s="433"/>
      <c r="B53" s="236"/>
      <c r="C53" s="59"/>
      <c r="D53" s="45"/>
      <c r="E53" s="6"/>
      <c r="F53" s="220"/>
      <c r="G53" s="223"/>
      <c r="H53" s="223"/>
      <c r="I53" s="220"/>
      <c r="J53" s="440"/>
      <c r="K53" s="14"/>
    </row>
    <row r="54" spans="1:11" ht="12.75">
      <c r="A54" s="433"/>
      <c r="B54" s="328"/>
      <c r="C54" s="311"/>
      <c r="D54" s="312"/>
      <c r="E54" s="313"/>
      <c r="F54" s="314"/>
      <c r="G54" s="314"/>
      <c r="H54" s="315"/>
      <c r="I54" s="412"/>
      <c r="J54" s="413"/>
      <c r="K54" s="14"/>
    </row>
    <row r="55" spans="1:11" ht="12.75">
      <c r="A55" s="508"/>
      <c r="B55" s="342"/>
      <c r="C55" s="217"/>
      <c r="D55" s="129"/>
      <c r="E55" s="288"/>
      <c r="F55" s="289"/>
      <c r="G55" s="290"/>
      <c r="H55" s="291"/>
      <c r="I55" s="22"/>
      <c r="J55" s="240"/>
      <c r="K55" s="14"/>
    </row>
    <row r="56" spans="1:11" ht="12.75">
      <c r="A56" s="508"/>
      <c r="B56" s="342"/>
      <c r="C56" s="217"/>
      <c r="D56" s="129"/>
      <c r="E56" s="288"/>
      <c r="F56" s="289"/>
      <c r="G56" s="290"/>
      <c r="H56" s="291"/>
      <c r="I56" s="22"/>
      <c r="J56" s="240"/>
      <c r="K56" s="14"/>
    </row>
    <row r="57" spans="1:11" ht="12.75">
      <c r="A57" s="508"/>
      <c r="B57" s="342"/>
      <c r="C57" s="217"/>
      <c r="D57" s="129"/>
      <c r="E57" s="288"/>
      <c r="F57" s="289"/>
      <c r="G57" s="290"/>
      <c r="H57" s="291"/>
      <c r="I57" s="22"/>
      <c r="J57" s="240"/>
      <c r="K57" s="14"/>
    </row>
    <row r="58" spans="1:11" ht="63.75">
      <c r="A58" s="139" t="s">
        <v>5</v>
      </c>
      <c r="B58" s="191" t="s">
        <v>315</v>
      </c>
      <c r="C58" s="513" t="s">
        <v>159</v>
      </c>
      <c r="D58" s="514" t="s">
        <v>10</v>
      </c>
      <c r="E58" s="515" t="s">
        <v>243</v>
      </c>
      <c r="F58" s="516" t="s">
        <v>244</v>
      </c>
      <c r="G58" s="517" t="s">
        <v>245</v>
      </c>
      <c r="H58" s="518" t="s">
        <v>246</v>
      </c>
      <c r="I58" s="519" t="s">
        <v>13</v>
      </c>
      <c r="J58" s="240" t="s">
        <v>162</v>
      </c>
      <c r="K58" s="14"/>
    </row>
    <row r="59" spans="1:11" ht="38.25">
      <c r="A59" s="144">
        <v>1</v>
      </c>
      <c r="B59" s="284" t="s">
        <v>488</v>
      </c>
      <c r="C59" s="144">
        <v>7.06</v>
      </c>
      <c r="D59" s="234" t="s">
        <v>489</v>
      </c>
      <c r="E59" s="103">
        <v>90</v>
      </c>
      <c r="F59" s="103">
        <v>30</v>
      </c>
      <c r="G59" s="258">
        <v>26250</v>
      </c>
      <c r="H59" s="270">
        <v>20125</v>
      </c>
      <c r="I59" s="100"/>
      <c r="J59" s="230" t="s">
        <v>452</v>
      </c>
      <c r="K59" s="14"/>
    </row>
    <row r="60" spans="1:11" ht="12.75">
      <c r="A60" s="144"/>
      <c r="B60" s="284" t="s">
        <v>461</v>
      </c>
      <c r="C60" s="144">
        <v>5</v>
      </c>
      <c r="D60" s="144" t="s">
        <v>522</v>
      </c>
      <c r="E60" s="103"/>
      <c r="F60" s="103"/>
      <c r="G60" s="258"/>
      <c r="H60" s="270"/>
      <c r="I60" s="100"/>
      <c r="J60" s="144" t="s">
        <v>118</v>
      </c>
      <c r="K60" s="33" t="s">
        <v>523</v>
      </c>
    </row>
    <row r="61" spans="1:11" ht="12.75">
      <c r="A61" s="144">
        <v>3</v>
      </c>
      <c r="B61" s="284" t="s">
        <v>524</v>
      </c>
      <c r="C61" s="144">
        <v>5</v>
      </c>
      <c r="D61" s="144" t="s">
        <v>525</v>
      </c>
      <c r="E61" s="103">
        <v>120</v>
      </c>
      <c r="F61" s="103">
        <v>5</v>
      </c>
      <c r="G61" s="258">
        <v>120000</v>
      </c>
      <c r="H61" s="270">
        <v>5000</v>
      </c>
      <c r="I61" s="100"/>
      <c r="J61" s="192" t="s">
        <v>275</v>
      </c>
      <c r="K61" s="33" t="s">
        <v>526</v>
      </c>
    </row>
    <row r="62" spans="1:11" ht="12.75">
      <c r="A62" s="144">
        <v>4</v>
      </c>
      <c r="B62" s="284" t="s">
        <v>466</v>
      </c>
      <c r="C62" s="144">
        <v>7.04</v>
      </c>
      <c r="D62" s="144" t="s">
        <v>467</v>
      </c>
      <c r="E62" s="103"/>
      <c r="F62" s="103"/>
      <c r="G62" s="258"/>
      <c r="H62" s="237"/>
      <c r="I62" s="100"/>
      <c r="J62" s="144" t="s">
        <v>118</v>
      </c>
      <c r="K62" s="14"/>
    </row>
    <row r="63" spans="1:11" ht="12.75">
      <c r="A63" s="144">
        <v>5</v>
      </c>
      <c r="B63" s="284" t="s">
        <v>468</v>
      </c>
      <c r="C63" s="144">
        <v>5.03</v>
      </c>
      <c r="D63" s="144" t="s">
        <v>467</v>
      </c>
      <c r="E63" s="103"/>
      <c r="F63" s="103"/>
      <c r="G63" s="258"/>
      <c r="H63" s="237"/>
      <c r="I63" s="100"/>
      <c r="J63" s="144" t="s">
        <v>118</v>
      </c>
      <c r="K63" s="14"/>
    </row>
    <row r="64" spans="1:11" ht="12.75">
      <c r="A64" s="144">
        <v>6</v>
      </c>
      <c r="B64" s="284" t="s">
        <v>490</v>
      </c>
      <c r="C64" s="144">
        <v>7.01</v>
      </c>
      <c r="D64" s="144" t="s">
        <v>491</v>
      </c>
      <c r="E64" s="103"/>
      <c r="F64" s="103"/>
      <c r="G64" s="258"/>
      <c r="H64" s="237"/>
      <c r="I64" s="100"/>
      <c r="J64" s="100"/>
      <c r="K64" s="14"/>
    </row>
    <row r="65" spans="1:11" ht="12.75">
      <c r="A65" s="144">
        <v>7</v>
      </c>
      <c r="B65" s="284" t="s">
        <v>448</v>
      </c>
      <c r="C65" s="144">
        <v>10</v>
      </c>
      <c r="D65" s="144" t="s">
        <v>467</v>
      </c>
      <c r="E65" s="110"/>
      <c r="F65" s="233"/>
      <c r="G65" s="233"/>
      <c r="H65" s="100"/>
      <c r="I65" s="100"/>
      <c r="J65" s="100"/>
      <c r="K65" s="14"/>
    </row>
    <row r="66" spans="1:11" ht="12.75">
      <c r="A66" s="100"/>
      <c r="B66" s="284" t="s">
        <v>135</v>
      </c>
      <c r="C66" s="144">
        <v>5</v>
      </c>
      <c r="D66" s="203" t="s">
        <v>527</v>
      </c>
      <c r="E66" s="110"/>
      <c r="F66" s="233"/>
      <c r="G66" s="233"/>
      <c r="H66" s="100"/>
      <c r="I66" s="100"/>
      <c r="J66" s="100"/>
      <c r="K66" s="14"/>
    </row>
    <row r="67" spans="1:11" ht="12.75">
      <c r="A67" s="144">
        <v>7</v>
      </c>
      <c r="B67" s="284" t="s">
        <v>469</v>
      </c>
      <c r="C67" s="100">
        <f>SUM(C58:C66)</f>
        <v>51.14</v>
      </c>
      <c r="D67" s="109"/>
      <c r="E67" s="262"/>
      <c r="F67" s="237"/>
      <c r="G67" s="323" t="s">
        <v>177</v>
      </c>
      <c r="H67" s="238">
        <f>SUM(H64:I64)</f>
        <v>0</v>
      </c>
      <c r="I67" s="144"/>
      <c r="J67" s="260"/>
      <c r="K67" s="14"/>
    </row>
    <row r="68" spans="1:11" ht="12.75">
      <c r="A68" s="2"/>
      <c r="B68" s="4"/>
      <c r="C68" s="6"/>
      <c r="D68" s="8"/>
      <c r="E68" s="11"/>
      <c r="F68" s="220"/>
      <c r="G68" s="220"/>
      <c r="H68" s="6"/>
      <c r="I68" s="6"/>
      <c r="J68" s="100"/>
      <c r="K68" s="14"/>
    </row>
    <row r="69" spans="1:11" ht="12.75">
      <c r="A69" s="219"/>
      <c r="B69" s="335"/>
      <c r="C69" s="217"/>
      <c r="D69" s="129"/>
      <c r="E69" s="288"/>
      <c r="F69" s="289"/>
      <c r="G69" s="290"/>
      <c r="H69" s="291"/>
      <c r="I69" s="22"/>
      <c r="J69" s="240"/>
      <c r="K69" s="14"/>
    </row>
    <row r="70" spans="1:11" ht="63.75">
      <c r="A70" s="219" t="s">
        <v>5</v>
      </c>
      <c r="B70" s="335" t="s">
        <v>375</v>
      </c>
      <c r="C70" s="217"/>
      <c r="D70" s="129" t="s">
        <v>10</v>
      </c>
      <c r="E70" s="288" t="s">
        <v>243</v>
      </c>
      <c r="F70" s="289" t="s">
        <v>244</v>
      </c>
      <c r="G70" s="290" t="s">
        <v>245</v>
      </c>
      <c r="H70" s="291" t="s">
        <v>246</v>
      </c>
      <c r="I70" s="22" t="s">
        <v>13</v>
      </c>
      <c r="J70" s="240" t="s">
        <v>162</v>
      </c>
      <c r="K70" s="14"/>
    </row>
    <row r="71" spans="1:11" ht="12.75">
      <c r="A71" s="2">
        <v>1</v>
      </c>
      <c r="B71" s="4" t="s">
        <v>101</v>
      </c>
      <c r="C71" s="59"/>
      <c r="D71" s="45" t="s">
        <v>148</v>
      </c>
      <c r="E71" s="47">
        <v>31</v>
      </c>
      <c r="F71" s="223">
        <v>31</v>
      </c>
      <c r="G71" s="223">
        <v>27000</v>
      </c>
      <c r="H71" s="223">
        <v>27000</v>
      </c>
      <c r="I71" s="6"/>
      <c r="J71" s="144" t="s">
        <v>331</v>
      </c>
      <c r="K71" s="340" t="s">
        <v>492</v>
      </c>
    </row>
    <row r="72" spans="1:11" ht="12.75">
      <c r="A72" s="116"/>
      <c r="B72" s="172"/>
      <c r="C72" s="116"/>
      <c r="D72" s="118"/>
      <c r="E72" s="120"/>
      <c r="F72" s="255"/>
      <c r="G72" s="236" t="s">
        <v>177</v>
      </c>
      <c r="H72" s="336">
        <f>SUM(H71:I71)</f>
        <v>27000</v>
      </c>
      <c r="I72" s="116"/>
      <c r="J72" s="100"/>
      <c r="K72" s="14"/>
    </row>
    <row r="73" spans="1:11" ht="63.75">
      <c r="A73" s="219" t="s">
        <v>5</v>
      </c>
      <c r="B73" s="177" t="s">
        <v>106</v>
      </c>
      <c r="C73" s="217"/>
      <c r="D73" s="129" t="s">
        <v>10</v>
      </c>
      <c r="E73" s="288" t="s">
        <v>243</v>
      </c>
      <c r="F73" s="289" t="s">
        <v>244</v>
      </c>
      <c r="G73" s="290" t="s">
        <v>245</v>
      </c>
      <c r="H73" s="291" t="s">
        <v>246</v>
      </c>
      <c r="I73" s="22" t="s">
        <v>13</v>
      </c>
      <c r="J73" s="240" t="s">
        <v>162</v>
      </c>
      <c r="K73" s="14"/>
    </row>
    <row r="74" spans="1:11" ht="12.75">
      <c r="A74" s="100">
        <v>1</v>
      </c>
      <c r="B74" s="181" t="s">
        <v>101</v>
      </c>
      <c r="C74" s="144"/>
      <c r="D74" s="203" t="s">
        <v>148</v>
      </c>
      <c r="E74" s="103">
        <v>31</v>
      </c>
      <c r="F74" s="258">
        <v>31</v>
      </c>
      <c r="G74" s="258">
        <v>25000</v>
      </c>
      <c r="H74" s="258">
        <v>25000</v>
      </c>
      <c r="I74" s="100"/>
      <c r="J74" s="144" t="s">
        <v>331</v>
      </c>
      <c r="K74" s="340" t="s">
        <v>492</v>
      </c>
    </row>
    <row r="75" spans="1:11" ht="12.75">
      <c r="A75" s="14"/>
      <c r="B75" s="183"/>
      <c r="C75" s="14"/>
      <c r="D75" s="185"/>
      <c r="E75" s="35"/>
      <c r="F75" s="209"/>
      <c r="G75" s="236" t="s">
        <v>177</v>
      </c>
      <c r="H75" s="336">
        <f>SUM(H74:I74)</f>
        <v>25000</v>
      </c>
      <c r="I75" s="14"/>
      <c r="J75" s="100"/>
      <c r="K75" s="14"/>
    </row>
    <row r="76" spans="1:11" ht="63.75">
      <c r="A76" s="219" t="s">
        <v>5</v>
      </c>
      <c r="B76" s="191" t="s">
        <v>122</v>
      </c>
      <c r="C76" s="189"/>
      <c r="D76" s="129" t="s">
        <v>10</v>
      </c>
      <c r="E76" s="288" t="s">
        <v>243</v>
      </c>
      <c r="F76" s="289" t="s">
        <v>244</v>
      </c>
      <c r="G76" s="290" t="s">
        <v>245</v>
      </c>
      <c r="H76" s="291" t="s">
        <v>246</v>
      </c>
      <c r="I76" s="22" t="s">
        <v>13</v>
      </c>
      <c r="J76" s="240" t="s">
        <v>162</v>
      </c>
      <c r="K76" s="33" t="s">
        <v>470</v>
      </c>
    </row>
    <row r="77" spans="1:11" ht="12.75">
      <c r="A77" s="2" t="s">
        <v>114</v>
      </c>
      <c r="B77" s="4" t="s">
        <v>128</v>
      </c>
      <c r="C77" s="59"/>
      <c r="D77" s="45" t="s">
        <v>148</v>
      </c>
      <c r="E77" s="47">
        <v>31</v>
      </c>
      <c r="F77" s="47">
        <v>31</v>
      </c>
      <c r="G77" s="223">
        <v>25000</v>
      </c>
      <c r="H77" s="221">
        <f>G77/E77*F77</f>
        <v>25000</v>
      </c>
      <c r="I77" s="6"/>
      <c r="J77" s="144" t="s">
        <v>331</v>
      </c>
      <c r="K77" s="14"/>
    </row>
    <row r="78" spans="1:11" ht="12.75">
      <c r="A78" s="59" t="s">
        <v>151</v>
      </c>
      <c r="B78" s="4"/>
      <c r="C78" s="59"/>
      <c r="D78" s="45"/>
      <c r="E78" s="47"/>
      <c r="F78" s="47"/>
      <c r="G78" s="223"/>
      <c r="H78" s="221"/>
      <c r="I78" s="6"/>
      <c r="J78" s="338"/>
      <c r="K78" s="14"/>
    </row>
    <row r="79" spans="1:11" ht="12.75">
      <c r="A79" s="59" t="s">
        <v>152</v>
      </c>
      <c r="B79" s="253" t="s">
        <v>332</v>
      </c>
      <c r="C79" s="59"/>
      <c r="D79" s="45" t="s">
        <v>378</v>
      </c>
      <c r="E79" s="47">
        <v>31</v>
      </c>
      <c r="F79" s="47">
        <v>31</v>
      </c>
      <c r="G79" s="223">
        <v>21250</v>
      </c>
      <c r="H79" s="221">
        <f>G79/E79*F79</f>
        <v>21250</v>
      </c>
      <c r="I79" s="6"/>
      <c r="J79" s="260" t="s">
        <v>331</v>
      </c>
      <c r="K79" s="33" t="s">
        <v>380</v>
      </c>
    </row>
    <row r="80" spans="1:11" ht="12.75">
      <c r="A80" s="454" t="s">
        <v>153</v>
      </c>
      <c r="B80" s="481"/>
      <c r="C80" s="454"/>
      <c r="D80" s="477"/>
      <c r="E80" s="456"/>
      <c r="F80" s="456"/>
      <c r="G80" s="478"/>
      <c r="H80" s="498"/>
      <c r="I80" s="479"/>
      <c r="J80" s="463" t="s">
        <v>331</v>
      </c>
      <c r="K80" s="501"/>
    </row>
    <row r="81" spans="1:11" ht="12.75">
      <c r="A81" s="454" t="s">
        <v>132</v>
      </c>
      <c r="B81" s="453" t="s">
        <v>471</v>
      </c>
      <c r="C81" s="454"/>
      <c r="D81" s="477" t="s">
        <v>472</v>
      </c>
      <c r="E81" s="456"/>
      <c r="F81" s="456"/>
      <c r="G81" s="478"/>
      <c r="H81" s="498"/>
      <c r="I81" s="479"/>
      <c r="J81" s="463" t="s">
        <v>331</v>
      </c>
      <c r="K81" s="501"/>
    </row>
    <row r="82" spans="1:11" ht="12.75">
      <c r="A82" s="14"/>
      <c r="B82" s="183"/>
      <c r="C82" s="14"/>
      <c r="D82" s="185"/>
      <c r="E82" s="35"/>
      <c r="F82" s="209"/>
      <c r="G82" s="236" t="s">
        <v>177</v>
      </c>
      <c r="H82" s="238">
        <f>SUM(H77:I81)</f>
        <v>46250</v>
      </c>
      <c r="I82" s="14"/>
      <c r="J82" s="100"/>
      <c r="K82" s="14"/>
    </row>
    <row r="83" spans="1:11" ht="63.75">
      <c r="A83" s="219" t="s">
        <v>5</v>
      </c>
      <c r="B83" s="196" t="s">
        <v>111</v>
      </c>
      <c r="C83" s="189"/>
      <c r="D83" s="514" t="s">
        <v>10</v>
      </c>
      <c r="E83" s="515" t="s">
        <v>243</v>
      </c>
      <c r="F83" s="516" t="s">
        <v>244</v>
      </c>
      <c r="G83" s="517" t="s">
        <v>245</v>
      </c>
      <c r="H83" s="518" t="s">
        <v>246</v>
      </c>
      <c r="I83" s="519" t="s">
        <v>13</v>
      </c>
      <c r="J83" s="240" t="s">
        <v>162</v>
      </c>
      <c r="K83" s="14"/>
    </row>
    <row r="84" spans="1:11" ht="12.75">
      <c r="A84" s="2" t="s">
        <v>114</v>
      </c>
      <c r="B84" s="339" t="s">
        <v>382</v>
      </c>
      <c r="C84" s="59"/>
      <c r="D84" s="45" t="s">
        <v>148</v>
      </c>
      <c r="E84" s="47">
        <v>31</v>
      </c>
      <c r="F84" s="47">
        <v>31</v>
      </c>
      <c r="G84" s="223">
        <v>7447.74</v>
      </c>
      <c r="H84" s="223">
        <v>7447.74</v>
      </c>
      <c r="I84" s="6"/>
      <c r="J84" s="144" t="s">
        <v>331</v>
      </c>
      <c r="K84" s="14"/>
    </row>
    <row r="85" spans="1:11" ht="12.75">
      <c r="A85" s="6" t="s">
        <v>119</v>
      </c>
      <c r="B85" s="339" t="s">
        <v>382</v>
      </c>
      <c r="C85" s="59"/>
      <c r="D85" s="45" t="s">
        <v>148</v>
      </c>
      <c r="E85" s="47">
        <v>31</v>
      </c>
      <c r="F85" s="47">
        <v>31</v>
      </c>
      <c r="G85" s="223">
        <v>6406.4</v>
      </c>
      <c r="H85" s="223">
        <v>6406.4</v>
      </c>
      <c r="I85" s="6"/>
      <c r="J85" s="144" t="s">
        <v>331</v>
      </c>
      <c r="K85" s="14"/>
    </row>
    <row r="86" spans="1:11" ht="12.75">
      <c r="A86" s="116"/>
      <c r="B86" s="502" t="s">
        <v>528</v>
      </c>
      <c r="C86" s="116"/>
      <c r="D86" s="118"/>
      <c r="E86" s="120"/>
      <c r="F86" s="255"/>
      <c r="G86" s="236" t="s">
        <v>177</v>
      </c>
      <c r="H86" s="522">
        <v>13853.84</v>
      </c>
      <c r="I86" s="116"/>
      <c r="J86" s="150"/>
      <c r="K86" s="14"/>
    </row>
    <row r="87" spans="1:11" ht="63.75">
      <c r="A87" s="219" t="s">
        <v>5</v>
      </c>
      <c r="B87" s="342" t="s">
        <v>437</v>
      </c>
      <c r="C87" s="187"/>
      <c r="D87" s="129" t="s">
        <v>10</v>
      </c>
      <c r="E87" s="288" t="s">
        <v>243</v>
      </c>
      <c r="F87" s="289" t="s">
        <v>244</v>
      </c>
      <c r="G87" s="290" t="s">
        <v>245</v>
      </c>
      <c r="H87" s="291" t="s">
        <v>246</v>
      </c>
      <c r="I87" s="22" t="s">
        <v>13</v>
      </c>
      <c r="J87" s="240" t="s">
        <v>162</v>
      </c>
      <c r="K87" s="14"/>
    </row>
    <row r="88" spans="1:11" ht="12.75">
      <c r="A88" s="482" t="s">
        <v>114</v>
      </c>
      <c r="B88" s="481" t="s">
        <v>529</v>
      </c>
      <c r="C88" s="454"/>
      <c r="D88" s="477" t="s">
        <v>530</v>
      </c>
      <c r="E88" s="456">
        <v>30</v>
      </c>
      <c r="F88" s="456">
        <v>20</v>
      </c>
      <c r="G88" s="478">
        <v>20000</v>
      </c>
      <c r="H88" s="478">
        <v>13330</v>
      </c>
      <c r="I88" s="479"/>
      <c r="J88" s="503" t="s">
        <v>414</v>
      </c>
      <c r="K88" s="504" t="s">
        <v>531</v>
      </c>
    </row>
    <row r="89" spans="1:11" ht="12.75">
      <c r="A89" s="383" t="s">
        <v>119</v>
      </c>
      <c r="B89" s="441"/>
      <c r="C89" s="385"/>
      <c r="D89" s="385"/>
      <c r="E89" s="386">
        <v>31</v>
      </c>
      <c r="F89" s="386">
        <v>31</v>
      </c>
      <c r="G89" s="387"/>
      <c r="H89" s="388"/>
      <c r="I89" s="423"/>
      <c r="J89" s="330"/>
      <c r="K89" s="482"/>
    </row>
    <row r="90" spans="1:11" ht="12.75">
      <c r="A90" s="132" t="s">
        <v>114</v>
      </c>
      <c r="B90" s="4"/>
      <c r="C90" s="6"/>
      <c r="D90" s="45"/>
      <c r="E90" s="52"/>
      <c r="F90" s="221"/>
      <c r="G90" s="236" t="s">
        <v>177</v>
      </c>
      <c r="H90" s="264">
        <f>SUM(H88:I89)</f>
        <v>13330</v>
      </c>
      <c r="I90" s="59"/>
      <c r="J90" s="260"/>
      <c r="K90" s="341"/>
    </row>
    <row r="91" spans="1:11" ht="12.75">
      <c r="A91" s="14"/>
      <c r="C91" s="499"/>
      <c r="F91" s="286"/>
      <c r="G91" s="286"/>
    </row>
    <row r="92" spans="1:11" ht="63.75">
      <c r="A92" s="219" t="s">
        <v>5</v>
      </c>
      <c r="B92" s="342" t="s">
        <v>441</v>
      </c>
      <c r="C92" s="187"/>
      <c r="D92" s="129" t="s">
        <v>10</v>
      </c>
      <c r="E92" s="288" t="s">
        <v>243</v>
      </c>
      <c r="F92" s="289" t="s">
        <v>244</v>
      </c>
      <c r="G92" s="290" t="s">
        <v>245</v>
      </c>
      <c r="H92" s="291" t="s">
        <v>246</v>
      </c>
      <c r="I92" s="22" t="s">
        <v>13</v>
      </c>
      <c r="J92" s="240" t="s">
        <v>162</v>
      </c>
      <c r="K92" s="14"/>
    </row>
    <row r="93" spans="1:11" ht="12.75">
      <c r="A93" s="2" t="s">
        <v>114</v>
      </c>
      <c r="B93" s="4" t="s">
        <v>505</v>
      </c>
      <c r="C93" s="59"/>
      <c r="D93" s="51" t="s">
        <v>506</v>
      </c>
      <c r="E93" s="47"/>
      <c r="F93" s="47"/>
      <c r="G93" s="223">
        <v>22500</v>
      </c>
      <c r="H93" s="222">
        <v>12750</v>
      </c>
      <c r="I93" s="6"/>
      <c r="J93" s="230"/>
      <c r="K93" s="1204" t="s">
        <v>314</v>
      </c>
    </row>
    <row r="94" spans="1:11" ht="12.75">
      <c r="A94" s="452" t="s">
        <v>119</v>
      </c>
      <c r="B94" s="481" t="s">
        <v>444</v>
      </c>
      <c r="C94" s="454"/>
      <c r="D94" s="454" t="s">
        <v>148</v>
      </c>
      <c r="E94" s="456"/>
      <c r="F94" s="456"/>
      <c r="G94" s="478">
        <v>19000</v>
      </c>
      <c r="H94" s="478">
        <v>19000</v>
      </c>
      <c r="I94" s="479"/>
      <c r="J94" s="463" t="s">
        <v>507</v>
      </c>
      <c r="K94" s="1205"/>
    </row>
    <row r="95" spans="1:11" ht="12.75">
      <c r="A95" s="132"/>
      <c r="B95" s="4"/>
      <c r="C95" s="6"/>
      <c r="D95" s="45"/>
      <c r="E95" s="52"/>
      <c r="F95" s="221"/>
      <c r="G95" s="236" t="s">
        <v>177</v>
      </c>
      <c r="H95" s="264">
        <f>SUM(H93:I94)</f>
        <v>31750</v>
      </c>
      <c r="I95" s="59"/>
      <c r="J95" s="260"/>
      <c r="K95" s="341"/>
    </row>
    <row r="96" spans="1:11" ht="12.75">
      <c r="A96" s="14"/>
      <c r="C96" s="499"/>
      <c r="F96" s="286"/>
      <c r="G96" s="286"/>
    </row>
    <row r="97" spans="1:11" ht="63.75">
      <c r="A97" s="219" t="s">
        <v>5</v>
      </c>
      <c r="B97" s="342" t="s">
        <v>445</v>
      </c>
      <c r="C97" s="187"/>
      <c r="D97" s="129" t="s">
        <v>10</v>
      </c>
      <c r="E97" s="288" t="s">
        <v>243</v>
      </c>
      <c r="F97" s="289" t="s">
        <v>244</v>
      </c>
      <c r="G97" s="290" t="s">
        <v>245</v>
      </c>
      <c r="H97" s="291" t="s">
        <v>246</v>
      </c>
      <c r="I97" s="22" t="s">
        <v>13</v>
      </c>
      <c r="J97" s="240" t="s">
        <v>162</v>
      </c>
      <c r="K97" s="14"/>
    </row>
    <row r="98" spans="1:11" ht="12.75">
      <c r="A98" s="2" t="s">
        <v>114</v>
      </c>
      <c r="B98" s="4" t="s">
        <v>446</v>
      </c>
      <c r="C98" s="59"/>
      <c r="D98" s="51" t="s">
        <v>473</v>
      </c>
      <c r="E98" s="47">
        <v>90</v>
      </c>
      <c r="F98" s="47">
        <v>16</v>
      </c>
      <c r="G98" s="223">
        <v>22500</v>
      </c>
      <c r="H98" s="222">
        <v>22500</v>
      </c>
      <c r="I98" s="6"/>
      <c r="J98" s="230" t="s">
        <v>477</v>
      </c>
      <c r="K98" s="352" t="s">
        <v>314</v>
      </c>
    </row>
    <row r="99" spans="1:11" ht="12.75">
      <c r="A99" s="452" t="s">
        <v>119</v>
      </c>
      <c r="B99" s="481" t="s">
        <v>529</v>
      </c>
      <c r="C99" s="454"/>
      <c r="D99" s="454" t="s">
        <v>537</v>
      </c>
      <c r="E99" s="456">
        <v>30</v>
      </c>
      <c r="F99" s="456">
        <v>20</v>
      </c>
      <c r="G99" s="478">
        <v>18400</v>
      </c>
      <c r="H99" s="478">
        <v>12260</v>
      </c>
      <c r="I99" s="479"/>
      <c r="J99" s="463" t="s">
        <v>414</v>
      </c>
      <c r="K99" s="132" t="s">
        <v>540</v>
      </c>
    </row>
    <row r="100" spans="1:11" ht="12.75">
      <c r="A100" s="132" t="s">
        <v>119</v>
      </c>
      <c r="B100" s="4"/>
      <c r="C100" s="6"/>
      <c r="D100" s="45"/>
      <c r="E100" s="52"/>
      <c r="F100" s="221"/>
      <c r="G100" s="236" t="s">
        <v>177</v>
      </c>
      <c r="H100" s="264">
        <f>SUM(H98:I99)</f>
        <v>34760</v>
      </c>
      <c r="I100" s="59"/>
      <c r="J100" s="260"/>
      <c r="K100" s="341" t="s">
        <v>484</v>
      </c>
    </row>
    <row r="101" spans="1:11" ht="12.75">
      <c r="A101" s="14"/>
      <c r="C101" s="499"/>
      <c r="F101" s="286"/>
      <c r="G101" s="286"/>
    </row>
    <row r="102" spans="1:11" ht="12.75">
      <c r="A102" s="14"/>
      <c r="B102" s="183"/>
      <c r="C102" s="14"/>
      <c r="D102" s="185"/>
      <c r="E102" s="35"/>
      <c r="F102" s="209"/>
      <c r="G102" s="209"/>
      <c r="H102" s="14"/>
      <c r="I102" s="14"/>
      <c r="J102" s="14"/>
      <c r="K102" s="14"/>
    </row>
    <row r="103" spans="1:11" ht="12.75">
      <c r="C103" s="499"/>
      <c r="K103" s="287"/>
    </row>
    <row r="104" spans="1:11" ht="63.75">
      <c r="A104" s="219" t="s">
        <v>5</v>
      </c>
      <c r="B104" s="342" t="s">
        <v>316</v>
      </c>
      <c r="C104" s="217"/>
      <c r="D104" s="129" t="s">
        <v>10</v>
      </c>
      <c r="E104" s="288" t="s">
        <v>243</v>
      </c>
      <c r="F104" s="289" t="s">
        <v>244</v>
      </c>
      <c r="G104" s="290" t="s">
        <v>245</v>
      </c>
      <c r="H104" s="291" t="s">
        <v>246</v>
      </c>
      <c r="I104" s="22" t="s">
        <v>13</v>
      </c>
      <c r="J104" s="240" t="s">
        <v>162</v>
      </c>
      <c r="K104" s="287"/>
    </row>
    <row r="105" spans="1:11" ht="12.75">
      <c r="A105" s="132" t="s">
        <v>458</v>
      </c>
      <c r="B105" s="4" t="s">
        <v>317</v>
      </c>
      <c r="C105" s="59"/>
      <c r="D105" s="51" t="s">
        <v>508</v>
      </c>
      <c r="E105" s="47"/>
      <c r="F105" s="47"/>
      <c r="G105" s="353">
        <v>28000</v>
      </c>
      <c r="H105" s="353">
        <v>28000</v>
      </c>
      <c r="I105" s="6"/>
      <c r="J105" s="144" t="s">
        <v>210</v>
      </c>
      <c r="K105" s="287"/>
    </row>
    <row r="106" spans="1:11" ht="12.75">
      <c r="A106" s="132" t="s">
        <v>459</v>
      </c>
      <c r="B106" s="4" t="s">
        <v>392</v>
      </c>
      <c r="C106" s="6"/>
      <c r="D106" s="45" t="s">
        <v>508</v>
      </c>
      <c r="E106" s="52"/>
      <c r="F106" s="221"/>
      <c r="G106" s="449">
        <v>24500</v>
      </c>
      <c r="H106" s="449">
        <v>24500</v>
      </c>
      <c r="I106" s="59"/>
      <c r="J106" s="260" t="s">
        <v>331</v>
      </c>
      <c r="K106" s="325" t="s">
        <v>393</v>
      </c>
    </row>
    <row r="107" spans="1:11" ht="12.75">
      <c r="A107" s="132" t="s">
        <v>460</v>
      </c>
      <c r="B107" s="4" t="s">
        <v>461</v>
      </c>
      <c r="C107" s="6"/>
      <c r="D107" s="45" t="s">
        <v>546</v>
      </c>
      <c r="E107" s="52"/>
      <c r="F107" s="221"/>
      <c r="G107" s="355">
        <v>27000</v>
      </c>
      <c r="H107" s="473">
        <v>27000</v>
      </c>
      <c r="I107" s="59"/>
      <c r="J107" s="260" t="s">
        <v>210</v>
      </c>
      <c r="K107" s="287"/>
    </row>
    <row r="108" spans="1:11" ht="12.75">
      <c r="A108" s="132"/>
      <c r="B108" s="29"/>
      <c r="C108" s="6"/>
      <c r="D108" s="8"/>
      <c r="E108" s="52"/>
      <c r="F108" s="221"/>
      <c r="G108" s="236" t="s">
        <v>177</v>
      </c>
      <c r="H108" s="264">
        <f>SUM(H105:H107)</f>
        <v>79500</v>
      </c>
      <c r="I108" s="59"/>
      <c r="J108" s="260"/>
      <c r="K108" s="287"/>
    </row>
    <row r="109" spans="1:11" ht="12.75">
      <c r="C109" s="499"/>
      <c r="K109" s="287"/>
    </row>
    <row r="110" spans="1:11" ht="12.75">
      <c r="C110" s="499"/>
      <c r="K110" s="287"/>
    </row>
    <row r="111" spans="1:11" ht="63.75">
      <c r="A111" s="357" t="s">
        <v>5</v>
      </c>
      <c r="B111" s="358" t="s">
        <v>319</v>
      </c>
      <c r="C111" s="510"/>
      <c r="D111" s="360" t="s">
        <v>10</v>
      </c>
      <c r="E111" s="361" t="s">
        <v>243</v>
      </c>
      <c r="F111" s="362" t="s">
        <v>244</v>
      </c>
      <c r="G111" s="362" t="s">
        <v>245</v>
      </c>
      <c r="H111" s="363" t="s">
        <v>246</v>
      </c>
      <c r="I111" s="363" t="s">
        <v>13</v>
      </c>
      <c r="J111" s="364" t="s">
        <v>162</v>
      </c>
      <c r="K111" s="287"/>
    </row>
    <row r="112" spans="1:11" ht="12.75">
      <c r="A112" s="365">
        <v>14</v>
      </c>
      <c r="B112" s="371" t="s">
        <v>317</v>
      </c>
      <c r="C112" s="511"/>
      <c r="D112" s="457" t="s">
        <v>462</v>
      </c>
      <c r="E112" s="12"/>
      <c r="F112" s="12"/>
      <c r="G112" s="547">
        <v>25000</v>
      </c>
      <c r="H112" s="547">
        <v>25000</v>
      </c>
      <c r="I112" s="7"/>
      <c r="J112" s="144" t="s">
        <v>210</v>
      </c>
      <c r="K112" s="325" t="s">
        <v>513</v>
      </c>
    </row>
    <row r="113" spans="1:11" ht="12.75">
      <c r="A113" s="370">
        <v>38</v>
      </c>
      <c r="B113" s="371" t="s">
        <v>290</v>
      </c>
      <c r="C113" s="511"/>
      <c r="D113" s="371" t="s">
        <v>463</v>
      </c>
      <c r="E113" s="50"/>
      <c r="F113" s="368"/>
      <c r="G113" s="549">
        <v>22000</v>
      </c>
      <c r="H113" s="547">
        <v>22000</v>
      </c>
      <c r="I113" s="7"/>
      <c r="J113" s="375" t="s">
        <v>210</v>
      </c>
      <c r="K113" s="287"/>
    </row>
    <row r="114" spans="1:11" ht="12.75">
      <c r="A114" s="370">
        <v>38</v>
      </c>
      <c r="B114" s="371" t="s">
        <v>548</v>
      </c>
      <c r="C114" s="511"/>
      <c r="D114" s="371" t="s">
        <v>549</v>
      </c>
      <c r="E114" s="50"/>
      <c r="F114" s="368"/>
      <c r="G114" s="373">
        <v>24000</v>
      </c>
      <c r="H114" s="547">
        <v>9600</v>
      </c>
      <c r="I114" s="7"/>
      <c r="J114" s="378"/>
      <c r="K114" s="325" t="s">
        <v>550</v>
      </c>
    </row>
    <row r="115" spans="1:11" ht="12.75">
      <c r="A115" s="370">
        <v>38</v>
      </c>
      <c r="C115" s="511"/>
      <c r="E115" s="50"/>
      <c r="F115" s="368"/>
      <c r="G115" s="376" t="s">
        <v>177</v>
      </c>
      <c r="H115" s="377">
        <f>SUM(H112:H114)</f>
        <v>56600</v>
      </c>
      <c r="I115" s="7"/>
      <c r="J115" s="378"/>
      <c r="K115" s="325"/>
    </row>
    <row r="116" spans="1:11" ht="12.75">
      <c r="C116" s="499"/>
      <c r="J116" s="287"/>
      <c r="K116" s="287"/>
    </row>
    <row r="117" spans="1:11" ht="12.75">
      <c r="C117" s="499"/>
    </row>
    <row r="118" spans="1:11" ht="63.75">
      <c r="A118" s="219" t="s">
        <v>5</v>
      </c>
      <c r="B118" s="342" t="s">
        <v>323</v>
      </c>
      <c r="C118" s="187"/>
      <c r="D118" s="129" t="s">
        <v>10</v>
      </c>
      <c r="E118" s="288" t="s">
        <v>243</v>
      </c>
      <c r="F118" s="289" t="s">
        <v>244</v>
      </c>
      <c r="G118" s="290" t="s">
        <v>245</v>
      </c>
      <c r="H118" s="291" t="s">
        <v>246</v>
      </c>
      <c r="I118" s="22" t="s">
        <v>13</v>
      </c>
      <c r="J118" s="240" t="s">
        <v>162</v>
      </c>
    </row>
    <row r="119" spans="1:11" ht="12.75">
      <c r="A119" s="2"/>
      <c r="B119" s="4"/>
      <c r="C119" s="59"/>
      <c r="D119" s="51"/>
      <c r="E119" s="47"/>
      <c r="F119" s="47"/>
      <c r="G119" s="223"/>
      <c r="H119" s="222"/>
      <c r="I119" s="6"/>
      <c r="J119" s="230"/>
    </row>
    <row r="120" spans="1:11" ht="12.75">
      <c r="A120" s="482" t="s">
        <v>114</v>
      </c>
      <c r="B120" s="481" t="s">
        <v>515</v>
      </c>
      <c r="C120" s="454"/>
      <c r="D120" s="454" t="s">
        <v>516</v>
      </c>
      <c r="E120" s="456">
        <v>30</v>
      </c>
      <c r="F120" s="456">
        <v>30</v>
      </c>
      <c r="G120" s="478">
        <v>25000</v>
      </c>
      <c r="H120" s="478">
        <v>25000</v>
      </c>
      <c r="I120" s="479"/>
      <c r="J120" s="463" t="s">
        <v>428</v>
      </c>
      <c r="K120" s="521"/>
    </row>
    <row r="121" spans="1:11" ht="12.75">
      <c r="A121" s="482" t="s">
        <v>119</v>
      </c>
      <c r="B121" s="481" t="s">
        <v>518</v>
      </c>
      <c r="C121" s="454"/>
      <c r="D121" s="454" t="s">
        <v>519</v>
      </c>
      <c r="E121" s="456"/>
      <c r="F121" s="456"/>
      <c r="G121" s="478"/>
      <c r="H121" s="498"/>
      <c r="I121" s="479"/>
      <c r="J121" s="463" t="s">
        <v>552</v>
      </c>
      <c r="K121" s="521" t="s">
        <v>520</v>
      </c>
    </row>
    <row r="122" spans="1:11" ht="12.75">
      <c r="A122" s="132"/>
      <c r="B122" s="29"/>
      <c r="C122" s="6"/>
      <c r="D122" s="8"/>
      <c r="E122" s="52"/>
      <c r="F122" s="221"/>
      <c r="G122" s="236" t="s">
        <v>177</v>
      </c>
      <c r="H122" s="264">
        <f>SUM(H119:I121)</f>
        <v>25000</v>
      </c>
      <c r="I122" s="59"/>
      <c r="J122" s="260"/>
    </row>
    <row r="123" spans="1:11" ht="12.75">
      <c r="C123" s="499"/>
    </row>
    <row r="124" spans="1:11" ht="12.75">
      <c r="C124" s="499"/>
    </row>
    <row r="125" spans="1:11" ht="63.75">
      <c r="A125" s="219" t="s">
        <v>5</v>
      </c>
      <c r="B125" s="342" t="s">
        <v>325</v>
      </c>
      <c r="C125" s="187"/>
      <c r="D125" s="129" t="s">
        <v>10</v>
      </c>
      <c r="E125" s="288" t="s">
        <v>243</v>
      </c>
      <c r="F125" s="289" t="s">
        <v>244</v>
      </c>
      <c r="G125" s="290" t="s">
        <v>245</v>
      </c>
      <c r="H125" s="291" t="s">
        <v>246</v>
      </c>
      <c r="I125" s="22" t="s">
        <v>13</v>
      </c>
      <c r="J125" s="240" t="s">
        <v>162</v>
      </c>
    </row>
    <row r="126" spans="1:11" ht="12.75">
      <c r="A126" s="452" t="s">
        <v>114</v>
      </c>
      <c r="B126" s="481" t="s">
        <v>134</v>
      </c>
      <c r="C126" s="454"/>
      <c r="D126" s="477" t="s">
        <v>148</v>
      </c>
      <c r="E126" s="456"/>
      <c r="F126" s="456"/>
      <c r="G126" s="478">
        <v>17500</v>
      </c>
      <c r="H126" s="478">
        <v>17500</v>
      </c>
      <c r="I126" s="479"/>
      <c r="J126" s="503" t="s">
        <v>331</v>
      </c>
      <c r="K126" s="509"/>
    </row>
    <row r="127" spans="1:11" ht="12.75">
      <c r="A127" s="2" t="s">
        <v>119</v>
      </c>
      <c r="B127" s="4" t="s">
        <v>134</v>
      </c>
      <c r="C127" s="59"/>
      <c r="D127" s="59" t="s">
        <v>148</v>
      </c>
      <c r="E127" s="47"/>
      <c r="F127" s="47"/>
      <c r="G127" s="223">
        <v>17500</v>
      </c>
      <c r="H127" s="222">
        <v>17500</v>
      </c>
      <c r="I127" s="6"/>
      <c r="J127" s="144" t="s">
        <v>331</v>
      </c>
    </row>
    <row r="128" spans="1:11" ht="12.75">
      <c r="A128" s="132"/>
      <c r="B128" s="29"/>
      <c r="C128" s="6"/>
      <c r="D128" s="8"/>
      <c r="E128" s="52"/>
      <c r="F128" s="221"/>
      <c r="G128" s="236" t="s">
        <v>177</v>
      </c>
      <c r="H128" s="264">
        <f>SUM(H126:I127)</f>
        <v>35000</v>
      </c>
      <c r="I128" s="59"/>
      <c r="J128" s="260"/>
    </row>
    <row r="129" spans="1:11" ht="12.75">
      <c r="C129" s="499"/>
    </row>
    <row r="130" spans="1:11" ht="12.75">
      <c r="C130" s="499"/>
    </row>
    <row r="131" spans="1:11" ht="63.75">
      <c r="A131" s="219" t="s">
        <v>5</v>
      </c>
      <c r="B131" s="342" t="s">
        <v>326</v>
      </c>
      <c r="C131" s="187"/>
      <c r="D131" s="129" t="s">
        <v>10</v>
      </c>
      <c r="E131" s="288" t="s">
        <v>243</v>
      </c>
      <c r="F131" s="289" t="s">
        <v>244</v>
      </c>
      <c r="G131" s="290" t="s">
        <v>245</v>
      </c>
      <c r="H131" s="291" t="s">
        <v>246</v>
      </c>
      <c r="I131" s="22" t="s">
        <v>13</v>
      </c>
      <c r="J131" s="240" t="s">
        <v>162</v>
      </c>
    </row>
    <row r="132" spans="1:11" ht="12.75">
      <c r="A132" s="2" t="s">
        <v>114</v>
      </c>
      <c r="B132" s="4" t="s">
        <v>407</v>
      </c>
      <c r="C132" s="59"/>
      <c r="D132" s="51" t="s">
        <v>148</v>
      </c>
      <c r="E132" s="47"/>
      <c r="F132" s="47"/>
      <c r="G132" s="223">
        <v>21250</v>
      </c>
      <c r="H132" s="223">
        <v>21250</v>
      </c>
      <c r="I132" s="6"/>
      <c r="J132" s="230" t="s">
        <v>376</v>
      </c>
    </row>
    <row r="133" spans="1:11" ht="12.75">
      <c r="A133" s="132" t="s">
        <v>119</v>
      </c>
      <c r="B133" s="4" t="s">
        <v>521</v>
      </c>
      <c r="C133" s="6"/>
      <c r="D133" s="45" t="s">
        <v>519</v>
      </c>
      <c r="E133" s="52"/>
      <c r="F133" s="221"/>
      <c r="G133" s="564">
        <v>21250</v>
      </c>
      <c r="H133" s="238">
        <f>SUM(H132:I132)</f>
        <v>21250</v>
      </c>
      <c r="I133" s="59"/>
      <c r="J133" s="260" t="s">
        <v>552</v>
      </c>
      <c r="K133" s="1" t="s">
        <v>520</v>
      </c>
    </row>
    <row r="134" spans="1:11" ht="12.75">
      <c r="C134" s="499"/>
      <c r="G134" s="1" t="s">
        <v>3</v>
      </c>
    </row>
    <row r="135" spans="1:11" ht="12.75">
      <c r="C135" s="499"/>
    </row>
    <row r="136" spans="1:11" ht="15.75" customHeight="1">
      <c r="C136" s="499"/>
      <c r="H136" s="466" t="s">
        <v>408</v>
      </c>
      <c r="I136" s="470">
        <f>J23+J47+H72+H75+H82+H86+H90+H67+H108+H115+H122+H128+H133</f>
        <v>670116.84000000008</v>
      </c>
    </row>
    <row r="137" spans="1:11" ht="12.75">
      <c r="C137" s="499"/>
    </row>
  </sheetData>
  <mergeCells count="1">
    <mergeCell ref="K93:K94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  <pageSetUpPr fitToPage="1"/>
  </sheetPr>
  <dimension ref="A1:AA1000"/>
  <sheetViews>
    <sheetView workbookViewId="0"/>
  </sheetViews>
  <sheetFormatPr defaultColWidth="12.5703125" defaultRowHeight="15.75" customHeight="1"/>
  <cols>
    <col min="2" max="2" width="45" customWidth="1"/>
    <col min="3" max="3" width="11.5703125" customWidth="1"/>
    <col min="4" max="4" width="20" customWidth="1"/>
    <col min="11" max="11" width="18.5703125" customWidth="1"/>
    <col min="12" max="12" width="41.140625" customWidth="1"/>
    <col min="13" max="13" width="28.85546875" customWidth="1"/>
  </cols>
  <sheetData>
    <row r="1" spans="1:27">
      <c r="A1" s="1" t="s">
        <v>0</v>
      </c>
      <c r="C1" s="499"/>
      <c r="E1" s="287"/>
      <c r="I1" s="499"/>
      <c r="K1" s="287"/>
    </row>
    <row r="2" spans="1:27">
      <c r="C2" s="499"/>
      <c r="E2" s="287"/>
      <c r="I2" s="499"/>
      <c r="K2" s="287"/>
    </row>
    <row r="3" spans="1:27">
      <c r="A3" s="523" t="s">
        <v>5</v>
      </c>
      <c r="B3" s="524" t="s">
        <v>7</v>
      </c>
      <c r="C3" s="525" t="s">
        <v>159</v>
      </c>
      <c r="D3" s="526" t="s">
        <v>10</v>
      </c>
      <c r="E3" s="527" t="s">
        <v>243</v>
      </c>
      <c r="F3" s="528" t="s">
        <v>244</v>
      </c>
      <c r="G3" s="528" t="s">
        <v>245</v>
      </c>
      <c r="H3" s="529" t="s">
        <v>246</v>
      </c>
      <c r="I3" s="525" t="s">
        <v>532</v>
      </c>
      <c r="J3" s="530" t="s">
        <v>13</v>
      </c>
      <c r="K3" s="531" t="s">
        <v>162</v>
      </c>
      <c r="L3" s="14"/>
    </row>
    <row r="4" spans="1:27">
      <c r="A4" s="219"/>
      <c r="B4" s="4"/>
      <c r="C4" s="59"/>
      <c r="D4" s="45"/>
      <c r="E4" s="532"/>
      <c r="F4" s="220"/>
      <c r="G4" s="533"/>
      <c r="H4" s="533"/>
      <c r="I4" s="223"/>
      <c r="J4" s="223"/>
      <c r="K4" s="534"/>
      <c r="L4" s="33"/>
    </row>
    <row r="5" spans="1:27">
      <c r="A5" s="269">
        <v>1</v>
      </c>
      <c r="B5" s="535" t="s">
        <v>478</v>
      </c>
      <c r="C5" s="59">
        <v>7</v>
      </c>
      <c r="D5" s="536" t="s">
        <v>385</v>
      </c>
      <c r="E5" s="537">
        <v>90</v>
      </c>
      <c r="F5" s="59">
        <v>7</v>
      </c>
      <c r="G5" s="538">
        <v>78750</v>
      </c>
      <c r="H5" s="538">
        <v>26250</v>
      </c>
      <c r="I5" s="59"/>
      <c r="J5" s="59"/>
      <c r="K5" s="537" t="s">
        <v>388</v>
      </c>
      <c r="L5" s="14"/>
    </row>
    <row r="6" spans="1:27">
      <c r="A6" s="269">
        <v>2</v>
      </c>
      <c r="B6" s="4" t="s">
        <v>20</v>
      </c>
      <c r="C6" s="59">
        <v>5</v>
      </c>
      <c r="D6" s="455"/>
      <c r="E6" s="537"/>
      <c r="F6" s="59"/>
      <c r="G6" s="538"/>
      <c r="H6" s="538"/>
      <c r="I6" s="59"/>
      <c r="J6" s="59"/>
      <c r="K6" s="537" t="s">
        <v>118</v>
      </c>
      <c r="L6" s="324"/>
    </row>
    <row r="7" spans="1:27">
      <c r="A7" s="269">
        <v>3</v>
      </c>
      <c r="B7" s="481" t="s">
        <v>340</v>
      </c>
      <c r="C7" s="454">
        <v>5</v>
      </c>
      <c r="D7" s="454" t="s">
        <v>533</v>
      </c>
      <c r="E7" s="520" t="s">
        <v>534</v>
      </c>
      <c r="F7" s="454">
        <v>30</v>
      </c>
      <c r="G7" s="538">
        <v>210000</v>
      </c>
      <c r="H7" s="538">
        <v>17500</v>
      </c>
      <c r="I7" s="454">
        <v>17500</v>
      </c>
      <c r="J7" s="454"/>
      <c r="K7" s="520" t="s">
        <v>535</v>
      </c>
      <c r="L7" s="539"/>
      <c r="M7" s="509"/>
      <c r="N7" s="509"/>
      <c r="O7" s="509"/>
      <c r="P7" s="509"/>
      <c r="Q7" s="509"/>
      <c r="R7" s="509"/>
      <c r="S7" s="509"/>
      <c r="T7" s="509"/>
      <c r="U7" s="509"/>
      <c r="V7" s="509"/>
      <c r="W7" s="509"/>
      <c r="X7" s="509"/>
      <c r="Y7" s="509"/>
      <c r="Z7" s="509"/>
      <c r="AA7" s="509"/>
    </row>
    <row r="8" spans="1:27">
      <c r="A8" s="269">
        <v>4</v>
      </c>
      <c r="B8" s="4" t="s">
        <v>536</v>
      </c>
      <c r="C8" s="59">
        <v>5</v>
      </c>
      <c r="D8" s="59" t="s">
        <v>18</v>
      </c>
      <c r="E8" s="537"/>
      <c r="F8" s="59"/>
      <c r="G8" s="538"/>
      <c r="H8" s="538"/>
      <c r="I8" s="59"/>
      <c r="J8" s="59"/>
      <c r="K8" s="537" t="s">
        <v>118</v>
      </c>
      <c r="L8" s="324"/>
    </row>
    <row r="9" spans="1:27">
      <c r="A9" s="269">
        <v>5</v>
      </c>
      <c r="B9" s="4" t="s">
        <v>538</v>
      </c>
      <c r="C9" s="59">
        <v>5</v>
      </c>
      <c r="D9" s="59" t="s">
        <v>539</v>
      </c>
      <c r="E9" s="537">
        <v>60</v>
      </c>
      <c r="F9" s="59">
        <v>31</v>
      </c>
      <c r="G9" s="538">
        <v>59200</v>
      </c>
      <c r="H9" s="538">
        <v>29600</v>
      </c>
      <c r="I9" s="59">
        <v>29600</v>
      </c>
      <c r="J9" s="59"/>
      <c r="K9" s="537" t="s">
        <v>388</v>
      </c>
      <c r="L9" s="324"/>
    </row>
    <row r="10" spans="1:27">
      <c r="A10" s="269">
        <v>6</v>
      </c>
      <c r="B10" s="540" t="s">
        <v>495</v>
      </c>
      <c r="C10" s="59">
        <v>5</v>
      </c>
      <c r="D10" s="541" t="s">
        <v>496</v>
      </c>
      <c r="E10" s="537">
        <v>30</v>
      </c>
      <c r="F10" s="59">
        <v>24</v>
      </c>
      <c r="G10" s="538">
        <v>37000</v>
      </c>
      <c r="H10" s="538">
        <v>29600</v>
      </c>
      <c r="I10" s="59"/>
      <c r="J10" s="59"/>
      <c r="K10" s="537" t="s">
        <v>388</v>
      </c>
      <c r="L10" s="14"/>
    </row>
    <row r="11" spans="1:27">
      <c r="A11" s="269">
        <v>7</v>
      </c>
      <c r="B11" s="481" t="s">
        <v>335</v>
      </c>
      <c r="C11" s="454">
        <v>5</v>
      </c>
      <c r="D11" s="454" t="s">
        <v>541</v>
      </c>
      <c r="E11" s="520">
        <v>31</v>
      </c>
      <c r="F11" s="454">
        <v>31</v>
      </c>
      <c r="G11" s="538">
        <v>33217.32</v>
      </c>
      <c r="H11" s="538">
        <v>33217.32</v>
      </c>
      <c r="I11" s="454"/>
      <c r="J11" s="454"/>
      <c r="K11" s="520" t="s">
        <v>331</v>
      </c>
      <c r="L11" s="451"/>
      <c r="M11" s="509"/>
      <c r="N11" s="509"/>
      <c r="O11" s="509"/>
      <c r="P11" s="509"/>
      <c r="Q11" s="509"/>
      <c r="R11" s="509"/>
      <c r="S11" s="509"/>
      <c r="T11" s="509"/>
      <c r="U11" s="509"/>
      <c r="V11" s="509"/>
      <c r="W11" s="509"/>
      <c r="X11" s="509"/>
      <c r="Y11" s="509"/>
      <c r="Z11" s="509"/>
      <c r="AA11" s="509"/>
    </row>
    <row r="12" spans="1:27">
      <c r="A12" s="269">
        <v>8</v>
      </c>
      <c r="B12" s="4" t="s">
        <v>542</v>
      </c>
      <c r="C12" s="59">
        <v>5</v>
      </c>
      <c r="D12" s="542" t="s">
        <v>543</v>
      </c>
      <c r="E12" s="537">
        <v>7</v>
      </c>
      <c r="F12" s="59">
        <v>7</v>
      </c>
      <c r="G12" s="538"/>
      <c r="H12" s="538"/>
      <c r="I12" s="59"/>
      <c r="J12" s="59"/>
      <c r="K12" s="537" t="s">
        <v>544</v>
      </c>
      <c r="L12" s="14"/>
      <c r="M12" s="1" t="s">
        <v>199</v>
      </c>
    </row>
    <row r="13" spans="1:27">
      <c r="A13" s="269">
        <v>9</v>
      </c>
      <c r="B13" s="4" t="s">
        <v>410</v>
      </c>
      <c r="C13" s="59">
        <v>5.0599999999999996</v>
      </c>
      <c r="D13" s="59" t="s">
        <v>545</v>
      </c>
      <c r="E13" s="537">
        <v>90</v>
      </c>
      <c r="F13" s="59">
        <v>31</v>
      </c>
      <c r="G13" s="538">
        <v>88800</v>
      </c>
      <c r="H13" s="538">
        <v>29600</v>
      </c>
      <c r="I13" s="59">
        <v>29600</v>
      </c>
      <c r="J13" s="59"/>
      <c r="K13" s="537" t="s">
        <v>455</v>
      </c>
      <c r="L13" s="474"/>
    </row>
    <row r="14" spans="1:27">
      <c r="A14" s="269">
        <v>10</v>
      </c>
      <c r="B14" s="4"/>
      <c r="C14" s="59"/>
      <c r="D14" s="59"/>
      <c r="E14" s="537"/>
      <c r="F14" s="59"/>
      <c r="G14" s="538"/>
      <c r="H14" s="538"/>
      <c r="I14" s="59"/>
      <c r="J14" s="59"/>
      <c r="K14" s="537"/>
      <c r="L14" s="303"/>
    </row>
    <row r="15" spans="1:27">
      <c r="A15" s="269">
        <v>11</v>
      </c>
      <c r="B15" s="335" t="s">
        <v>332</v>
      </c>
      <c r="C15" s="59">
        <v>5</v>
      </c>
      <c r="D15" s="59" t="s">
        <v>547</v>
      </c>
      <c r="E15" s="537">
        <v>30</v>
      </c>
      <c r="F15" s="59">
        <v>29</v>
      </c>
      <c r="G15" s="538">
        <v>20000</v>
      </c>
      <c r="H15" s="538">
        <v>19300</v>
      </c>
      <c r="I15" s="59">
        <v>20000</v>
      </c>
      <c r="J15" s="59"/>
      <c r="K15" s="537" t="s">
        <v>331</v>
      </c>
      <c r="L15" s="33"/>
    </row>
    <row r="16" spans="1:27">
      <c r="A16" s="269">
        <v>12</v>
      </c>
      <c r="B16" s="4" t="s">
        <v>23</v>
      </c>
      <c r="C16" s="59">
        <v>5.04</v>
      </c>
      <c r="D16" s="59" t="s">
        <v>541</v>
      </c>
      <c r="E16" s="537" t="s">
        <v>534</v>
      </c>
      <c r="F16" s="59">
        <v>31</v>
      </c>
      <c r="G16" s="538">
        <v>30000</v>
      </c>
      <c r="H16" s="538">
        <v>30000</v>
      </c>
      <c r="I16" s="59">
        <v>30000</v>
      </c>
      <c r="J16" s="59"/>
      <c r="K16" s="537" t="s">
        <v>210</v>
      </c>
      <c r="L16" s="265"/>
    </row>
    <row r="17" spans="1:15">
      <c r="A17" s="269"/>
      <c r="B17" s="4"/>
      <c r="C17" s="59"/>
      <c r="D17" s="59"/>
      <c r="E17" s="537"/>
      <c r="F17" s="59"/>
      <c r="G17" s="59"/>
      <c r="H17" s="59"/>
      <c r="I17" s="59"/>
      <c r="J17" s="59"/>
      <c r="K17" s="537"/>
      <c r="L17" s="14"/>
    </row>
    <row r="18" spans="1:15">
      <c r="A18" s="269"/>
      <c r="B18" s="481"/>
      <c r="C18" s="454"/>
      <c r="D18" s="477"/>
      <c r="E18" s="543"/>
      <c r="F18" s="478"/>
      <c r="G18" s="478"/>
      <c r="H18" s="478"/>
      <c r="I18" s="498"/>
      <c r="J18" s="498"/>
      <c r="K18" s="503"/>
      <c r="L18" s="501"/>
      <c r="M18" s="544"/>
      <c r="N18" s="544"/>
    </row>
    <row r="19" spans="1:15">
      <c r="A19" s="269"/>
      <c r="B19" s="4"/>
      <c r="C19" s="59"/>
      <c r="D19" s="45"/>
      <c r="E19" s="545"/>
      <c r="F19" s="223"/>
      <c r="G19" s="223"/>
      <c r="H19" s="221"/>
      <c r="I19" s="220"/>
      <c r="J19" s="220"/>
      <c r="K19" s="230"/>
      <c r="L19" s="14"/>
      <c r="M19" s="546">
        <v>360</v>
      </c>
      <c r="N19" s="544"/>
    </row>
    <row r="20" spans="1:15">
      <c r="A20" s="269"/>
      <c r="B20" s="253"/>
      <c r="C20" s="59"/>
      <c r="D20" s="45"/>
      <c r="E20" s="545"/>
      <c r="F20" s="223"/>
      <c r="G20" s="223"/>
      <c r="H20" s="223"/>
      <c r="I20" s="233"/>
      <c r="J20" s="233"/>
      <c r="K20" s="230"/>
      <c r="L20" s="14"/>
      <c r="M20" s="546">
        <v>216</v>
      </c>
      <c r="N20" s="544"/>
    </row>
    <row r="21" spans="1:15">
      <c r="A21" s="269"/>
      <c r="B21" s="453"/>
      <c r="C21" s="454"/>
      <c r="D21" s="455"/>
      <c r="E21" s="543"/>
      <c r="F21" s="458"/>
      <c r="G21" s="458"/>
      <c r="H21" s="458"/>
      <c r="I21" s="548"/>
      <c r="J21" s="548"/>
      <c r="K21" s="503"/>
      <c r="L21" s="451"/>
      <c r="M21" s="544"/>
      <c r="N21" s="544"/>
    </row>
    <row r="22" spans="1:15">
      <c r="A22" s="269"/>
      <c r="B22" s="253"/>
      <c r="C22" s="59"/>
      <c r="D22" s="251"/>
      <c r="E22" s="550"/>
      <c r="F22" s="401"/>
      <c r="G22" s="402"/>
      <c r="H22" s="222"/>
      <c r="I22" s="551"/>
      <c r="J22" s="395"/>
      <c r="K22" s="309"/>
      <c r="L22" s="303"/>
      <c r="M22" s="546" t="s">
        <v>551</v>
      </c>
      <c r="N22" s="544"/>
    </row>
    <row r="23" spans="1:15">
      <c r="A23" s="114"/>
      <c r="B23" s="236" t="s">
        <v>177</v>
      </c>
      <c r="C23" s="6">
        <f>SUM(C3:C22)</f>
        <v>57.1</v>
      </c>
      <c r="D23" s="109"/>
      <c r="E23" s="552"/>
      <c r="F23" s="237"/>
      <c r="G23" s="237">
        <f t="shared" ref="G23:H23" si="0">SUM(G4:G22)</f>
        <v>556967.32000000007</v>
      </c>
      <c r="H23" s="553">
        <f t="shared" si="0"/>
        <v>215067.32</v>
      </c>
      <c r="I23" s="554">
        <f>SUM(I5:I22)</f>
        <v>126700</v>
      </c>
      <c r="J23" s="555">
        <f>SUM(J4:J22)</f>
        <v>0</v>
      </c>
      <c r="K23" s="556">
        <f>H23+J23</f>
        <v>215067.32</v>
      </c>
      <c r="L23" s="14"/>
      <c r="M23" s="546" t="s">
        <v>553</v>
      </c>
      <c r="N23" s="544"/>
    </row>
    <row r="24" spans="1:15">
      <c r="A24" s="265"/>
      <c r="B24" s="206"/>
      <c r="C24" s="198"/>
      <c r="D24" s="185"/>
      <c r="E24" s="557"/>
      <c r="F24" s="558"/>
      <c r="G24" s="558"/>
      <c r="H24" s="265"/>
      <c r="I24" s="265"/>
      <c r="J24" s="265"/>
      <c r="K24" s="559"/>
      <c r="L24" s="14"/>
      <c r="M24" s="546" t="s">
        <v>554</v>
      </c>
      <c r="N24" s="544"/>
    </row>
    <row r="25" spans="1:15">
      <c r="A25" s="560"/>
      <c r="B25" s="561"/>
      <c r="C25" s="562"/>
      <c r="D25" s="561"/>
      <c r="E25" s="563"/>
      <c r="F25" s="561"/>
      <c r="G25" s="565"/>
      <c r="H25" s="565"/>
      <c r="I25" s="566"/>
      <c r="J25" s="566"/>
      <c r="K25" s="567"/>
      <c r="L25" s="33"/>
      <c r="M25" s="546" t="s">
        <v>555</v>
      </c>
      <c r="N25" s="544"/>
    </row>
    <row r="26" spans="1:15">
      <c r="A26" s="568"/>
      <c r="B26" s="569"/>
      <c r="C26" s="338"/>
      <c r="D26" s="570"/>
      <c r="E26" s="571"/>
      <c r="F26" s="572"/>
      <c r="G26" s="572"/>
      <c r="H26" s="573"/>
      <c r="I26" s="574"/>
      <c r="J26" s="574"/>
      <c r="K26" s="575"/>
      <c r="L26" s="33"/>
      <c r="M26" s="546" t="s">
        <v>556</v>
      </c>
      <c r="N26" s="544"/>
    </row>
    <row r="27" spans="1:15">
      <c r="A27" s="568"/>
      <c r="B27" s="576"/>
      <c r="C27" s="340"/>
      <c r="D27" s="577"/>
      <c r="E27" s="578"/>
      <c r="F27" s="319"/>
      <c r="G27" s="319"/>
      <c r="H27" s="320"/>
      <c r="I27" s="320"/>
      <c r="J27" s="320"/>
      <c r="K27" s="579"/>
      <c r="L27" s="33"/>
      <c r="M27" s="546" t="s">
        <v>557</v>
      </c>
      <c r="N27" s="544"/>
    </row>
    <row r="28" spans="1:15">
      <c r="A28" s="580"/>
      <c r="B28" s="581"/>
      <c r="C28" s="260"/>
      <c r="D28" s="260"/>
      <c r="E28" s="578"/>
      <c r="F28" s="582"/>
      <c r="G28" s="572"/>
      <c r="H28" s="270"/>
      <c r="I28" s="583"/>
      <c r="J28" s="584"/>
      <c r="K28" s="585"/>
      <c r="L28" s="303"/>
      <c r="M28" s="546" t="s">
        <v>558</v>
      </c>
      <c r="N28" s="544"/>
    </row>
    <row r="29" spans="1:15">
      <c r="A29" s="568"/>
      <c r="B29" s="586"/>
      <c r="C29" s="340"/>
      <c r="D29" s="577"/>
      <c r="E29" s="587"/>
      <c r="F29" s="582"/>
      <c r="G29" s="582"/>
      <c r="H29" s="237"/>
      <c r="I29" s="582"/>
      <c r="J29" s="582"/>
      <c r="K29" s="588"/>
      <c r="L29" s="33"/>
      <c r="M29" s="546" t="s">
        <v>559</v>
      </c>
      <c r="N29" s="544"/>
    </row>
    <row r="30" spans="1:15">
      <c r="A30" s="589"/>
      <c r="B30" s="590"/>
      <c r="C30" s="591"/>
      <c r="D30" s="590"/>
      <c r="E30" s="592"/>
      <c r="F30" s="590"/>
      <c r="G30" s="590"/>
      <c r="H30" s="590"/>
      <c r="I30" s="591"/>
      <c r="J30" s="590"/>
      <c r="K30" s="593"/>
      <c r="M30" s="544"/>
      <c r="N30" s="544"/>
    </row>
    <row r="31" spans="1:15">
      <c r="A31" s="2"/>
      <c r="B31" s="4"/>
      <c r="C31" s="6"/>
      <c r="D31" s="8"/>
      <c r="E31" s="532"/>
      <c r="F31" s="220"/>
      <c r="G31" s="220"/>
      <c r="H31" s="6"/>
      <c r="I31" s="6"/>
      <c r="J31" s="6"/>
      <c r="K31" s="594"/>
      <c r="L31" s="14"/>
      <c r="M31" s="546" t="s">
        <v>560</v>
      </c>
      <c r="N31" s="546">
        <v>1482000</v>
      </c>
    </row>
    <row r="32" spans="1:15">
      <c r="A32" s="595" t="s">
        <v>5</v>
      </c>
      <c r="B32" s="596" t="s">
        <v>74</v>
      </c>
      <c r="C32" s="597" t="s">
        <v>159</v>
      </c>
      <c r="D32" s="598" t="s">
        <v>10</v>
      </c>
      <c r="E32" s="599" t="s">
        <v>243</v>
      </c>
      <c r="F32" s="600" t="s">
        <v>244</v>
      </c>
      <c r="G32" s="600" t="s">
        <v>245</v>
      </c>
      <c r="H32" s="601" t="s">
        <v>246</v>
      </c>
      <c r="I32" s="597" t="s">
        <v>532</v>
      </c>
      <c r="J32" s="602" t="s">
        <v>13</v>
      </c>
      <c r="K32" s="603" t="s">
        <v>162</v>
      </c>
      <c r="L32" s="14"/>
      <c r="M32" s="604">
        <v>0.8</v>
      </c>
      <c r="N32" s="546">
        <v>1185000</v>
      </c>
      <c r="O32" s="286">
        <f>N32-I152</f>
        <v>464948.61</v>
      </c>
    </row>
    <row r="33" spans="1:15">
      <c r="A33" s="269">
        <v>1</v>
      </c>
      <c r="B33" s="443" t="s">
        <v>485</v>
      </c>
      <c r="C33" s="144">
        <v>7.06</v>
      </c>
      <c r="D33" s="605" t="s">
        <v>510</v>
      </c>
      <c r="E33" s="606">
        <v>90</v>
      </c>
      <c r="F33" s="607">
        <v>30</v>
      </c>
      <c r="G33" s="608">
        <v>78750</v>
      </c>
      <c r="H33" s="608">
        <v>26250</v>
      </c>
      <c r="I33" s="609"/>
      <c r="J33" s="609"/>
      <c r="K33" s="503" t="s">
        <v>561</v>
      </c>
      <c r="L33" s="491"/>
      <c r="M33" s="604">
        <v>0.9</v>
      </c>
      <c r="N33" s="546">
        <v>1333800</v>
      </c>
      <c r="O33" s="286">
        <f>N33-I152</f>
        <v>613748.61</v>
      </c>
    </row>
    <row r="34" spans="1:15">
      <c r="A34" s="269">
        <v>2</v>
      </c>
      <c r="B34" s="443" t="s">
        <v>20</v>
      </c>
      <c r="C34" s="144">
        <v>5</v>
      </c>
      <c r="D34" s="234"/>
      <c r="E34" s="610"/>
      <c r="F34" s="611"/>
      <c r="G34" s="612"/>
      <c r="H34" s="612"/>
      <c r="I34" s="613"/>
      <c r="J34" s="612"/>
      <c r="K34" s="503" t="s">
        <v>118</v>
      </c>
      <c r="L34" s="14"/>
    </row>
    <row r="35" spans="1:15">
      <c r="A35" s="269">
        <v>3</v>
      </c>
      <c r="B35" s="443" t="s">
        <v>562</v>
      </c>
      <c r="C35" s="144">
        <v>5</v>
      </c>
      <c r="D35" s="203" t="s">
        <v>563</v>
      </c>
      <c r="E35" s="230">
        <v>15</v>
      </c>
      <c r="F35" s="144">
        <v>15</v>
      </c>
      <c r="G35" s="608">
        <v>17189.07</v>
      </c>
      <c r="H35" s="608">
        <v>17189.07</v>
      </c>
      <c r="I35" s="609"/>
      <c r="J35" s="609"/>
      <c r="K35" s="503" t="s">
        <v>331</v>
      </c>
      <c r="L35" s="14"/>
    </row>
    <row r="36" spans="1:15">
      <c r="A36" s="269">
        <v>4</v>
      </c>
      <c r="B36" s="443" t="s">
        <v>564</v>
      </c>
      <c r="C36" s="144">
        <v>5</v>
      </c>
      <c r="D36" s="614" t="s">
        <v>543</v>
      </c>
      <c r="E36" s="230">
        <v>7</v>
      </c>
      <c r="F36" s="144">
        <v>7</v>
      </c>
      <c r="G36" s="609"/>
      <c r="H36" s="609"/>
      <c r="I36" s="609"/>
      <c r="J36" s="609"/>
      <c r="K36" s="503" t="s">
        <v>544</v>
      </c>
      <c r="L36" s="14"/>
    </row>
    <row r="37" spans="1:15">
      <c r="A37" s="269">
        <v>5</v>
      </c>
      <c r="B37" s="615" t="s">
        <v>565</v>
      </c>
      <c r="C37" s="144">
        <v>5</v>
      </c>
      <c r="D37" s="203" t="s">
        <v>566</v>
      </c>
      <c r="E37" s="230">
        <v>31</v>
      </c>
      <c r="F37" s="144">
        <v>20</v>
      </c>
      <c r="G37" s="608" t="s">
        <v>420</v>
      </c>
      <c r="H37" s="608">
        <v>23333</v>
      </c>
      <c r="I37" s="609"/>
      <c r="J37" s="609"/>
      <c r="K37" s="503" t="s">
        <v>567</v>
      </c>
      <c r="L37" s="33"/>
    </row>
    <row r="38" spans="1:15">
      <c r="A38" s="269">
        <v>6</v>
      </c>
      <c r="B38" s="443" t="s">
        <v>568</v>
      </c>
      <c r="C38" s="144">
        <v>5</v>
      </c>
      <c r="D38" s="203" t="s">
        <v>569</v>
      </c>
      <c r="E38" s="230">
        <v>180</v>
      </c>
      <c r="F38" s="144">
        <v>9</v>
      </c>
      <c r="G38" s="608">
        <v>147000</v>
      </c>
      <c r="H38" s="608">
        <v>24500</v>
      </c>
      <c r="I38" s="608">
        <v>24500</v>
      </c>
      <c r="J38" s="609"/>
      <c r="K38" s="503" t="s">
        <v>567</v>
      </c>
      <c r="L38" s="324"/>
    </row>
    <row r="39" spans="1:15">
      <c r="A39" s="269">
        <v>7</v>
      </c>
      <c r="B39" s="443" t="s">
        <v>536</v>
      </c>
      <c r="C39" s="144"/>
      <c r="D39" s="203"/>
      <c r="E39" s="606"/>
      <c r="F39" s="607"/>
      <c r="G39" s="609"/>
      <c r="H39" s="609"/>
      <c r="I39" s="609"/>
      <c r="J39" s="609"/>
      <c r="K39" s="503" t="s">
        <v>118</v>
      </c>
      <c r="L39" s="491"/>
    </row>
    <row r="40" spans="1:15">
      <c r="A40" s="269">
        <v>8</v>
      </c>
      <c r="B40" s="443" t="s">
        <v>366</v>
      </c>
      <c r="C40" s="144">
        <v>5</v>
      </c>
      <c r="D40" s="203" t="s">
        <v>533</v>
      </c>
      <c r="E40" s="230">
        <v>31</v>
      </c>
      <c r="F40" s="144">
        <v>31</v>
      </c>
      <c r="G40" s="609">
        <v>17500</v>
      </c>
      <c r="H40" s="608">
        <v>17500</v>
      </c>
      <c r="I40" s="608">
        <v>17500</v>
      </c>
      <c r="J40" s="609"/>
      <c r="K40" s="503" t="s">
        <v>331</v>
      </c>
      <c r="L40" s="491"/>
    </row>
    <row r="41" spans="1:15">
      <c r="A41" s="269">
        <v>9</v>
      </c>
      <c r="B41" s="443"/>
      <c r="C41" s="144"/>
      <c r="D41" s="109"/>
      <c r="E41" s="606"/>
      <c r="F41" s="607"/>
      <c r="G41" s="609"/>
      <c r="H41" s="608"/>
      <c r="I41" s="609"/>
      <c r="J41" s="609"/>
      <c r="K41" s="503"/>
      <c r="L41" s="14"/>
    </row>
    <row r="42" spans="1:15">
      <c r="A42" s="269">
        <v>10</v>
      </c>
      <c r="B42" s="615" t="s">
        <v>332</v>
      </c>
      <c r="C42" s="144">
        <v>5</v>
      </c>
      <c r="D42" s="203" t="s">
        <v>547</v>
      </c>
      <c r="E42" s="230">
        <v>30</v>
      </c>
      <c r="F42" s="144">
        <v>29</v>
      </c>
      <c r="G42" s="609">
        <v>20000</v>
      </c>
      <c r="H42" s="608">
        <v>20000</v>
      </c>
      <c r="I42" s="608">
        <v>20000</v>
      </c>
      <c r="J42" s="609"/>
      <c r="K42" s="503" t="s">
        <v>331</v>
      </c>
      <c r="L42" s="324"/>
    </row>
    <row r="43" spans="1:15">
      <c r="A43" s="269">
        <v>11</v>
      </c>
      <c r="B43" s="443"/>
      <c r="C43" s="144"/>
      <c r="D43" s="109"/>
      <c r="E43" s="606"/>
      <c r="F43" s="609"/>
      <c r="G43" s="609"/>
      <c r="H43" s="608"/>
      <c r="I43" s="609"/>
      <c r="J43" s="609"/>
      <c r="K43" s="503"/>
      <c r="L43" s="324"/>
    </row>
    <row r="44" spans="1:15">
      <c r="A44" s="269">
        <v>12</v>
      </c>
      <c r="B44" s="443"/>
      <c r="C44" s="144"/>
      <c r="D44" s="203"/>
      <c r="E44" s="606"/>
      <c r="F44" s="609"/>
      <c r="G44" s="609"/>
      <c r="H44" s="609"/>
      <c r="I44" s="609"/>
      <c r="J44" s="609"/>
      <c r="K44" s="503"/>
      <c r="L44" s="324"/>
    </row>
    <row r="45" spans="1:15">
      <c r="A45" s="269"/>
      <c r="B45" s="443"/>
      <c r="C45" s="100"/>
      <c r="D45" s="109"/>
      <c r="E45" s="606"/>
      <c r="F45" s="609"/>
      <c r="G45" s="609"/>
      <c r="H45" s="609"/>
      <c r="I45" s="609"/>
      <c r="J45" s="609"/>
      <c r="K45" s="503"/>
      <c r="L45" s="496"/>
    </row>
    <row r="46" spans="1:15">
      <c r="A46" s="269"/>
      <c r="B46" s="443"/>
      <c r="C46" s="100"/>
      <c r="D46" s="109"/>
      <c r="E46" s="606"/>
      <c r="F46" s="609"/>
      <c r="G46" s="609"/>
      <c r="H46" s="609"/>
      <c r="I46" s="616"/>
      <c r="J46" s="609"/>
      <c r="K46" s="503"/>
      <c r="L46" s="324"/>
    </row>
    <row r="47" spans="1:15">
      <c r="A47" s="2"/>
      <c r="B47" s="236" t="s">
        <v>177</v>
      </c>
      <c r="C47" s="6">
        <f>SUM(C33:C46)</f>
        <v>42.06</v>
      </c>
      <c r="D47" s="8"/>
      <c r="E47" s="618">
        <f>SUM(E33:E46)</f>
        <v>384</v>
      </c>
      <c r="F47" s="620"/>
      <c r="G47" s="620">
        <f t="shared" ref="G47:J47" si="1">SUM(G33:G46)</f>
        <v>280439.07</v>
      </c>
      <c r="H47" s="624">
        <f t="shared" si="1"/>
        <v>128772.07</v>
      </c>
      <c r="I47" s="626">
        <f t="shared" si="1"/>
        <v>62000</v>
      </c>
      <c r="J47" s="620">
        <f t="shared" si="1"/>
        <v>0</v>
      </c>
      <c r="K47" s="628">
        <f>H47+J47</f>
        <v>128772.07</v>
      </c>
      <c r="L47" s="14"/>
    </row>
    <row r="48" spans="1:15">
      <c r="A48" s="14"/>
      <c r="B48" s="206"/>
      <c r="C48" s="198"/>
      <c r="D48" s="185"/>
      <c r="E48" s="557"/>
      <c r="F48" s="209"/>
      <c r="G48" s="209"/>
      <c r="H48" s="14"/>
      <c r="I48" s="14"/>
      <c r="J48" s="14"/>
      <c r="K48" s="559"/>
      <c r="L48" s="14"/>
    </row>
    <row r="49" spans="1:27">
      <c r="A49" s="630"/>
      <c r="B49" s="631"/>
      <c r="C49" s="632"/>
      <c r="D49" s="633"/>
      <c r="E49" s="634"/>
      <c r="F49" s="631"/>
      <c r="G49" s="635"/>
      <c r="H49" s="635"/>
      <c r="I49" s="636"/>
      <c r="J49" s="636"/>
      <c r="K49" s="637"/>
      <c r="L49" s="14"/>
    </row>
    <row r="50" spans="1:27">
      <c r="A50" s="638"/>
      <c r="B50" s="639"/>
      <c r="C50" s="150"/>
      <c r="D50" s="641"/>
      <c r="E50" s="642"/>
      <c r="F50" s="237"/>
      <c r="G50" s="150"/>
      <c r="H50" s="270"/>
      <c r="I50" s="237"/>
      <c r="J50" s="237"/>
      <c r="K50" s="643"/>
      <c r="L50" s="451"/>
    </row>
    <row r="51" spans="1:27">
      <c r="A51" s="638"/>
      <c r="B51" s="644"/>
      <c r="C51" s="260"/>
      <c r="D51" s="645"/>
      <c r="E51" s="642"/>
      <c r="F51" s="237"/>
      <c r="G51" s="150"/>
      <c r="H51" s="237"/>
      <c r="I51" s="237"/>
      <c r="J51" s="237"/>
      <c r="K51" s="646"/>
      <c r="L51" s="14"/>
    </row>
    <row r="52" spans="1:27">
      <c r="A52" s="638"/>
      <c r="B52" s="647"/>
      <c r="C52" s="649"/>
      <c r="D52" s="651"/>
      <c r="E52" s="652"/>
      <c r="F52" s="653"/>
      <c r="G52" s="653"/>
      <c r="H52" s="653"/>
      <c r="I52" s="654"/>
      <c r="J52" s="653"/>
      <c r="K52" s="655"/>
      <c r="L52" s="14"/>
    </row>
    <row r="53" spans="1:27">
      <c r="A53" s="638"/>
      <c r="B53" s="644"/>
      <c r="C53" s="260"/>
      <c r="D53" s="645"/>
      <c r="E53" s="642"/>
      <c r="F53" s="237"/>
      <c r="G53" s="270"/>
      <c r="H53" s="270"/>
      <c r="I53" s="237"/>
      <c r="J53" s="237"/>
      <c r="K53" s="646"/>
      <c r="L53" s="14"/>
    </row>
    <row r="54" spans="1:27">
      <c r="A54" s="638"/>
      <c r="B54" s="639"/>
      <c r="C54" s="260"/>
      <c r="D54" s="645"/>
      <c r="E54" s="587"/>
      <c r="F54" s="270"/>
      <c r="G54" s="270"/>
      <c r="H54" s="237"/>
      <c r="I54" s="150"/>
      <c r="J54" s="150"/>
      <c r="K54" s="646"/>
      <c r="L54" s="14"/>
    </row>
    <row r="55" spans="1:27">
      <c r="A55" s="656"/>
      <c r="B55" s="639"/>
      <c r="C55" s="309"/>
      <c r="D55" s="657"/>
      <c r="E55" s="587"/>
      <c r="F55" s="658"/>
      <c r="G55" s="659"/>
      <c r="H55" s="660"/>
      <c r="I55" s="642"/>
      <c r="J55" s="642"/>
      <c r="K55" s="661"/>
      <c r="L55" s="14"/>
    </row>
    <row r="56" spans="1:27">
      <c r="A56" s="662"/>
      <c r="B56" s="663"/>
      <c r="C56" s="664"/>
      <c r="D56" s="665"/>
      <c r="E56" s="666"/>
      <c r="F56" s="668"/>
      <c r="G56" s="669"/>
      <c r="H56" s="670"/>
      <c r="I56" s="671"/>
      <c r="J56" s="671"/>
      <c r="K56" s="672"/>
      <c r="L56" s="14"/>
    </row>
    <row r="57" spans="1:27">
      <c r="A57" s="114"/>
      <c r="B57" s="283"/>
      <c r="C57" s="673"/>
      <c r="D57" s="674"/>
      <c r="E57" s="675"/>
      <c r="F57" s="676"/>
      <c r="G57" s="677"/>
      <c r="H57" s="678"/>
      <c r="I57" s="679"/>
      <c r="J57" s="679"/>
      <c r="K57" s="680"/>
      <c r="L57" s="265"/>
      <c r="M57" s="681"/>
      <c r="N57" s="681"/>
      <c r="O57" s="681"/>
      <c r="P57" s="681"/>
      <c r="Q57" s="681"/>
      <c r="R57" s="681"/>
      <c r="S57" s="681"/>
      <c r="T57" s="681"/>
      <c r="U57" s="681"/>
      <c r="V57" s="681"/>
      <c r="W57" s="681"/>
      <c r="X57" s="681"/>
      <c r="Y57" s="681"/>
      <c r="Z57" s="681"/>
      <c r="AA57" s="681"/>
    </row>
    <row r="58" spans="1:27">
      <c r="A58" s="683" t="s">
        <v>5</v>
      </c>
      <c r="B58" s="684" t="s">
        <v>315</v>
      </c>
      <c r="C58" s="685" t="s">
        <v>159</v>
      </c>
      <c r="D58" s="686" t="s">
        <v>10</v>
      </c>
      <c r="E58" s="687" t="s">
        <v>243</v>
      </c>
      <c r="F58" s="688" t="s">
        <v>244</v>
      </c>
      <c r="G58" s="688" t="s">
        <v>245</v>
      </c>
      <c r="H58" s="689" t="s">
        <v>246</v>
      </c>
      <c r="I58" s="525" t="s">
        <v>532</v>
      </c>
      <c r="J58" s="690" t="s">
        <v>13</v>
      </c>
      <c r="K58" s="691" t="s">
        <v>162</v>
      </c>
      <c r="L58" s="14"/>
    </row>
    <row r="59" spans="1:27">
      <c r="A59" s="139">
        <v>1</v>
      </c>
      <c r="B59" s="692" t="s">
        <v>488</v>
      </c>
      <c r="C59" s="144">
        <v>7.06</v>
      </c>
      <c r="D59" s="234" t="s">
        <v>593</v>
      </c>
      <c r="E59" s="693">
        <v>90</v>
      </c>
      <c r="F59" s="103">
        <v>30</v>
      </c>
      <c r="G59" s="608">
        <v>26250</v>
      </c>
      <c r="H59" s="694">
        <v>26250</v>
      </c>
      <c r="I59" s="100"/>
      <c r="J59" s="100"/>
      <c r="K59" s="230" t="s">
        <v>452</v>
      </c>
      <c r="L59" s="14"/>
    </row>
    <row r="60" spans="1:27">
      <c r="A60" s="139">
        <v>2</v>
      </c>
      <c r="B60" s="692" t="s">
        <v>596</v>
      </c>
      <c r="C60" s="144">
        <v>5</v>
      </c>
      <c r="D60" s="144" t="s">
        <v>597</v>
      </c>
      <c r="E60" s="693">
        <v>120</v>
      </c>
      <c r="F60" s="103">
        <v>30</v>
      </c>
      <c r="G60" s="608">
        <v>120000</v>
      </c>
      <c r="H60" s="694">
        <v>30000</v>
      </c>
      <c r="I60" s="144"/>
      <c r="J60" s="144" t="s">
        <v>275</v>
      </c>
      <c r="K60" s="230" t="s">
        <v>598</v>
      </c>
      <c r="L60" s="14"/>
    </row>
    <row r="61" spans="1:27">
      <c r="A61" s="139">
        <v>3</v>
      </c>
      <c r="B61" s="692" t="s">
        <v>565</v>
      </c>
      <c r="C61" s="144">
        <v>5</v>
      </c>
      <c r="D61" s="144" t="s">
        <v>566</v>
      </c>
      <c r="E61" s="693">
        <v>30</v>
      </c>
      <c r="F61" s="103">
        <v>20</v>
      </c>
      <c r="G61" s="608"/>
      <c r="H61" s="695"/>
      <c r="I61" s="100"/>
      <c r="J61" s="100"/>
      <c r="K61" s="295" t="s">
        <v>118</v>
      </c>
      <c r="L61" s="33" t="s">
        <v>599</v>
      </c>
    </row>
    <row r="62" spans="1:27">
      <c r="A62" s="139">
        <v>4</v>
      </c>
      <c r="B62" s="692" t="s">
        <v>600</v>
      </c>
      <c r="C62" s="144">
        <v>5</v>
      </c>
      <c r="D62" s="144" t="s">
        <v>601</v>
      </c>
      <c r="E62" s="693">
        <v>180</v>
      </c>
      <c r="F62" s="103">
        <v>15</v>
      </c>
      <c r="G62" s="608">
        <v>14000</v>
      </c>
      <c r="H62" s="694">
        <v>7000</v>
      </c>
      <c r="I62" s="144">
        <v>14000</v>
      </c>
      <c r="J62" s="100"/>
      <c r="K62" s="520" t="s">
        <v>567</v>
      </c>
      <c r="L62" s="33" t="s">
        <v>602</v>
      </c>
    </row>
    <row r="63" spans="1:27">
      <c r="A63" s="139">
        <v>5</v>
      </c>
      <c r="B63" s="692" t="s">
        <v>603</v>
      </c>
      <c r="C63" s="144">
        <v>5.03</v>
      </c>
      <c r="D63" s="144" t="s">
        <v>467</v>
      </c>
      <c r="E63" s="693"/>
      <c r="F63" s="103"/>
      <c r="G63" s="608"/>
      <c r="H63" s="695"/>
      <c r="I63" s="100"/>
      <c r="J63" s="100"/>
      <c r="K63" s="230" t="s">
        <v>118</v>
      </c>
      <c r="L63" s="14"/>
    </row>
    <row r="64" spans="1:27">
      <c r="A64" s="139">
        <v>6</v>
      </c>
      <c r="B64" s="692" t="s">
        <v>461</v>
      </c>
      <c r="C64" s="144">
        <v>5</v>
      </c>
      <c r="D64" s="144" t="s">
        <v>566</v>
      </c>
      <c r="E64" s="693">
        <v>365</v>
      </c>
      <c r="F64" s="103">
        <v>22</v>
      </c>
      <c r="G64" s="608">
        <v>14000</v>
      </c>
      <c r="H64" s="694">
        <v>10266</v>
      </c>
      <c r="I64" s="100"/>
      <c r="J64" s="100"/>
      <c r="K64" s="230" t="s">
        <v>604</v>
      </c>
      <c r="L64" s="33" t="s">
        <v>605</v>
      </c>
    </row>
    <row r="65" spans="1:27">
      <c r="A65" s="139">
        <v>7</v>
      </c>
      <c r="B65" s="692" t="s">
        <v>448</v>
      </c>
      <c r="C65" s="144">
        <v>10</v>
      </c>
      <c r="D65" s="144" t="s">
        <v>467</v>
      </c>
      <c r="E65" s="552"/>
      <c r="F65" s="233"/>
      <c r="G65" s="609"/>
      <c r="H65" s="609"/>
      <c r="I65" s="100"/>
      <c r="J65" s="100"/>
      <c r="K65" s="230" t="s">
        <v>118</v>
      </c>
      <c r="L65" s="14"/>
    </row>
    <row r="66" spans="1:27">
      <c r="A66" s="139">
        <v>8</v>
      </c>
      <c r="B66" s="692" t="s">
        <v>135</v>
      </c>
      <c r="C66" s="144">
        <v>5</v>
      </c>
      <c r="D66" s="698" t="s">
        <v>527</v>
      </c>
      <c r="E66" s="693">
        <v>30</v>
      </c>
      <c r="F66" s="144">
        <v>9</v>
      </c>
      <c r="G66" s="608">
        <v>20000</v>
      </c>
      <c r="H66" s="608">
        <v>6000</v>
      </c>
      <c r="I66" s="144">
        <v>20000</v>
      </c>
      <c r="J66" s="100"/>
      <c r="K66" s="230" t="s">
        <v>567</v>
      </c>
      <c r="L66" s="14"/>
    </row>
    <row r="67" spans="1:27">
      <c r="A67" s="139">
        <v>9</v>
      </c>
      <c r="B67" s="692" t="s">
        <v>606</v>
      </c>
      <c r="C67" s="144">
        <v>5</v>
      </c>
      <c r="D67" s="699" t="s">
        <v>607</v>
      </c>
      <c r="E67" s="587"/>
      <c r="F67" s="270"/>
      <c r="G67" s="700"/>
      <c r="H67" s="620"/>
      <c r="I67" s="59"/>
      <c r="J67" s="144"/>
      <c r="K67" s="309" t="s">
        <v>118</v>
      </c>
      <c r="L67" s="33" t="s">
        <v>608</v>
      </c>
    </row>
    <row r="68" spans="1:27">
      <c r="A68" s="139"/>
      <c r="B68" s="236"/>
      <c r="C68" s="6"/>
      <c r="D68" s="8"/>
      <c r="E68" s="618"/>
      <c r="F68" s="220"/>
      <c r="G68" s="620"/>
      <c r="H68" s="620"/>
      <c r="I68" s="558"/>
      <c r="J68" s="220"/>
      <c r="K68" s="594"/>
      <c r="L68" s="14"/>
    </row>
    <row r="69" spans="1:27">
      <c r="A69" s="132"/>
      <c r="B69" s="236" t="s">
        <v>177</v>
      </c>
      <c r="C69" s="6">
        <f>SUM(C54:C67)</f>
        <v>52.09</v>
      </c>
      <c r="D69" s="8"/>
      <c r="E69" s="532">
        <f>SUM(E54:E68)</f>
        <v>815</v>
      </c>
      <c r="F69" s="220"/>
      <c r="G69" s="620">
        <f t="shared" ref="G69:J69" si="2">SUM(G59:G68)</f>
        <v>194250</v>
      </c>
      <c r="H69" s="701">
        <f t="shared" si="2"/>
        <v>79516</v>
      </c>
      <c r="I69" s="554">
        <f t="shared" si="2"/>
        <v>34000</v>
      </c>
      <c r="J69" s="220">
        <f t="shared" si="2"/>
        <v>0</v>
      </c>
      <c r="K69" s="628">
        <f>H69+J69</f>
        <v>79516</v>
      </c>
      <c r="L69" s="14"/>
    </row>
    <row r="70" spans="1:27">
      <c r="A70" s="702"/>
      <c r="B70" s="283"/>
      <c r="C70" s="673"/>
      <c r="D70" s="674"/>
      <c r="E70" s="675"/>
      <c r="F70" s="676"/>
      <c r="G70" s="677"/>
      <c r="H70" s="703"/>
      <c r="I70" s="704"/>
      <c r="J70" s="220"/>
      <c r="K70" s="309"/>
      <c r="L70" s="265"/>
      <c r="M70" s="681"/>
      <c r="N70" s="681"/>
      <c r="O70" s="681"/>
      <c r="P70" s="681"/>
      <c r="Q70" s="681"/>
      <c r="R70" s="681"/>
      <c r="S70" s="681"/>
      <c r="T70" s="681"/>
      <c r="U70" s="681"/>
      <c r="V70" s="681"/>
      <c r="W70" s="681"/>
      <c r="X70" s="681"/>
      <c r="Y70" s="681"/>
      <c r="Z70" s="681"/>
      <c r="AA70" s="681"/>
    </row>
    <row r="71" spans="1:27">
      <c r="A71" s="630"/>
      <c r="B71" s="631"/>
      <c r="C71" s="632"/>
      <c r="D71" s="633"/>
      <c r="E71" s="634"/>
      <c r="F71" s="631"/>
      <c r="G71" s="635"/>
      <c r="H71" s="635"/>
      <c r="I71" s="636"/>
      <c r="J71" s="636"/>
      <c r="K71" s="637"/>
      <c r="L71" s="14"/>
    </row>
    <row r="72" spans="1:27">
      <c r="A72" s="638"/>
      <c r="B72" s="639"/>
      <c r="C72" s="150"/>
      <c r="D72" s="641"/>
      <c r="E72" s="642"/>
      <c r="F72" s="237"/>
      <c r="G72" s="150"/>
      <c r="H72" s="270"/>
      <c r="I72" s="237"/>
      <c r="J72" s="237"/>
      <c r="K72" s="643"/>
      <c r="L72" s="14"/>
    </row>
    <row r="73" spans="1:27">
      <c r="A73" s="638"/>
      <c r="B73" s="644"/>
      <c r="C73" s="260"/>
      <c r="D73" s="645"/>
      <c r="E73" s="642"/>
      <c r="F73" s="237"/>
      <c r="G73" s="150"/>
      <c r="H73" s="237"/>
      <c r="I73" s="237"/>
      <c r="J73" s="237"/>
      <c r="K73" s="646"/>
      <c r="L73" s="14"/>
    </row>
    <row r="74" spans="1:27">
      <c r="A74" s="638"/>
      <c r="B74" s="647"/>
      <c r="C74" s="649"/>
      <c r="D74" s="651"/>
      <c r="E74" s="652"/>
      <c r="F74" s="653"/>
      <c r="G74" s="653"/>
      <c r="H74" s="653"/>
      <c r="I74" s="654"/>
      <c r="J74" s="653"/>
      <c r="K74" s="655"/>
      <c r="L74" s="14"/>
    </row>
    <row r="75" spans="1:27">
      <c r="A75" s="638"/>
      <c r="B75" s="644"/>
      <c r="C75" s="260"/>
      <c r="D75" s="645"/>
      <c r="E75" s="642"/>
      <c r="F75" s="237"/>
      <c r="G75" s="270"/>
      <c r="H75" s="270"/>
      <c r="I75" s="237"/>
      <c r="J75" s="237"/>
      <c r="K75" s="646"/>
      <c r="L75" s="14"/>
    </row>
    <row r="76" spans="1:27">
      <c r="A76" s="638"/>
      <c r="B76" s="639"/>
      <c r="C76" s="260"/>
      <c r="D76" s="645"/>
      <c r="E76" s="587"/>
      <c r="F76" s="270"/>
      <c r="G76" s="270"/>
      <c r="H76" s="237"/>
      <c r="I76" s="150"/>
      <c r="J76" s="150"/>
      <c r="K76" s="646"/>
      <c r="L76" s="14"/>
    </row>
    <row r="77" spans="1:27">
      <c r="A77" s="656"/>
      <c r="B77" s="639"/>
      <c r="C77" s="309"/>
      <c r="D77" s="657"/>
      <c r="E77" s="587"/>
      <c r="F77" s="658"/>
      <c r="G77" s="659"/>
      <c r="H77" s="660"/>
      <c r="I77" s="642"/>
      <c r="J77" s="642"/>
      <c r="K77" s="661"/>
      <c r="L77" s="14"/>
    </row>
    <row r="78" spans="1:27">
      <c r="A78" s="662"/>
      <c r="B78" s="663"/>
      <c r="C78" s="664"/>
      <c r="D78" s="665"/>
      <c r="E78" s="666"/>
      <c r="F78" s="668"/>
      <c r="G78" s="669"/>
      <c r="H78" s="670"/>
      <c r="I78" s="671"/>
      <c r="J78" s="671"/>
      <c r="K78" s="672"/>
      <c r="L78" s="14"/>
    </row>
    <row r="79" spans="1:27">
      <c r="A79" s="705"/>
      <c r="B79" s="706"/>
      <c r="C79" s="707"/>
      <c r="D79" s="708"/>
      <c r="E79" s="709"/>
      <c r="F79" s="710"/>
      <c r="G79" s="711"/>
      <c r="H79" s="712"/>
      <c r="I79" s="707"/>
      <c r="J79" s="713"/>
      <c r="K79" s="714"/>
      <c r="L79" s="265"/>
      <c r="M79" s="681"/>
      <c r="N79" s="681"/>
      <c r="O79" s="681"/>
      <c r="P79" s="681"/>
      <c r="Q79" s="681"/>
      <c r="R79" s="681"/>
      <c r="S79" s="681"/>
      <c r="T79" s="681"/>
      <c r="U79" s="681"/>
      <c r="V79" s="681"/>
      <c r="W79" s="681"/>
      <c r="X79" s="681"/>
      <c r="Y79" s="681"/>
      <c r="Z79" s="681"/>
      <c r="AA79" s="681"/>
    </row>
    <row r="80" spans="1:27">
      <c r="A80" s="269"/>
      <c r="B80" s="335" t="s">
        <v>375</v>
      </c>
      <c r="C80" s="217"/>
      <c r="D80" s="129" t="s">
        <v>10</v>
      </c>
      <c r="E80" s="288" t="s">
        <v>243</v>
      </c>
      <c r="F80" s="289" t="s">
        <v>244</v>
      </c>
      <c r="G80" s="290" t="s">
        <v>245</v>
      </c>
      <c r="H80" s="291" t="s">
        <v>246</v>
      </c>
      <c r="I80" s="716" t="s">
        <v>532</v>
      </c>
      <c r="J80" s="22" t="s">
        <v>13</v>
      </c>
      <c r="K80" s="717" t="s">
        <v>162</v>
      </c>
      <c r="L80" s="14"/>
    </row>
    <row r="81" spans="1:12">
      <c r="A81" s="2">
        <v>1</v>
      </c>
      <c r="B81" s="4" t="s">
        <v>101</v>
      </c>
      <c r="C81" s="59"/>
      <c r="D81" s="45" t="s">
        <v>148</v>
      </c>
      <c r="E81" s="545">
        <v>31</v>
      </c>
      <c r="F81" s="59">
        <v>31</v>
      </c>
      <c r="G81" s="223">
        <v>27000</v>
      </c>
      <c r="H81" s="718">
        <v>27000</v>
      </c>
      <c r="I81" s="59">
        <v>27000</v>
      </c>
      <c r="J81" s="6"/>
      <c r="K81" s="230" t="s">
        <v>331</v>
      </c>
      <c r="L81" s="340" t="s">
        <v>609</v>
      </c>
    </row>
    <row r="82" spans="1:12">
      <c r="A82" s="116"/>
      <c r="B82" s="172"/>
      <c r="C82" s="116"/>
      <c r="D82" s="118"/>
      <c r="E82" s="719"/>
      <c r="F82" s="255"/>
      <c r="G82" s="323" t="s">
        <v>177</v>
      </c>
      <c r="H82" s="238">
        <f>H81</f>
        <v>27000</v>
      </c>
      <c r="I82" s="720">
        <f>SUM(I81)</f>
        <v>27000</v>
      </c>
      <c r="J82" s="116"/>
      <c r="K82" s="606"/>
      <c r="L82" s="14"/>
    </row>
    <row r="83" spans="1:12">
      <c r="A83" s="219" t="s">
        <v>5</v>
      </c>
      <c r="B83" s="177" t="s">
        <v>106</v>
      </c>
      <c r="C83" s="217"/>
      <c r="D83" s="129" t="s">
        <v>10</v>
      </c>
      <c r="E83" s="288" t="s">
        <v>243</v>
      </c>
      <c r="F83" s="289" t="s">
        <v>244</v>
      </c>
      <c r="G83" s="290" t="s">
        <v>245</v>
      </c>
      <c r="H83" s="291" t="s">
        <v>246</v>
      </c>
      <c r="I83" s="716" t="s">
        <v>532</v>
      </c>
      <c r="J83" s="22" t="s">
        <v>13</v>
      </c>
      <c r="K83" s="717" t="s">
        <v>162</v>
      </c>
      <c r="L83" s="14"/>
    </row>
    <row r="84" spans="1:12">
      <c r="A84" s="100">
        <v>1</v>
      </c>
      <c r="B84" s="181" t="s">
        <v>101</v>
      </c>
      <c r="C84" s="144"/>
      <c r="D84" s="203" t="s">
        <v>148</v>
      </c>
      <c r="E84" s="693">
        <v>31</v>
      </c>
      <c r="F84" s="144">
        <v>31</v>
      </c>
      <c r="G84" s="258">
        <v>25000</v>
      </c>
      <c r="H84" s="722">
        <v>25000</v>
      </c>
      <c r="I84" s="59">
        <v>25000</v>
      </c>
      <c r="J84" s="723"/>
      <c r="K84" s="230" t="s">
        <v>331</v>
      </c>
      <c r="L84" s="340" t="s">
        <v>614</v>
      </c>
    </row>
    <row r="85" spans="1:12">
      <c r="A85" s="14"/>
      <c r="B85" s="183"/>
      <c r="C85" s="14"/>
      <c r="D85" s="185"/>
      <c r="E85" s="557"/>
      <c r="F85" s="209"/>
      <c r="G85" s="323" t="s">
        <v>177</v>
      </c>
      <c r="H85" s="238">
        <f>H84</f>
        <v>25000</v>
      </c>
      <c r="I85" s="720">
        <f>SUM(I84)</f>
        <v>25000</v>
      </c>
      <c r="J85" s="14"/>
      <c r="K85" s="606"/>
      <c r="L85" s="14"/>
    </row>
    <row r="86" spans="1:12">
      <c r="A86" s="219" t="s">
        <v>5</v>
      </c>
      <c r="B86" s="191" t="s">
        <v>122</v>
      </c>
      <c r="C86" s="189"/>
      <c r="D86" s="129" t="s">
        <v>10</v>
      </c>
      <c r="E86" s="288" t="s">
        <v>243</v>
      </c>
      <c r="F86" s="289" t="s">
        <v>244</v>
      </c>
      <c r="G86" s="290" t="s">
        <v>245</v>
      </c>
      <c r="H86" s="291" t="s">
        <v>246</v>
      </c>
      <c r="I86" s="217" t="s">
        <v>532</v>
      </c>
      <c r="J86" s="22" t="s">
        <v>13</v>
      </c>
      <c r="K86" s="717" t="s">
        <v>162</v>
      </c>
      <c r="L86" s="33" t="s">
        <v>470</v>
      </c>
    </row>
    <row r="87" spans="1:12">
      <c r="A87" s="2" t="s">
        <v>114</v>
      </c>
      <c r="B87" s="4" t="s">
        <v>128</v>
      </c>
      <c r="C87" s="59"/>
      <c r="D87" s="45" t="s">
        <v>148</v>
      </c>
      <c r="E87" s="545">
        <v>31</v>
      </c>
      <c r="F87" s="47">
        <v>31</v>
      </c>
      <c r="G87" s="223">
        <v>25000</v>
      </c>
      <c r="H87" s="221">
        <f>G87/E87*F87</f>
        <v>25000</v>
      </c>
      <c r="I87" s="6"/>
      <c r="J87" s="6"/>
      <c r="K87" s="230" t="s">
        <v>604</v>
      </c>
      <c r="L87" s="14"/>
    </row>
    <row r="88" spans="1:12">
      <c r="A88" s="59" t="s">
        <v>151</v>
      </c>
      <c r="B88" s="4" t="s">
        <v>536</v>
      </c>
      <c r="C88" s="59"/>
      <c r="D88" s="45" t="s">
        <v>621</v>
      </c>
      <c r="E88" s="545"/>
      <c r="F88" s="47"/>
      <c r="G88" s="223"/>
      <c r="H88" s="221"/>
      <c r="I88" s="6"/>
      <c r="J88" s="6"/>
      <c r="K88" s="726" t="s">
        <v>118</v>
      </c>
      <c r="L88" s="14"/>
    </row>
    <row r="89" spans="1:12">
      <c r="A89" s="59" t="s">
        <v>152</v>
      </c>
      <c r="B89" s="253" t="s">
        <v>622</v>
      </c>
      <c r="C89" s="59"/>
      <c r="D89" s="45"/>
      <c r="E89" s="545">
        <v>180</v>
      </c>
      <c r="F89" s="47"/>
      <c r="G89" s="223">
        <v>127500</v>
      </c>
      <c r="H89" s="222">
        <v>21250</v>
      </c>
      <c r="I89" s="59">
        <v>21250</v>
      </c>
      <c r="J89" s="6"/>
      <c r="K89" s="309" t="s">
        <v>567</v>
      </c>
      <c r="L89" s="33"/>
    </row>
    <row r="90" spans="1:12">
      <c r="A90" s="454" t="s">
        <v>153</v>
      </c>
      <c r="B90" s="481"/>
      <c r="C90" s="454"/>
      <c r="D90" s="477"/>
      <c r="E90" s="543"/>
      <c r="F90" s="456"/>
      <c r="G90" s="478"/>
      <c r="H90" s="498"/>
      <c r="I90" s="479"/>
      <c r="J90" s="479"/>
      <c r="K90" s="503" t="s">
        <v>331</v>
      </c>
      <c r="L90" s="501"/>
    </row>
    <row r="91" spans="1:12">
      <c r="A91" s="454" t="s">
        <v>132</v>
      </c>
      <c r="B91" s="453" t="s">
        <v>536</v>
      </c>
      <c r="C91" s="454"/>
      <c r="D91" s="477" t="s">
        <v>621</v>
      </c>
      <c r="E91" s="543"/>
      <c r="F91" s="456"/>
      <c r="G91" s="478"/>
      <c r="H91" s="498"/>
      <c r="I91" s="727"/>
      <c r="J91" s="479"/>
      <c r="K91" s="503" t="s">
        <v>118</v>
      </c>
      <c r="L91" s="501"/>
    </row>
    <row r="92" spans="1:12">
      <c r="A92" s="14"/>
      <c r="B92" s="183"/>
      <c r="C92" s="14"/>
      <c r="D92" s="185"/>
      <c r="E92" s="557"/>
      <c r="F92" s="209"/>
      <c r="G92" s="236" t="s">
        <v>177</v>
      </c>
      <c r="H92" s="728">
        <f t="shared" ref="H92:I92" si="3">SUM(H87:H91)</f>
        <v>46250</v>
      </c>
      <c r="I92" s="729">
        <f t="shared" si="3"/>
        <v>21250</v>
      </c>
      <c r="J92" s="14"/>
      <c r="K92" s="606"/>
      <c r="L92" s="14"/>
    </row>
    <row r="93" spans="1:12">
      <c r="A93" s="265"/>
      <c r="B93" s="730"/>
      <c r="C93" s="265"/>
      <c r="D93" s="731"/>
      <c r="E93" s="732"/>
      <c r="F93" s="733"/>
      <c r="G93" s="732"/>
      <c r="H93" s="732"/>
      <c r="I93" s="734"/>
      <c r="J93" s="704"/>
      <c r="K93" s="309"/>
      <c r="L93" s="14"/>
    </row>
    <row r="94" spans="1:12">
      <c r="A94" s="265"/>
      <c r="B94" s="730"/>
      <c r="C94" s="265"/>
      <c r="D94" s="731"/>
      <c r="E94" s="732"/>
      <c r="F94" s="733"/>
      <c r="G94" s="732"/>
      <c r="H94" s="732"/>
      <c r="I94" s="734"/>
      <c r="J94" s="704"/>
      <c r="K94" s="309"/>
      <c r="L94" s="14"/>
    </row>
    <row r="95" spans="1:12">
      <c r="A95" s="219" t="s">
        <v>5</v>
      </c>
      <c r="B95" s="342" t="s">
        <v>316</v>
      </c>
      <c r="C95" s="217"/>
      <c r="D95" s="129" t="s">
        <v>10</v>
      </c>
      <c r="E95" s="288" t="s">
        <v>243</v>
      </c>
      <c r="F95" s="289" t="s">
        <v>244</v>
      </c>
      <c r="G95" s="290" t="s">
        <v>245</v>
      </c>
      <c r="H95" s="291" t="s">
        <v>246</v>
      </c>
      <c r="I95" s="217" t="s">
        <v>532</v>
      </c>
      <c r="J95" s="22" t="s">
        <v>13</v>
      </c>
      <c r="K95" s="717" t="s">
        <v>162</v>
      </c>
      <c r="L95" s="287"/>
    </row>
    <row r="96" spans="1:12">
      <c r="A96" s="132" t="s">
        <v>458</v>
      </c>
      <c r="B96" s="284" t="s">
        <v>317</v>
      </c>
      <c r="C96" s="144"/>
      <c r="D96" s="645" t="s">
        <v>627</v>
      </c>
      <c r="E96" s="693">
        <v>30</v>
      </c>
      <c r="F96" s="103">
        <v>23</v>
      </c>
      <c r="G96" s="353">
        <v>28000</v>
      </c>
      <c r="H96" s="353">
        <v>21466</v>
      </c>
      <c r="I96" s="144">
        <v>28000</v>
      </c>
      <c r="J96" s="100"/>
      <c r="K96" s="230" t="s">
        <v>567</v>
      </c>
      <c r="L96" s="287"/>
    </row>
    <row r="97" spans="1:12">
      <c r="A97" s="132" t="s">
        <v>459</v>
      </c>
      <c r="B97" s="284" t="s">
        <v>568</v>
      </c>
      <c r="C97" s="100"/>
      <c r="D97" s="203"/>
      <c r="E97" s="587">
        <v>180</v>
      </c>
      <c r="F97" s="237"/>
      <c r="G97" s="449"/>
      <c r="H97" s="735">
        <v>21250</v>
      </c>
      <c r="I97" s="144">
        <v>21250</v>
      </c>
      <c r="J97" s="144"/>
      <c r="K97" s="309" t="s">
        <v>210</v>
      </c>
      <c r="L97" s="325"/>
    </row>
    <row r="98" spans="1:12">
      <c r="A98" s="132" t="s">
        <v>460</v>
      </c>
      <c r="B98" s="284"/>
      <c r="C98" s="100"/>
      <c r="D98" s="203"/>
      <c r="E98" s="587"/>
      <c r="F98" s="237"/>
      <c r="G98" s="355"/>
      <c r="H98" s="473"/>
      <c r="I98" s="144"/>
      <c r="J98" s="144"/>
      <c r="K98" s="309"/>
      <c r="L98" s="325"/>
    </row>
    <row r="99" spans="1:12">
      <c r="A99" s="132"/>
      <c r="B99" s="181"/>
      <c r="C99" s="100"/>
      <c r="D99" s="109"/>
      <c r="E99" s="587"/>
      <c r="F99" s="237"/>
      <c r="G99" s="323" t="s">
        <v>177</v>
      </c>
      <c r="H99" s="238">
        <f t="shared" ref="H99:I99" si="4">SUM(H96:H98)</f>
        <v>42716</v>
      </c>
      <c r="I99" s="736">
        <f t="shared" si="4"/>
        <v>49250</v>
      </c>
      <c r="J99" s="144"/>
      <c r="K99" s="309"/>
      <c r="L99" s="287"/>
    </row>
    <row r="100" spans="1:12">
      <c r="A100" s="265"/>
      <c r="B100" s="730"/>
      <c r="C100" s="265"/>
      <c r="D100" s="731"/>
      <c r="E100" s="732"/>
      <c r="F100" s="733"/>
      <c r="G100" s="737"/>
      <c r="H100" s="703"/>
      <c r="I100" s="734"/>
      <c r="J100" s="704"/>
      <c r="K100" s="734"/>
      <c r="L100" s="14"/>
    </row>
    <row r="101" spans="1:12">
      <c r="A101" s="265"/>
      <c r="B101" s="730"/>
      <c r="C101" s="265"/>
      <c r="D101" s="731"/>
      <c r="E101" s="732"/>
      <c r="F101" s="733"/>
      <c r="G101" s="737"/>
      <c r="H101" s="703"/>
      <c r="I101" s="734"/>
      <c r="J101" s="704"/>
      <c r="K101" s="734"/>
      <c r="L101" s="14"/>
    </row>
    <row r="102" spans="1:12">
      <c r="A102" s="219" t="s">
        <v>5</v>
      </c>
      <c r="B102" s="196" t="s">
        <v>111</v>
      </c>
      <c r="C102" s="189"/>
      <c r="D102" s="514" t="s">
        <v>10</v>
      </c>
      <c r="E102" s="515" t="s">
        <v>243</v>
      </c>
      <c r="F102" s="516" t="s">
        <v>244</v>
      </c>
      <c r="G102" s="738" t="s">
        <v>245</v>
      </c>
      <c r="H102" s="739" t="s">
        <v>246</v>
      </c>
      <c r="I102" s="217" t="s">
        <v>532</v>
      </c>
      <c r="J102" s="740" t="s">
        <v>13</v>
      </c>
      <c r="K102" s="741" t="s">
        <v>162</v>
      </c>
      <c r="L102" s="14"/>
    </row>
    <row r="103" spans="1:12">
      <c r="A103" s="2" t="s">
        <v>114</v>
      </c>
      <c r="B103" s="742" t="s">
        <v>628</v>
      </c>
      <c r="C103" s="59"/>
      <c r="D103" s="45"/>
      <c r="E103" s="545"/>
      <c r="F103" s="47"/>
      <c r="G103" s="223"/>
      <c r="H103" s="223"/>
      <c r="I103" s="6"/>
      <c r="J103" s="6"/>
      <c r="K103" s="230" t="s">
        <v>331</v>
      </c>
      <c r="L103" s="33" t="s">
        <v>629</v>
      </c>
    </row>
    <row r="104" spans="1:12">
      <c r="A104" s="6" t="s">
        <v>119</v>
      </c>
      <c r="B104" s="742" t="s">
        <v>630</v>
      </c>
      <c r="C104" s="59"/>
      <c r="D104" s="45"/>
      <c r="E104" s="545"/>
      <c r="F104" s="47"/>
      <c r="G104" s="223"/>
      <c r="H104" s="223"/>
      <c r="I104" s="198"/>
      <c r="J104" s="6"/>
      <c r="K104" s="230" t="s">
        <v>331</v>
      </c>
      <c r="L104" s="14"/>
    </row>
    <row r="105" spans="1:12">
      <c r="A105" s="116"/>
      <c r="B105" s="443"/>
      <c r="C105" s="116"/>
      <c r="D105" s="118"/>
      <c r="E105" s="719"/>
      <c r="F105" s="255"/>
      <c r="G105" s="236" t="s">
        <v>177</v>
      </c>
      <c r="H105" s="522">
        <f t="shared" ref="H105:I105" si="5">SUM(H103:H104)</f>
        <v>0</v>
      </c>
      <c r="I105" s="729">
        <f t="shared" si="5"/>
        <v>0</v>
      </c>
      <c r="J105" s="116"/>
      <c r="K105" s="642"/>
      <c r="L105" s="33"/>
    </row>
    <row r="106" spans="1:12">
      <c r="A106" s="14"/>
      <c r="B106" s="183"/>
      <c r="C106" s="14"/>
      <c r="D106" s="185"/>
      <c r="E106" s="557"/>
      <c r="F106" s="209"/>
      <c r="G106" s="209"/>
      <c r="H106" s="14"/>
      <c r="I106" s="14"/>
      <c r="J106" s="14"/>
      <c r="K106" s="743"/>
      <c r="L106" s="14"/>
    </row>
    <row r="107" spans="1:12">
      <c r="C107" s="499"/>
      <c r="E107" s="287"/>
      <c r="I107" s="499"/>
      <c r="K107" s="287"/>
      <c r="L107" s="287"/>
    </row>
    <row r="108" spans="1:12">
      <c r="A108" s="357" t="s">
        <v>5</v>
      </c>
      <c r="B108" s="358" t="s">
        <v>319</v>
      </c>
      <c r="C108" s="510"/>
      <c r="D108" s="360" t="s">
        <v>10</v>
      </c>
      <c r="E108" s="361" t="s">
        <v>243</v>
      </c>
      <c r="F108" s="362" t="s">
        <v>244</v>
      </c>
      <c r="G108" s="362" t="s">
        <v>245</v>
      </c>
      <c r="H108" s="363" t="s">
        <v>246</v>
      </c>
      <c r="I108" s="744" t="s">
        <v>532</v>
      </c>
      <c r="J108" s="363" t="s">
        <v>13</v>
      </c>
      <c r="K108" s="745" t="s">
        <v>162</v>
      </c>
      <c r="L108" s="287"/>
    </row>
    <row r="109" spans="1:12">
      <c r="A109" s="365">
        <v>14</v>
      </c>
      <c r="B109" s="371" t="s">
        <v>317</v>
      </c>
      <c r="C109" s="511"/>
      <c r="D109" s="457" t="s">
        <v>541</v>
      </c>
      <c r="E109" s="746">
        <v>31</v>
      </c>
      <c r="F109" s="747">
        <v>31</v>
      </c>
      <c r="G109" s="547">
        <v>25000</v>
      </c>
      <c r="H109" s="547">
        <v>25000</v>
      </c>
      <c r="I109" s="748">
        <v>25000</v>
      </c>
      <c r="J109" s="7"/>
      <c r="K109" s="230" t="s">
        <v>210</v>
      </c>
      <c r="L109" s="325"/>
    </row>
    <row r="110" spans="1:12">
      <c r="A110" s="370"/>
      <c r="B110" s="371"/>
      <c r="C110" s="511"/>
      <c r="D110" s="371"/>
      <c r="E110" s="749"/>
      <c r="F110" s="368"/>
      <c r="G110" s="549"/>
      <c r="H110" s="547"/>
      <c r="I110" s="750"/>
      <c r="J110" s="7"/>
      <c r="K110" s="752"/>
      <c r="L110" s="287"/>
    </row>
    <row r="111" spans="1:12">
      <c r="A111" s="753">
        <v>38</v>
      </c>
      <c r="B111" s="754" t="s">
        <v>548</v>
      </c>
      <c r="C111" s="755"/>
      <c r="D111" s="756" t="s">
        <v>549</v>
      </c>
      <c r="E111" s="758">
        <v>30</v>
      </c>
      <c r="F111" s="759">
        <v>18</v>
      </c>
      <c r="G111" s="761">
        <v>24000</v>
      </c>
      <c r="H111" s="762">
        <v>14400</v>
      </c>
      <c r="I111" s="763"/>
      <c r="J111" s="369"/>
      <c r="K111" s="230" t="s">
        <v>604</v>
      </c>
      <c r="L111" s="325"/>
    </row>
    <row r="112" spans="1:12">
      <c r="A112" s="753"/>
      <c r="B112" s="235"/>
      <c r="C112" s="755"/>
      <c r="D112" s="235"/>
      <c r="E112" s="652"/>
      <c r="F112" s="653"/>
      <c r="G112" s="764" t="s">
        <v>177</v>
      </c>
      <c r="H112" s="765">
        <f t="shared" ref="H112:I112" si="6">SUM(H109:H111)</f>
        <v>39400</v>
      </c>
      <c r="I112" s="766">
        <f t="shared" si="6"/>
        <v>25000</v>
      </c>
      <c r="J112" s="369"/>
      <c r="K112" s="767"/>
    </row>
    <row r="113" spans="1:12">
      <c r="C113" s="499"/>
      <c r="E113" s="287"/>
      <c r="I113" s="499"/>
      <c r="K113" s="287"/>
      <c r="L113" s="768"/>
    </row>
    <row r="114" spans="1:12">
      <c r="C114" s="499"/>
      <c r="E114" s="287"/>
      <c r="I114" s="499"/>
      <c r="K114" s="287"/>
    </row>
    <row r="115" spans="1:12">
      <c r="A115" s="219" t="s">
        <v>5</v>
      </c>
      <c r="B115" s="342" t="s">
        <v>323</v>
      </c>
      <c r="C115" s="187"/>
      <c r="D115" s="129" t="s">
        <v>10</v>
      </c>
      <c r="E115" s="288" t="s">
        <v>243</v>
      </c>
      <c r="F115" s="289" t="s">
        <v>244</v>
      </c>
      <c r="G115" s="290" t="s">
        <v>245</v>
      </c>
      <c r="H115" s="291" t="s">
        <v>246</v>
      </c>
      <c r="I115" s="217" t="s">
        <v>532</v>
      </c>
      <c r="J115" s="22" t="s">
        <v>13</v>
      </c>
      <c r="K115" s="717" t="s">
        <v>162</v>
      </c>
    </row>
    <row r="116" spans="1:12">
      <c r="A116" s="132" t="s">
        <v>114</v>
      </c>
      <c r="B116" s="4"/>
      <c r="C116" s="59"/>
      <c r="D116" s="51"/>
      <c r="E116" s="545"/>
      <c r="F116" s="47"/>
      <c r="G116" s="223"/>
      <c r="H116" s="222"/>
      <c r="I116" s="6"/>
      <c r="J116" s="6"/>
      <c r="K116" s="230"/>
    </row>
    <row r="117" spans="1:12">
      <c r="A117" s="482" t="s">
        <v>119</v>
      </c>
      <c r="B117" s="481"/>
      <c r="C117" s="454"/>
      <c r="D117" s="454"/>
      <c r="E117" s="543"/>
      <c r="F117" s="456"/>
      <c r="G117" s="478"/>
      <c r="H117" s="498"/>
      <c r="I117" s="727"/>
      <c r="J117" s="479"/>
      <c r="K117" s="503"/>
      <c r="L117" s="521"/>
    </row>
    <row r="118" spans="1:12">
      <c r="A118" s="132"/>
      <c r="B118" s="29"/>
      <c r="C118" s="6"/>
      <c r="D118" s="8"/>
      <c r="E118" s="675"/>
      <c r="F118" s="221"/>
      <c r="G118" s="236" t="s">
        <v>177</v>
      </c>
      <c r="H118" s="264">
        <f t="shared" ref="H118:I118" si="7">SUM(H116:H117)</f>
        <v>0</v>
      </c>
      <c r="I118" s="770">
        <f t="shared" si="7"/>
        <v>0</v>
      </c>
      <c r="J118" s="59"/>
      <c r="K118" s="309"/>
    </row>
    <row r="119" spans="1:12">
      <c r="C119" s="499"/>
      <c r="E119" s="287"/>
      <c r="I119" s="499"/>
      <c r="K119" s="287"/>
    </row>
    <row r="120" spans="1:12">
      <c r="C120" s="499"/>
      <c r="E120" s="287"/>
      <c r="I120" s="499"/>
      <c r="K120" s="287"/>
    </row>
    <row r="121" spans="1:12">
      <c r="A121" s="219" t="s">
        <v>5</v>
      </c>
      <c r="B121" s="342" t="s">
        <v>325</v>
      </c>
      <c r="C121" s="187"/>
      <c r="D121" s="129" t="s">
        <v>10</v>
      </c>
      <c r="E121" s="288" t="s">
        <v>243</v>
      </c>
      <c r="F121" s="289" t="s">
        <v>244</v>
      </c>
      <c r="G121" s="290" t="s">
        <v>245</v>
      </c>
      <c r="H121" s="291" t="s">
        <v>246</v>
      </c>
      <c r="I121" s="217" t="s">
        <v>532</v>
      </c>
      <c r="J121" s="22" t="s">
        <v>13</v>
      </c>
      <c r="K121" s="717" t="s">
        <v>162</v>
      </c>
    </row>
    <row r="122" spans="1:12">
      <c r="A122" s="452" t="s">
        <v>114</v>
      </c>
      <c r="B122" s="481" t="s">
        <v>134</v>
      </c>
      <c r="C122" s="454"/>
      <c r="D122" s="477" t="s">
        <v>148</v>
      </c>
      <c r="E122" s="543">
        <v>30</v>
      </c>
      <c r="F122" s="456">
        <v>30</v>
      </c>
      <c r="G122" s="478">
        <v>17500</v>
      </c>
      <c r="H122" s="478">
        <v>17500</v>
      </c>
      <c r="I122" s="454">
        <v>17500</v>
      </c>
      <c r="J122" s="479"/>
      <c r="K122" s="503" t="s">
        <v>210</v>
      </c>
      <c r="L122" s="509"/>
    </row>
    <row r="123" spans="1:12">
      <c r="A123" s="2" t="s">
        <v>119</v>
      </c>
      <c r="B123" s="4" t="s">
        <v>134</v>
      </c>
      <c r="C123" s="59"/>
      <c r="D123" s="59" t="s">
        <v>148</v>
      </c>
      <c r="E123" s="545">
        <v>30</v>
      </c>
      <c r="F123" s="47">
        <v>30</v>
      </c>
      <c r="G123" s="223">
        <v>17500</v>
      </c>
      <c r="H123" s="222">
        <v>17500</v>
      </c>
      <c r="I123" s="697">
        <v>17500</v>
      </c>
      <c r="J123" s="6"/>
      <c r="K123" s="230" t="s">
        <v>210</v>
      </c>
    </row>
    <row r="124" spans="1:12">
      <c r="A124" s="132"/>
      <c r="B124" s="29"/>
      <c r="C124" s="6"/>
      <c r="D124" s="8"/>
      <c r="E124" s="675"/>
      <c r="F124" s="221"/>
      <c r="G124" s="236" t="s">
        <v>177</v>
      </c>
      <c r="H124" s="264">
        <f t="shared" ref="H124:I124" si="8">SUM(H122:H123)</f>
        <v>35000</v>
      </c>
      <c r="I124" s="770">
        <f t="shared" si="8"/>
        <v>35000</v>
      </c>
      <c r="J124" s="59"/>
      <c r="K124" s="309"/>
    </row>
    <row r="125" spans="1:12">
      <c r="C125" s="499"/>
      <c r="E125" s="287"/>
      <c r="I125" s="499"/>
      <c r="K125" s="287"/>
    </row>
    <row r="126" spans="1:12">
      <c r="C126" s="499"/>
      <c r="E126" s="287"/>
      <c r="I126" s="499"/>
      <c r="K126" s="287"/>
    </row>
    <row r="127" spans="1:12">
      <c r="A127" s="219" t="s">
        <v>5</v>
      </c>
      <c r="B127" s="342" t="s">
        <v>326</v>
      </c>
      <c r="C127" s="187"/>
      <c r="D127" s="129" t="s">
        <v>10</v>
      </c>
      <c r="E127" s="288" t="s">
        <v>243</v>
      </c>
      <c r="F127" s="289" t="s">
        <v>244</v>
      </c>
      <c r="G127" s="290" t="s">
        <v>245</v>
      </c>
      <c r="H127" s="291" t="s">
        <v>246</v>
      </c>
      <c r="I127" s="217" t="s">
        <v>532</v>
      </c>
      <c r="J127" s="22" t="s">
        <v>13</v>
      </c>
      <c r="K127" s="717" t="s">
        <v>162</v>
      </c>
    </row>
    <row r="128" spans="1:12">
      <c r="A128" s="2" t="s">
        <v>114</v>
      </c>
      <c r="B128" s="4" t="s">
        <v>407</v>
      </c>
      <c r="C128" s="59"/>
      <c r="D128" s="51" t="s">
        <v>148</v>
      </c>
      <c r="E128" s="545">
        <v>30</v>
      </c>
      <c r="F128" s="47">
        <v>30</v>
      </c>
      <c r="G128" s="223">
        <v>21250</v>
      </c>
      <c r="H128" s="223">
        <v>21250</v>
      </c>
      <c r="I128" s="6"/>
      <c r="J128" s="6"/>
      <c r="K128" s="230" t="s">
        <v>643</v>
      </c>
    </row>
    <row r="129" spans="1:12">
      <c r="A129" s="132" t="s">
        <v>119</v>
      </c>
      <c r="B129" s="4" t="s">
        <v>644</v>
      </c>
      <c r="C129" s="6"/>
      <c r="D129" s="45" t="s">
        <v>533</v>
      </c>
      <c r="E129" s="675">
        <v>30</v>
      </c>
      <c r="F129" s="222">
        <v>10</v>
      </c>
      <c r="G129" s="564">
        <v>10000</v>
      </c>
      <c r="H129" s="260" t="s">
        <v>645</v>
      </c>
      <c r="I129" s="697">
        <v>10000</v>
      </c>
      <c r="J129" s="59"/>
      <c r="K129" s="309" t="s">
        <v>567</v>
      </c>
    </row>
    <row r="130" spans="1:12">
      <c r="A130" s="235"/>
      <c r="B130" s="235"/>
      <c r="C130" s="771"/>
      <c r="D130" s="235"/>
      <c r="E130" s="610"/>
      <c r="F130" s="235"/>
      <c r="G130" s="323" t="s">
        <v>177</v>
      </c>
      <c r="H130" s="772">
        <f t="shared" ref="H130:I130" si="9">SUM(H128:H129)</f>
        <v>21250</v>
      </c>
      <c r="I130" s="773">
        <f t="shared" si="9"/>
        <v>10000</v>
      </c>
      <c r="J130" s="774"/>
      <c r="K130" s="610"/>
    </row>
    <row r="131" spans="1:12">
      <c r="C131" s="499"/>
      <c r="E131" s="287"/>
      <c r="I131" s="499"/>
      <c r="K131" s="287"/>
    </row>
    <row r="132" spans="1:12">
      <c r="E132" s="287"/>
      <c r="I132" s="499"/>
      <c r="K132" s="287"/>
    </row>
    <row r="133" spans="1:12">
      <c r="A133" s="219" t="s">
        <v>5</v>
      </c>
      <c r="B133" s="342" t="s">
        <v>437</v>
      </c>
      <c r="C133" s="187"/>
      <c r="D133" s="129" t="s">
        <v>10</v>
      </c>
      <c r="E133" s="288" t="s">
        <v>243</v>
      </c>
      <c r="F133" s="289" t="s">
        <v>244</v>
      </c>
      <c r="G133" s="290" t="s">
        <v>245</v>
      </c>
      <c r="H133" s="291" t="s">
        <v>246</v>
      </c>
      <c r="I133" s="217" t="s">
        <v>532</v>
      </c>
      <c r="J133" s="22" t="s">
        <v>13</v>
      </c>
      <c r="K133" s="717" t="s">
        <v>162</v>
      </c>
      <c r="L133" s="14"/>
    </row>
    <row r="134" spans="1:12">
      <c r="A134" s="463" t="s">
        <v>114</v>
      </c>
      <c r="B134" s="775" t="s">
        <v>529</v>
      </c>
      <c r="C134" s="463"/>
      <c r="D134" s="614" t="s">
        <v>530</v>
      </c>
      <c r="E134" s="776">
        <v>30</v>
      </c>
      <c r="F134" s="777">
        <v>11</v>
      </c>
      <c r="G134" s="778">
        <v>20000</v>
      </c>
      <c r="H134" s="778">
        <v>7333</v>
      </c>
      <c r="I134" s="779"/>
      <c r="J134" s="779"/>
      <c r="K134" s="503" t="s">
        <v>604</v>
      </c>
      <c r="L134" s="504"/>
    </row>
    <row r="135" spans="1:12">
      <c r="A135" s="260" t="s">
        <v>114</v>
      </c>
      <c r="B135" s="639" t="s">
        <v>646</v>
      </c>
      <c r="C135" s="260"/>
      <c r="D135" s="260"/>
      <c r="E135" s="587">
        <v>90</v>
      </c>
      <c r="F135" s="262"/>
      <c r="G135" s="270"/>
      <c r="H135" s="270"/>
      <c r="I135" s="780"/>
      <c r="J135" s="150"/>
      <c r="K135" s="309" t="s">
        <v>647</v>
      </c>
      <c r="L135" s="781">
        <v>22500</v>
      </c>
    </row>
    <row r="136" spans="1:12">
      <c r="A136" s="150" t="s">
        <v>119</v>
      </c>
      <c r="B136" s="639"/>
      <c r="C136" s="260"/>
      <c r="D136" s="260"/>
      <c r="E136" s="587">
        <v>31</v>
      </c>
      <c r="F136" s="262">
        <v>31</v>
      </c>
      <c r="G136" s="270"/>
      <c r="H136" s="237"/>
      <c r="I136" s="780"/>
      <c r="J136" s="150"/>
      <c r="K136" s="309"/>
      <c r="L136" s="482"/>
    </row>
    <row r="137" spans="1:12">
      <c r="A137" s="235"/>
      <c r="B137" s="4"/>
      <c r="C137" s="6"/>
      <c r="D137" s="45"/>
      <c r="E137" s="675"/>
      <c r="F137" s="221"/>
      <c r="G137" s="236" t="s">
        <v>177</v>
      </c>
      <c r="H137" s="264">
        <f t="shared" ref="H137:I137" si="10">SUM(H134:H136)</f>
        <v>7333</v>
      </c>
      <c r="I137" s="770">
        <f t="shared" si="10"/>
        <v>0</v>
      </c>
      <c r="J137" s="59"/>
      <c r="K137" s="309"/>
      <c r="L137" s="341"/>
    </row>
    <row r="138" spans="1:12">
      <c r="A138" s="14"/>
      <c r="C138" s="499"/>
      <c r="E138" s="287"/>
      <c r="F138" s="286"/>
      <c r="G138" s="286"/>
      <c r="I138" s="499"/>
      <c r="K138" s="287"/>
    </row>
    <row r="139" spans="1:12">
      <c r="A139" s="219" t="s">
        <v>5</v>
      </c>
      <c r="B139" s="342" t="s">
        <v>441</v>
      </c>
      <c r="C139" s="187"/>
      <c r="D139" s="129" t="s">
        <v>10</v>
      </c>
      <c r="E139" s="288" t="s">
        <v>243</v>
      </c>
      <c r="F139" s="289" t="s">
        <v>244</v>
      </c>
      <c r="G139" s="290" t="s">
        <v>245</v>
      </c>
      <c r="H139" s="291" t="s">
        <v>246</v>
      </c>
      <c r="I139" s="217" t="s">
        <v>532</v>
      </c>
      <c r="J139" s="22" t="s">
        <v>13</v>
      </c>
      <c r="K139" s="717" t="s">
        <v>162</v>
      </c>
      <c r="L139" s="14"/>
    </row>
    <row r="140" spans="1:12">
      <c r="A140" s="132" t="s">
        <v>114</v>
      </c>
      <c r="B140" s="4" t="s">
        <v>649</v>
      </c>
      <c r="C140" s="59"/>
      <c r="D140" s="51" t="s">
        <v>650</v>
      </c>
      <c r="E140" s="545">
        <v>180</v>
      </c>
      <c r="F140" s="47">
        <v>7</v>
      </c>
      <c r="G140" s="223">
        <v>90000</v>
      </c>
      <c r="H140" s="222">
        <v>15000</v>
      </c>
      <c r="I140" s="59">
        <v>15000</v>
      </c>
      <c r="J140" s="6"/>
      <c r="K140" s="230" t="s">
        <v>210</v>
      </c>
      <c r="L140" s="1204"/>
    </row>
    <row r="141" spans="1:12">
      <c r="A141" s="452" t="s">
        <v>119</v>
      </c>
      <c r="B141" s="481" t="s">
        <v>444</v>
      </c>
      <c r="C141" s="454"/>
      <c r="D141" s="454" t="s">
        <v>148</v>
      </c>
      <c r="E141" s="543">
        <v>365</v>
      </c>
      <c r="F141" s="456">
        <v>30</v>
      </c>
      <c r="G141" s="478">
        <v>19000</v>
      </c>
      <c r="H141" s="478">
        <v>19000</v>
      </c>
      <c r="I141" s="783">
        <v>19000</v>
      </c>
      <c r="J141" s="479"/>
      <c r="K141" s="503" t="s">
        <v>651</v>
      </c>
      <c r="L141" s="1205"/>
    </row>
    <row r="142" spans="1:12">
      <c r="A142" s="132"/>
      <c r="B142" s="4"/>
      <c r="C142" s="6"/>
      <c r="D142" s="45"/>
      <c r="E142" s="675"/>
      <c r="F142" s="221"/>
      <c r="G142" s="236" t="s">
        <v>177</v>
      </c>
      <c r="H142" s="264">
        <f t="shared" ref="H142:I142" si="11">SUM(H140:H141)</f>
        <v>34000</v>
      </c>
      <c r="I142" s="770">
        <f t="shared" si="11"/>
        <v>34000</v>
      </c>
      <c r="J142" s="59"/>
      <c r="K142" s="309"/>
      <c r="L142" s="341"/>
    </row>
    <row r="143" spans="1:12">
      <c r="A143" s="14"/>
      <c r="C143" s="499"/>
      <c r="E143" s="287"/>
      <c r="F143" s="286"/>
      <c r="G143" s="286"/>
      <c r="I143" s="499"/>
      <c r="K143" s="287"/>
    </row>
    <row r="144" spans="1:12">
      <c r="A144" s="219" t="s">
        <v>5</v>
      </c>
      <c r="B144" s="342" t="s">
        <v>445</v>
      </c>
      <c r="C144" s="187"/>
      <c r="D144" s="129" t="s">
        <v>10</v>
      </c>
      <c r="E144" s="288" t="s">
        <v>243</v>
      </c>
      <c r="F144" s="289" t="s">
        <v>244</v>
      </c>
      <c r="G144" s="290" t="s">
        <v>245</v>
      </c>
      <c r="H144" s="291" t="s">
        <v>246</v>
      </c>
      <c r="I144" s="217" t="s">
        <v>532</v>
      </c>
      <c r="J144" s="22" t="s">
        <v>13</v>
      </c>
      <c r="K144" s="717" t="s">
        <v>162</v>
      </c>
      <c r="L144" s="14"/>
    </row>
    <row r="145" spans="1:12">
      <c r="A145" s="2" t="s">
        <v>114</v>
      </c>
      <c r="B145" s="4" t="s">
        <v>446</v>
      </c>
      <c r="C145" s="59"/>
      <c r="D145" s="51" t="s">
        <v>659</v>
      </c>
      <c r="E145" s="545">
        <v>30</v>
      </c>
      <c r="F145" s="47">
        <v>16</v>
      </c>
      <c r="G145" s="223">
        <v>22500</v>
      </c>
      <c r="H145" s="222">
        <v>12000</v>
      </c>
      <c r="I145" s="59">
        <v>22500</v>
      </c>
      <c r="J145" s="6"/>
      <c r="K145" s="230"/>
      <c r="L145" s="352" t="s">
        <v>314</v>
      </c>
    </row>
    <row r="146" spans="1:12">
      <c r="A146" s="452" t="s">
        <v>119</v>
      </c>
      <c r="B146" s="481" t="s">
        <v>529</v>
      </c>
      <c r="C146" s="454"/>
      <c r="D146" s="541" t="s">
        <v>537</v>
      </c>
      <c r="E146" s="543">
        <v>30</v>
      </c>
      <c r="F146" s="456">
        <v>11</v>
      </c>
      <c r="G146" s="478">
        <v>18400</v>
      </c>
      <c r="H146" s="478">
        <v>6747</v>
      </c>
      <c r="I146" s="727"/>
      <c r="J146" s="479"/>
      <c r="K146" s="503" t="s">
        <v>604</v>
      </c>
      <c r="L146" s="132"/>
    </row>
    <row r="147" spans="1:12">
      <c r="A147" s="132" t="s">
        <v>119</v>
      </c>
      <c r="B147" s="4"/>
      <c r="C147" s="6"/>
      <c r="D147" s="45"/>
      <c r="E147" s="675"/>
      <c r="F147" s="221"/>
      <c r="G147" s="236" t="s">
        <v>177</v>
      </c>
      <c r="H147" s="264">
        <f t="shared" ref="H147:I147" si="12">SUM(H145:H146)</f>
        <v>18747</v>
      </c>
      <c r="I147" s="785">
        <f t="shared" si="12"/>
        <v>22500</v>
      </c>
      <c r="J147" s="59"/>
      <c r="K147" s="309"/>
      <c r="L147" s="341"/>
    </row>
    <row r="148" spans="1:12">
      <c r="A148" s="14"/>
      <c r="C148" s="499"/>
      <c r="E148" s="287"/>
      <c r="F148" s="286"/>
      <c r="G148" s="286"/>
      <c r="I148" s="499"/>
      <c r="K148" s="287"/>
    </row>
    <row r="149" spans="1:12">
      <c r="E149" s="287"/>
      <c r="I149" s="499"/>
      <c r="K149" s="287"/>
    </row>
    <row r="150" spans="1:12">
      <c r="E150" s="287"/>
      <c r="H150" s="786" t="s">
        <v>668</v>
      </c>
      <c r="I150" s="787">
        <f>SUM(I147+I142+I137+I130+I124+I118+I112+I105+I99+I92+I85+I82+I69+I47+I23)</f>
        <v>471700</v>
      </c>
      <c r="K150" s="287"/>
    </row>
    <row r="151" spans="1:12">
      <c r="E151" s="287"/>
      <c r="I151" s="499"/>
      <c r="K151" s="287"/>
    </row>
    <row r="152" spans="1:12">
      <c r="E152" s="287"/>
      <c r="H152" s="788" t="s">
        <v>671</v>
      </c>
      <c r="I152" s="789">
        <f>SUM(H147+H142+H137+H130+H124+H118+H112+H105+H99+H92+H85+H82+H69+H47+H23)</f>
        <v>720051.39</v>
      </c>
      <c r="K152" s="287"/>
    </row>
    <row r="153" spans="1:12">
      <c r="E153" s="287"/>
      <c r="I153" s="499"/>
      <c r="K153" s="287"/>
    </row>
    <row r="154" spans="1:12">
      <c r="E154" s="287"/>
      <c r="I154" s="499"/>
      <c r="J154" s="1" t="s">
        <v>199</v>
      </c>
      <c r="K154" s="287"/>
    </row>
    <row r="155" spans="1:12">
      <c r="E155" s="287"/>
      <c r="I155" s="499"/>
      <c r="K155" s="287"/>
    </row>
    <row r="156" spans="1:12">
      <c r="E156" s="287"/>
      <c r="I156" s="499"/>
      <c r="K156" s="287"/>
    </row>
    <row r="157" spans="1:12">
      <c r="E157" s="287"/>
      <c r="I157" s="499"/>
      <c r="K157" s="287"/>
    </row>
    <row r="158" spans="1:12">
      <c r="E158" s="287"/>
      <c r="I158" s="499"/>
      <c r="K158" s="287"/>
    </row>
    <row r="159" spans="1:12">
      <c r="E159" s="287"/>
      <c r="I159" s="499"/>
      <c r="K159" s="287"/>
    </row>
    <row r="160" spans="1:12">
      <c r="E160" s="287"/>
      <c r="I160" s="499"/>
      <c r="K160" s="287"/>
    </row>
    <row r="161" spans="5:11">
      <c r="E161" s="287"/>
      <c r="I161" s="499"/>
      <c r="K161" s="287"/>
    </row>
    <row r="162" spans="5:11">
      <c r="E162" s="287"/>
      <c r="I162" s="499"/>
      <c r="K162" s="287"/>
    </row>
    <row r="163" spans="5:11">
      <c r="E163" s="287"/>
      <c r="I163" s="499"/>
      <c r="K163" s="287"/>
    </row>
    <row r="164" spans="5:11">
      <c r="E164" s="287"/>
      <c r="I164" s="499"/>
      <c r="K164" s="287"/>
    </row>
    <row r="165" spans="5:11">
      <c r="E165" s="287"/>
      <c r="I165" s="499"/>
      <c r="K165" s="287"/>
    </row>
    <row r="166" spans="5:11">
      <c r="E166" s="287"/>
      <c r="I166" s="499"/>
      <c r="K166" s="287"/>
    </row>
    <row r="167" spans="5:11">
      <c r="E167" s="287"/>
      <c r="I167" s="499"/>
      <c r="K167" s="287"/>
    </row>
    <row r="168" spans="5:11">
      <c r="E168" s="287"/>
      <c r="I168" s="499"/>
      <c r="K168" s="287"/>
    </row>
    <row r="169" spans="5:11">
      <c r="E169" s="287"/>
      <c r="I169" s="499"/>
      <c r="K169" s="287"/>
    </row>
    <row r="170" spans="5:11">
      <c r="E170" s="287"/>
      <c r="I170" s="499"/>
      <c r="K170" s="287"/>
    </row>
    <row r="171" spans="5:11">
      <c r="E171" s="287"/>
      <c r="I171" s="499"/>
      <c r="K171" s="287"/>
    </row>
    <row r="172" spans="5:11">
      <c r="E172" s="287"/>
      <c r="I172" s="499"/>
      <c r="K172" s="287"/>
    </row>
    <row r="173" spans="5:11">
      <c r="E173" s="287"/>
      <c r="I173" s="499"/>
      <c r="K173" s="287"/>
    </row>
    <row r="174" spans="5:11">
      <c r="E174" s="287"/>
      <c r="I174" s="499"/>
      <c r="K174" s="287"/>
    </row>
    <row r="175" spans="5:11">
      <c r="E175" s="287"/>
      <c r="I175" s="499"/>
      <c r="K175" s="287"/>
    </row>
    <row r="176" spans="5:11">
      <c r="E176" s="287"/>
      <c r="I176" s="499"/>
      <c r="K176" s="287"/>
    </row>
    <row r="177" spans="5:11">
      <c r="E177" s="287"/>
      <c r="I177" s="499"/>
      <c r="K177" s="287"/>
    </row>
    <row r="178" spans="5:11">
      <c r="E178" s="287"/>
      <c r="I178" s="499"/>
      <c r="K178" s="287"/>
    </row>
    <row r="179" spans="5:11">
      <c r="E179" s="287"/>
      <c r="I179" s="499"/>
      <c r="K179" s="287"/>
    </row>
    <row r="180" spans="5:11">
      <c r="E180" s="287"/>
      <c r="I180" s="499"/>
      <c r="K180" s="287"/>
    </row>
    <row r="181" spans="5:11">
      <c r="E181" s="287"/>
      <c r="I181" s="499"/>
      <c r="K181" s="287"/>
    </row>
    <row r="182" spans="5:11">
      <c r="E182" s="287"/>
      <c r="I182" s="499"/>
      <c r="K182" s="287"/>
    </row>
    <row r="183" spans="5:11">
      <c r="E183" s="287"/>
      <c r="I183" s="499"/>
      <c r="K183" s="287"/>
    </row>
    <row r="184" spans="5:11">
      <c r="E184" s="287"/>
      <c r="I184" s="499"/>
      <c r="K184" s="287"/>
    </row>
    <row r="185" spans="5:11">
      <c r="E185" s="287"/>
      <c r="I185" s="499"/>
      <c r="K185" s="287"/>
    </row>
    <row r="186" spans="5:11">
      <c r="E186" s="287"/>
      <c r="I186" s="499"/>
      <c r="K186" s="287"/>
    </row>
    <row r="187" spans="5:11">
      <c r="E187" s="287"/>
      <c r="I187" s="499"/>
      <c r="K187" s="287"/>
    </row>
    <row r="188" spans="5:11">
      <c r="E188" s="287"/>
      <c r="I188" s="499"/>
      <c r="K188" s="287"/>
    </row>
    <row r="189" spans="5:11">
      <c r="E189" s="287"/>
      <c r="I189" s="499"/>
      <c r="K189" s="287"/>
    </row>
    <row r="190" spans="5:11">
      <c r="E190" s="287"/>
      <c r="I190" s="499"/>
      <c r="K190" s="287"/>
    </row>
    <row r="191" spans="5:11">
      <c r="E191" s="287"/>
      <c r="I191" s="499"/>
      <c r="K191" s="287"/>
    </row>
    <row r="192" spans="5:11">
      <c r="E192" s="287"/>
      <c r="I192" s="499"/>
      <c r="K192" s="287"/>
    </row>
    <row r="193" spans="5:11">
      <c r="E193" s="287"/>
      <c r="I193" s="499"/>
      <c r="K193" s="287"/>
    </row>
    <row r="194" spans="5:11">
      <c r="E194" s="287"/>
      <c r="I194" s="499"/>
      <c r="K194" s="287"/>
    </row>
    <row r="195" spans="5:11">
      <c r="E195" s="287"/>
      <c r="I195" s="499"/>
      <c r="K195" s="287"/>
    </row>
    <row r="196" spans="5:11">
      <c r="E196" s="287"/>
      <c r="I196" s="499"/>
      <c r="K196" s="287"/>
    </row>
    <row r="197" spans="5:11">
      <c r="E197" s="287"/>
      <c r="I197" s="499"/>
      <c r="K197" s="287"/>
    </row>
    <row r="198" spans="5:11">
      <c r="E198" s="287"/>
      <c r="I198" s="499"/>
      <c r="K198" s="287"/>
    </row>
    <row r="199" spans="5:11">
      <c r="E199" s="287"/>
      <c r="I199" s="499"/>
      <c r="K199" s="287"/>
    </row>
    <row r="200" spans="5:11">
      <c r="E200" s="287"/>
      <c r="I200" s="499"/>
      <c r="K200" s="287"/>
    </row>
    <row r="201" spans="5:11">
      <c r="E201" s="287"/>
      <c r="I201" s="499"/>
      <c r="K201" s="287"/>
    </row>
    <row r="202" spans="5:11">
      <c r="E202" s="287"/>
      <c r="I202" s="499"/>
      <c r="K202" s="287"/>
    </row>
    <row r="203" spans="5:11">
      <c r="E203" s="287"/>
      <c r="I203" s="499"/>
      <c r="K203" s="287"/>
    </row>
    <row r="204" spans="5:11">
      <c r="E204" s="287"/>
      <c r="I204" s="499"/>
      <c r="K204" s="287"/>
    </row>
    <row r="205" spans="5:11">
      <c r="E205" s="287"/>
      <c r="I205" s="499"/>
      <c r="K205" s="287"/>
    </row>
    <row r="206" spans="5:11">
      <c r="E206" s="287"/>
      <c r="I206" s="499"/>
      <c r="K206" s="287"/>
    </row>
    <row r="207" spans="5:11">
      <c r="E207" s="287"/>
      <c r="I207" s="499"/>
      <c r="K207" s="287"/>
    </row>
    <row r="208" spans="5:11">
      <c r="E208" s="287"/>
      <c r="I208" s="499"/>
      <c r="K208" s="287"/>
    </row>
    <row r="209" spans="5:11">
      <c r="E209" s="287"/>
      <c r="I209" s="499"/>
      <c r="K209" s="287"/>
    </row>
    <row r="210" spans="5:11">
      <c r="E210" s="287"/>
      <c r="I210" s="499"/>
      <c r="K210" s="287"/>
    </row>
    <row r="211" spans="5:11">
      <c r="E211" s="287"/>
      <c r="I211" s="499"/>
      <c r="K211" s="287"/>
    </row>
    <row r="212" spans="5:11">
      <c r="E212" s="287"/>
      <c r="I212" s="499"/>
      <c r="K212" s="287"/>
    </row>
    <row r="213" spans="5:11">
      <c r="E213" s="287"/>
      <c r="I213" s="499"/>
      <c r="K213" s="287"/>
    </row>
    <row r="214" spans="5:11">
      <c r="E214" s="287"/>
      <c r="I214" s="499"/>
      <c r="K214" s="287"/>
    </row>
    <row r="215" spans="5:11">
      <c r="E215" s="287"/>
      <c r="I215" s="499"/>
      <c r="K215" s="287"/>
    </row>
    <row r="216" spans="5:11">
      <c r="E216" s="287"/>
      <c r="I216" s="499"/>
      <c r="K216" s="287"/>
    </row>
    <row r="217" spans="5:11">
      <c r="E217" s="287"/>
      <c r="I217" s="499"/>
      <c r="K217" s="287"/>
    </row>
    <row r="218" spans="5:11">
      <c r="E218" s="287"/>
      <c r="I218" s="499"/>
      <c r="K218" s="287"/>
    </row>
    <row r="219" spans="5:11">
      <c r="E219" s="287"/>
      <c r="I219" s="499"/>
      <c r="K219" s="287"/>
    </row>
    <row r="220" spans="5:11">
      <c r="E220" s="287"/>
      <c r="I220" s="499"/>
      <c r="K220" s="287"/>
    </row>
    <row r="221" spans="5:11">
      <c r="E221" s="287"/>
      <c r="I221" s="499"/>
      <c r="K221" s="287"/>
    </row>
    <row r="222" spans="5:11">
      <c r="E222" s="287"/>
      <c r="I222" s="499"/>
      <c r="K222" s="287"/>
    </row>
    <row r="223" spans="5:11">
      <c r="E223" s="287"/>
      <c r="I223" s="499"/>
      <c r="K223" s="287"/>
    </row>
    <row r="224" spans="5:11">
      <c r="E224" s="287"/>
      <c r="I224" s="499"/>
      <c r="K224" s="287"/>
    </row>
    <row r="225" spans="5:11">
      <c r="E225" s="287"/>
      <c r="I225" s="499"/>
      <c r="K225" s="287"/>
    </row>
    <row r="226" spans="5:11">
      <c r="E226" s="287"/>
      <c r="I226" s="499"/>
      <c r="K226" s="287"/>
    </row>
    <row r="227" spans="5:11">
      <c r="E227" s="287"/>
      <c r="I227" s="499"/>
      <c r="K227" s="287"/>
    </row>
    <row r="228" spans="5:11">
      <c r="E228" s="287"/>
      <c r="I228" s="499"/>
      <c r="K228" s="287"/>
    </row>
    <row r="229" spans="5:11">
      <c r="E229" s="287"/>
      <c r="I229" s="499"/>
      <c r="K229" s="287"/>
    </row>
    <row r="230" spans="5:11">
      <c r="E230" s="287"/>
      <c r="I230" s="499"/>
      <c r="K230" s="287"/>
    </row>
    <row r="231" spans="5:11">
      <c r="E231" s="287"/>
      <c r="I231" s="499"/>
      <c r="K231" s="287"/>
    </row>
    <row r="232" spans="5:11">
      <c r="E232" s="287"/>
      <c r="I232" s="499"/>
      <c r="K232" s="287"/>
    </row>
    <row r="233" spans="5:11">
      <c r="E233" s="287"/>
      <c r="I233" s="499"/>
      <c r="K233" s="287"/>
    </row>
    <row r="234" spans="5:11">
      <c r="E234" s="287"/>
      <c r="I234" s="499"/>
      <c r="K234" s="287"/>
    </row>
    <row r="235" spans="5:11">
      <c r="E235" s="287"/>
      <c r="I235" s="499"/>
      <c r="K235" s="287"/>
    </row>
    <row r="236" spans="5:11">
      <c r="E236" s="287"/>
      <c r="I236" s="499"/>
      <c r="K236" s="287"/>
    </row>
    <row r="237" spans="5:11">
      <c r="E237" s="287"/>
      <c r="I237" s="499"/>
      <c r="K237" s="287"/>
    </row>
    <row r="238" spans="5:11">
      <c r="E238" s="287"/>
      <c r="I238" s="499"/>
      <c r="K238" s="287"/>
    </row>
    <row r="239" spans="5:11">
      <c r="E239" s="287"/>
      <c r="I239" s="499"/>
      <c r="K239" s="287"/>
    </row>
    <row r="240" spans="5:11">
      <c r="E240" s="287"/>
      <c r="I240" s="499"/>
      <c r="K240" s="287"/>
    </row>
    <row r="241" spans="5:11">
      <c r="E241" s="287"/>
      <c r="I241" s="499"/>
      <c r="K241" s="287"/>
    </row>
    <row r="242" spans="5:11">
      <c r="E242" s="287"/>
      <c r="I242" s="499"/>
      <c r="K242" s="287"/>
    </row>
    <row r="243" spans="5:11">
      <c r="E243" s="287"/>
      <c r="I243" s="499"/>
      <c r="K243" s="287"/>
    </row>
    <row r="244" spans="5:11">
      <c r="E244" s="287"/>
      <c r="I244" s="499"/>
      <c r="K244" s="287"/>
    </row>
    <row r="245" spans="5:11">
      <c r="E245" s="287"/>
      <c r="I245" s="499"/>
      <c r="K245" s="287"/>
    </row>
    <row r="246" spans="5:11">
      <c r="E246" s="287"/>
      <c r="I246" s="499"/>
      <c r="K246" s="287"/>
    </row>
    <row r="247" spans="5:11">
      <c r="E247" s="287"/>
      <c r="I247" s="499"/>
      <c r="K247" s="287"/>
    </row>
    <row r="248" spans="5:11">
      <c r="E248" s="287"/>
      <c r="I248" s="499"/>
      <c r="K248" s="287"/>
    </row>
    <row r="249" spans="5:11">
      <c r="E249" s="287"/>
      <c r="I249" s="499"/>
      <c r="K249" s="287"/>
    </row>
    <row r="250" spans="5:11">
      <c r="E250" s="287"/>
      <c r="I250" s="499"/>
      <c r="K250" s="287"/>
    </row>
    <row r="251" spans="5:11">
      <c r="E251" s="287"/>
      <c r="I251" s="499"/>
      <c r="K251" s="287"/>
    </row>
    <row r="252" spans="5:11">
      <c r="E252" s="287"/>
      <c r="I252" s="499"/>
      <c r="K252" s="287"/>
    </row>
    <row r="253" spans="5:11">
      <c r="E253" s="287"/>
      <c r="I253" s="499"/>
      <c r="K253" s="287"/>
    </row>
    <row r="254" spans="5:11">
      <c r="E254" s="287"/>
      <c r="I254" s="499"/>
      <c r="K254" s="287"/>
    </row>
    <row r="255" spans="5:11">
      <c r="E255" s="287"/>
      <c r="I255" s="499"/>
      <c r="K255" s="287"/>
    </row>
    <row r="256" spans="5:11">
      <c r="E256" s="287"/>
      <c r="I256" s="499"/>
      <c r="K256" s="287"/>
    </row>
    <row r="257" spans="5:11">
      <c r="E257" s="287"/>
      <c r="I257" s="499"/>
      <c r="K257" s="287"/>
    </row>
    <row r="258" spans="5:11">
      <c r="E258" s="287"/>
      <c r="I258" s="499"/>
      <c r="K258" s="287"/>
    </row>
    <row r="259" spans="5:11">
      <c r="E259" s="287"/>
      <c r="I259" s="499"/>
      <c r="K259" s="287"/>
    </row>
    <row r="260" spans="5:11">
      <c r="E260" s="287"/>
      <c r="I260" s="499"/>
      <c r="K260" s="287"/>
    </row>
    <row r="261" spans="5:11">
      <c r="E261" s="287"/>
      <c r="I261" s="499"/>
      <c r="K261" s="287"/>
    </row>
    <row r="262" spans="5:11">
      <c r="E262" s="287"/>
      <c r="I262" s="499"/>
      <c r="K262" s="287"/>
    </row>
    <row r="263" spans="5:11">
      <c r="E263" s="287"/>
      <c r="I263" s="499"/>
      <c r="K263" s="287"/>
    </row>
    <row r="264" spans="5:11">
      <c r="E264" s="287"/>
      <c r="I264" s="499"/>
      <c r="K264" s="287"/>
    </row>
    <row r="265" spans="5:11">
      <c r="E265" s="287"/>
      <c r="I265" s="499"/>
      <c r="K265" s="287"/>
    </row>
    <row r="266" spans="5:11">
      <c r="E266" s="287"/>
      <c r="I266" s="499"/>
      <c r="K266" s="287"/>
    </row>
    <row r="267" spans="5:11">
      <c r="E267" s="287"/>
      <c r="I267" s="499"/>
      <c r="K267" s="287"/>
    </row>
    <row r="268" spans="5:11">
      <c r="E268" s="287"/>
      <c r="I268" s="499"/>
      <c r="K268" s="287"/>
    </row>
    <row r="269" spans="5:11">
      <c r="E269" s="287"/>
      <c r="I269" s="499"/>
      <c r="K269" s="287"/>
    </row>
    <row r="270" spans="5:11">
      <c r="E270" s="287"/>
      <c r="I270" s="499"/>
      <c r="K270" s="287"/>
    </row>
    <row r="271" spans="5:11">
      <c r="E271" s="287"/>
      <c r="I271" s="499"/>
      <c r="K271" s="287"/>
    </row>
    <row r="272" spans="5:11">
      <c r="E272" s="287"/>
      <c r="I272" s="499"/>
      <c r="K272" s="287"/>
    </row>
    <row r="273" spans="5:11">
      <c r="E273" s="287"/>
      <c r="I273" s="499"/>
      <c r="K273" s="287"/>
    </row>
    <row r="274" spans="5:11">
      <c r="E274" s="287"/>
      <c r="I274" s="499"/>
      <c r="K274" s="287"/>
    </row>
    <row r="275" spans="5:11">
      <c r="E275" s="287"/>
      <c r="I275" s="499"/>
      <c r="K275" s="287"/>
    </row>
    <row r="276" spans="5:11">
      <c r="E276" s="287"/>
      <c r="I276" s="499"/>
      <c r="K276" s="287"/>
    </row>
    <row r="277" spans="5:11">
      <c r="E277" s="287"/>
      <c r="I277" s="499"/>
      <c r="K277" s="287"/>
    </row>
    <row r="278" spans="5:11">
      <c r="E278" s="287"/>
      <c r="I278" s="499"/>
      <c r="K278" s="287"/>
    </row>
    <row r="279" spans="5:11">
      <c r="E279" s="287"/>
      <c r="I279" s="499"/>
      <c r="K279" s="287"/>
    </row>
    <row r="280" spans="5:11">
      <c r="E280" s="287"/>
      <c r="I280" s="499"/>
      <c r="K280" s="287"/>
    </row>
    <row r="281" spans="5:11">
      <c r="E281" s="287"/>
      <c r="I281" s="499"/>
      <c r="K281" s="287"/>
    </row>
    <row r="282" spans="5:11">
      <c r="E282" s="287"/>
      <c r="I282" s="499"/>
      <c r="K282" s="287"/>
    </row>
    <row r="283" spans="5:11">
      <c r="E283" s="287"/>
      <c r="I283" s="499"/>
      <c r="K283" s="287"/>
    </row>
    <row r="284" spans="5:11">
      <c r="E284" s="287"/>
      <c r="I284" s="499"/>
      <c r="K284" s="287"/>
    </row>
    <row r="285" spans="5:11">
      <c r="E285" s="287"/>
      <c r="I285" s="499"/>
      <c r="K285" s="287"/>
    </row>
    <row r="286" spans="5:11">
      <c r="E286" s="287"/>
      <c r="I286" s="499"/>
      <c r="K286" s="287"/>
    </row>
    <row r="287" spans="5:11">
      <c r="E287" s="287"/>
      <c r="I287" s="499"/>
      <c r="K287" s="287"/>
    </row>
    <row r="288" spans="5:11">
      <c r="E288" s="287"/>
      <c r="I288" s="499"/>
      <c r="K288" s="287"/>
    </row>
    <row r="289" spans="5:11">
      <c r="E289" s="287"/>
      <c r="I289" s="499"/>
      <c r="K289" s="287"/>
    </row>
    <row r="290" spans="5:11">
      <c r="E290" s="287"/>
      <c r="I290" s="499"/>
      <c r="K290" s="287"/>
    </row>
    <row r="291" spans="5:11">
      <c r="E291" s="287"/>
      <c r="I291" s="499"/>
      <c r="K291" s="287"/>
    </row>
    <row r="292" spans="5:11">
      <c r="E292" s="287"/>
      <c r="I292" s="499"/>
      <c r="K292" s="287"/>
    </row>
    <row r="293" spans="5:11">
      <c r="E293" s="287"/>
      <c r="I293" s="499"/>
      <c r="K293" s="287"/>
    </row>
    <row r="294" spans="5:11">
      <c r="E294" s="287"/>
      <c r="I294" s="499"/>
      <c r="K294" s="287"/>
    </row>
    <row r="295" spans="5:11">
      <c r="E295" s="287"/>
      <c r="I295" s="499"/>
      <c r="K295" s="287"/>
    </row>
    <row r="296" spans="5:11">
      <c r="E296" s="287"/>
      <c r="I296" s="499"/>
      <c r="K296" s="287"/>
    </row>
    <row r="297" spans="5:11">
      <c r="E297" s="287"/>
      <c r="I297" s="499"/>
      <c r="K297" s="287"/>
    </row>
    <row r="298" spans="5:11">
      <c r="E298" s="287"/>
      <c r="I298" s="499"/>
      <c r="K298" s="287"/>
    </row>
    <row r="299" spans="5:11">
      <c r="E299" s="287"/>
      <c r="I299" s="499"/>
      <c r="K299" s="287"/>
    </row>
    <row r="300" spans="5:11">
      <c r="E300" s="287"/>
      <c r="I300" s="499"/>
      <c r="K300" s="287"/>
    </row>
    <row r="301" spans="5:11">
      <c r="E301" s="287"/>
      <c r="I301" s="499"/>
      <c r="K301" s="287"/>
    </row>
    <row r="302" spans="5:11">
      <c r="E302" s="287"/>
      <c r="I302" s="499"/>
      <c r="K302" s="287"/>
    </row>
    <row r="303" spans="5:11">
      <c r="E303" s="287"/>
      <c r="I303" s="499"/>
      <c r="K303" s="287"/>
    </row>
    <row r="304" spans="5:11">
      <c r="E304" s="287"/>
      <c r="I304" s="499"/>
      <c r="K304" s="287"/>
    </row>
    <row r="305" spans="5:11">
      <c r="E305" s="287"/>
      <c r="I305" s="499"/>
      <c r="K305" s="287"/>
    </row>
    <row r="306" spans="5:11">
      <c r="E306" s="287"/>
      <c r="I306" s="499"/>
      <c r="K306" s="287"/>
    </row>
    <row r="307" spans="5:11">
      <c r="E307" s="287"/>
      <c r="I307" s="499"/>
      <c r="K307" s="287"/>
    </row>
    <row r="308" spans="5:11">
      <c r="E308" s="287"/>
      <c r="I308" s="499"/>
      <c r="K308" s="287"/>
    </row>
    <row r="309" spans="5:11">
      <c r="E309" s="287"/>
      <c r="I309" s="499"/>
      <c r="K309" s="287"/>
    </row>
    <row r="310" spans="5:11">
      <c r="E310" s="287"/>
      <c r="I310" s="499"/>
      <c r="K310" s="287"/>
    </row>
    <row r="311" spans="5:11">
      <c r="E311" s="287"/>
      <c r="I311" s="499"/>
      <c r="K311" s="287"/>
    </row>
    <row r="312" spans="5:11">
      <c r="E312" s="287"/>
      <c r="I312" s="499"/>
      <c r="K312" s="287"/>
    </row>
    <row r="313" spans="5:11">
      <c r="E313" s="287"/>
      <c r="I313" s="499"/>
      <c r="K313" s="287"/>
    </row>
    <row r="314" spans="5:11">
      <c r="E314" s="287"/>
      <c r="I314" s="499"/>
      <c r="K314" s="287"/>
    </row>
    <row r="315" spans="5:11">
      <c r="E315" s="287"/>
      <c r="I315" s="499"/>
      <c r="K315" s="287"/>
    </row>
    <row r="316" spans="5:11">
      <c r="E316" s="287"/>
      <c r="I316" s="499"/>
      <c r="K316" s="287"/>
    </row>
    <row r="317" spans="5:11">
      <c r="E317" s="287"/>
      <c r="I317" s="499"/>
      <c r="K317" s="287"/>
    </row>
    <row r="318" spans="5:11">
      <c r="E318" s="287"/>
      <c r="I318" s="499"/>
      <c r="K318" s="287"/>
    </row>
    <row r="319" spans="5:11">
      <c r="E319" s="287"/>
      <c r="I319" s="499"/>
      <c r="K319" s="287"/>
    </row>
    <row r="320" spans="5:11">
      <c r="E320" s="287"/>
      <c r="I320" s="499"/>
      <c r="K320" s="287"/>
    </row>
    <row r="321" spans="5:11">
      <c r="E321" s="287"/>
      <c r="I321" s="499"/>
      <c r="K321" s="287"/>
    </row>
    <row r="322" spans="5:11">
      <c r="E322" s="287"/>
      <c r="I322" s="499"/>
      <c r="K322" s="287"/>
    </row>
    <row r="323" spans="5:11">
      <c r="E323" s="287"/>
      <c r="I323" s="499"/>
      <c r="K323" s="287"/>
    </row>
    <row r="324" spans="5:11">
      <c r="E324" s="287"/>
      <c r="I324" s="499"/>
      <c r="K324" s="287"/>
    </row>
    <row r="325" spans="5:11">
      <c r="E325" s="287"/>
      <c r="I325" s="499"/>
      <c r="K325" s="287"/>
    </row>
    <row r="326" spans="5:11">
      <c r="E326" s="287"/>
      <c r="I326" s="499"/>
      <c r="K326" s="287"/>
    </row>
    <row r="327" spans="5:11">
      <c r="E327" s="287"/>
      <c r="I327" s="499"/>
      <c r="K327" s="287"/>
    </row>
    <row r="328" spans="5:11">
      <c r="E328" s="287"/>
      <c r="I328" s="499"/>
      <c r="K328" s="287"/>
    </row>
    <row r="329" spans="5:11">
      <c r="E329" s="287"/>
      <c r="I329" s="499"/>
      <c r="K329" s="287"/>
    </row>
    <row r="330" spans="5:11">
      <c r="E330" s="287"/>
      <c r="I330" s="499"/>
      <c r="K330" s="287"/>
    </row>
    <row r="331" spans="5:11">
      <c r="E331" s="287"/>
      <c r="I331" s="499"/>
      <c r="K331" s="287"/>
    </row>
    <row r="332" spans="5:11">
      <c r="E332" s="287"/>
      <c r="I332" s="499"/>
      <c r="K332" s="287"/>
    </row>
    <row r="333" spans="5:11">
      <c r="E333" s="287"/>
      <c r="I333" s="499"/>
      <c r="K333" s="287"/>
    </row>
    <row r="334" spans="5:11">
      <c r="E334" s="287"/>
      <c r="I334" s="499"/>
      <c r="K334" s="287"/>
    </row>
    <row r="335" spans="5:11">
      <c r="E335" s="287"/>
      <c r="I335" s="499"/>
      <c r="K335" s="287"/>
    </row>
    <row r="336" spans="5:11">
      <c r="E336" s="287"/>
      <c r="I336" s="499"/>
      <c r="K336" s="287"/>
    </row>
    <row r="337" spans="5:11">
      <c r="E337" s="287"/>
      <c r="I337" s="499"/>
      <c r="K337" s="287"/>
    </row>
    <row r="338" spans="5:11">
      <c r="E338" s="287"/>
      <c r="I338" s="499"/>
      <c r="K338" s="287"/>
    </row>
    <row r="339" spans="5:11">
      <c r="E339" s="287"/>
      <c r="I339" s="499"/>
      <c r="K339" s="287"/>
    </row>
    <row r="340" spans="5:11">
      <c r="E340" s="287"/>
      <c r="I340" s="499"/>
      <c r="K340" s="287"/>
    </row>
    <row r="341" spans="5:11">
      <c r="E341" s="287"/>
      <c r="I341" s="499"/>
      <c r="K341" s="287"/>
    </row>
    <row r="342" spans="5:11">
      <c r="E342" s="287"/>
      <c r="I342" s="499"/>
      <c r="K342" s="287"/>
    </row>
    <row r="343" spans="5:11">
      <c r="E343" s="287"/>
      <c r="I343" s="499"/>
      <c r="K343" s="287"/>
    </row>
    <row r="344" spans="5:11">
      <c r="E344" s="287"/>
      <c r="I344" s="499"/>
      <c r="K344" s="287"/>
    </row>
    <row r="345" spans="5:11">
      <c r="E345" s="287"/>
      <c r="I345" s="499"/>
      <c r="K345" s="287"/>
    </row>
    <row r="346" spans="5:11">
      <c r="E346" s="287"/>
      <c r="I346" s="499"/>
      <c r="K346" s="287"/>
    </row>
    <row r="347" spans="5:11">
      <c r="E347" s="287"/>
      <c r="I347" s="499"/>
      <c r="K347" s="287"/>
    </row>
    <row r="348" spans="5:11">
      <c r="E348" s="287"/>
      <c r="I348" s="499"/>
      <c r="K348" s="287"/>
    </row>
    <row r="349" spans="5:11">
      <c r="E349" s="287"/>
      <c r="I349" s="499"/>
      <c r="K349" s="287"/>
    </row>
    <row r="350" spans="5:11">
      <c r="E350" s="287"/>
      <c r="I350" s="499"/>
      <c r="K350" s="287"/>
    </row>
    <row r="351" spans="5:11">
      <c r="E351" s="287"/>
      <c r="I351" s="499"/>
      <c r="K351" s="287"/>
    </row>
    <row r="352" spans="5:11">
      <c r="E352" s="287"/>
      <c r="I352" s="499"/>
      <c r="K352" s="287"/>
    </row>
    <row r="353" spans="5:11">
      <c r="E353" s="287"/>
      <c r="I353" s="499"/>
      <c r="K353" s="287"/>
    </row>
    <row r="354" spans="5:11">
      <c r="E354" s="287"/>
      <c r="I354" s="499"/>
      <c r="K354" s="287"/>
    </row>
    <row r="355" spans="5:11">
      <c r="E355" s="287"/>
      <c r="I355" s="499"/>
      <c r="K355" s="287"/>
    </row>
    <row r="356" spans="5:11">
      <c r="E356" s="287"/>
      <c r="I356" s="499"/>
      <c r="K356" s="287"/>
    </row>
    <row r="357" spans="5:11">
      <c r="E357" s="287"/>
      <c r="I357" s="499"/>
      <c r="K357" s="287"/>
    </row>
    <row r="358" spans="5:11">
      <c r="E358" s="287"/>
      <c r="I358" s="499"/>
      <c r="K358" s="287"/>
    </row>
    <row r="359" spans="5:11">
      <c r="E359" s="287"/>
      <c r="I359" s="499"/>
      <c r="K359" s="287"/>
    </row>
    <row r="360" spans="5:11">
      <c r="E360" s="287"/>
      <c r="I360" s="499"/>
      <c r="K360" s="287"/>
    </row>
    <row r="361" spans="5:11">
      <c r="E361" s="287"/>
      <c r="I361" s="499"/>
      <c r="K361" s="287"/>
    </row>
    <row r="362" spans="5:11">
      <c r="E362" s="287"/>
      <c r="I362" s="499"/>
      <c r="K362" s="287"/>
    </row>
    <row r="363" spans="5:11">
      <c r="E363" s="287"/>
      <c r="I363" s="499"/>
      <c r="K363" s="287"/>
    </row>
    <row r="364" spans="5:11">
      <c r="E364" s="287"/>
      <c r="I364" s="499"/>
      <c r="K364" s="287"/>
    </row>
    <row r="365" spans="5:11">
      <c r="E365" s="287"/>
      <c r="I365" s="499"/>
      <c r="K365" s="287"/>
    </row>
    <row r="366" spans="5:11">
      <c r="E366" s="287"/>
      <c r="I366" s="499"/>
      <c r="K366" s="287"/>
    </row>
    <row r="367" spans="5:11">
      <c r="E367" s="287"/>
      <c r="I367" s="499"/>
      <c r="K367" s="287"/>
    </row>
    <row r="368" spans="5:11">
      <c r="E368" s="287"/>
      <c r="I368" s="499"/>
      <c r="K368" s="287"/>
    </row>
    <row r="369" spans="5:11">
      <c r="E369" s="287"/>
      <c r="I369" s="499"/>
      <c r="K369" s="287"/>
    </row>
    <row r="370" spans="5:11">
      <c r="E370" s="287"/>
      <c r="I370" s="499"/>
      <c r="K370" s="287"/>
    </row>
    <row r="371" spans="5:11">
      <c r="E371" s="287"/>
      <c r="I371" s="499"/>
      <c r="K371" s="287"/>
    </row>
    <row r="372" spans="5:11">
      <c r="E372" s="287"/>
      <c r="I372" s="499"/>
      <c r="K372" s="287"/>
    </row>
    <row r="373" spans="5:11">
      <c r="E373" s="287"/>
      <c r="I373" s="499"/>
      <c r="K373" s="287"/>
    </row>
    <row r="374" spans="5:11">
      <c r="E374" s="287"/>
      <c r="I374" s="499"/>
      <c r="K374" s="287"/>
    </row>
    <row r="375" spans="5:11">
      <c r="E375" s="287"/>
      <c r="I375" s="499"/>
      <c r="K375" s="287"/>
    </row>
    <row r="376" spans="5:11">
      <c r="E376" s="287"/>
      <c r="I376" s="499"/>
      <c r="K376" s="287"/>
    </row>
    <row r="377" spans="5:11">
      <c r="E377" s="287"/>
      <c r="I377" s="499"/>
      <c r="K377" s="287"/>
    </row>
    <row r="378" spans="5:11">
      <c r="E378" s="287"/>
      <c r="I378" s="499"/>
      <c r="K378" s="287"/>
    </row>
    <row r="379" spans="5:11">
      <c r="E379" s="287"/>
      <c r="I379" s="499"/>
      <c r="K379" s="287"/>
    </row>
    <row r="380" spans="5:11">
      <c r="E380" s="287"/>
      <c r="I380" s="499"/>
      <c r="K380" s="287"/>
    </row>
    <row r="381" spans="5:11">
      <c r="E381" s="287"/>
      <c r="I381" s="499"/>
      <c r="K381" s="287"/>
    </row>
    <row r="382" spans="5:11">
      <c r="E382" s="287"/>
      <c r="I382" s="499"/>
      <c r="K382" s="287"/>
    </row>
    <row r="383" spans="5:11">
      <c r="E383" s="287"/>
      <c r="I383" s="499"/>
      <c r="K383" s="287"/>
    </row>
    <row r="384" spans="5:11">
      <c r="E384" s="287"/>
      <c r="I384" s="499"/>
      <c r="K384" s="287"/>
    </row>
    <row r="385" spans="5:11">
      <c r="E385" s="287"/>
      <c r="I385" s="499"/>
      <c r="K385" s="287"/>
    </row>
    <row r="386" spans="5:11">
      <c r="E386" s="287"/>
      <c r="I386" s="499"/>
      <c r="K386" s="287"/>
    </row>
    <row r="387" spans="5:11">
      <c r="E387" s="287"/>
      <c r="I387" s="499"/>
      <c r="K387" s="287"/>
    </row>
    <row r="388" spans="5:11">
      <c r="E388" s="287"/>
      <c r="I388" s="499"/>
      <c r="K388" s="287"/>
    </row>
    <row r="389" spans="5:11">
      <c r="E389" s="287"/>
      <c r="I389" s="499"/>
      <c r="K389" s="287"/>
    </row>
    <row r="390" spans="5:11">
      <c r="E390" s="287"/>
      <c r="I390" s="499"/>
      <c r="K390" s="287"/>
    </row>
    <row r="391" spans="5:11">
      <c r="E391" s="287"/>
      <c r="I391" s="499"/>
      <c r="K391" s="287"/>
    </row>
    <row r="392" spans="5:11">
      <c r="E392" s="287"/>
      <c r="I392" s="499"/>
      <c r="K392" s="287"/>
    </row>
    <row r="393" spans="5:11">
      <c r="E393" s="287"/>
      <c r="I393" s="499"/>
      <c r="K393" s="287"/>
    </row>
    <row r="394" spans="5:11">
      <c r="E394" s="287"/>
      <c r="I394" s="499"/>
      <c r="K394" s="287"/>
    </row>
    <row r="395" spans="5:11">
      <c r="E395" s="287"/>
      <c r="I395" s="499"/>
      <c r="K395" s="287"/>
    </row>
    <row r="396" spans="5:11">
      <c r="E396" s="287"/>
      <c r="I396" s="499"/>
      <c r="K396" s="287"/>
    </row>
    <row r="397" spans="5:11">
      <c r="E397" s="287"/>
      <c r="I397" s="499"/>
      <c r="K397" s="287"/>
    </row>
    <row r="398" spans="5:11">
      <c r="E398" s="287"/>
      <c r="I398" s="499"/>
      <c r="K398" s="287"/>
    </row>
    <row r="399" spans="5:11">
      <c r="E399" s="287"/>
      <c r="I399" s="499"/>
      <c r="K399" s="287"/>
    </row>
    <row r="400" spans="5:11">
      <c r="E400" s="287"/>
      <c r="I400" s="499"/>
      <c r="K400" s="287"/>
    </row>
    <row r="401" spans="5:11">
      <c r="E401" s="287"/>
      <c r="I401" s="499"/>
      <c r="K401" s="287"/>
    </row>
    <row r="402" spans="5:11">
      <c r="E402" s="287"/>
      <c r="I402" s="499"/>
      <c r="K402" s="287"/>
    </row>
    <row r="403" spans="5:11">
      <c r="E403" s="287"/>
      <c r="I403" s="499"/>
      <c r="K403" s="287"/>
    </row>
    <row r="404" spans="5:11">
      <c r="E404" s="287"/>
      <c r="I404" s="499"/>
      <c r="K404" s="287"/>
    </row>
    <row r="405" spans="5:11">
      <c r="E405" s="287"/>
      <c r="I405" s="499"/>
      <c r="K405" s="287"/>
    </row>
    <row r="406" spans="5:11">
      <c r="E406" s="287"/>
      <c r="I406" s="499"/>
      <c r="K406" s="287"/>
    </row>
    <row r="407" spans="5:11">
      <c r="E407" s="287"/>
      <c r="I407" s="499"/>
      <c r="K407" s="287"/>
    </row>
    <row r="408" spans="5:11">
      <c r="E408" s="287"/>
      <c r="I408" s="499"/>
      <c r="K408" s="287"/>
    </row>
    <row r="409" spans="5:11">
      <c r="E409" s="287"/>
      <c r="I409" s="499"/>
      <c r="K409" s="287"/>
    </row>
    <row r="410" spans="5:11">
      <c r="E410" s="287"/>
      <c r="I410" s="499"/>
      <c r="K410" s="287"/>
    </row>
    <row r="411" spans="5:11">
      <c r="E411" s="287"/>
      <c r="I411" s="499"/>
      <c r="K411" s="287"/>
    </row>
    <row r="412" spans="5:11">
      <c r="E412" s="287"/>
      <c r="I412" s="499"/>
      <c r="K412" s="287"/>
    </row>
    <row r="413" spans="5:11">
      <c r="E413" s="287"/>
      <c r="I413" s="499"/>
      <c r="K413" s="287"/>
    </row>
    <row r="414" spans="5:11">
      <c r="E414" s="287"/>
      <c r="I414" s="499"/>
      <c r="K414" s="287"/>
    </row>
    <row r="415" spans="5:11">
      <c r="E415" s="287"/>
      <c r="I415" s="499"/>
      <c r="K415" s="287"/>
    </row>
    <row r="416" spans="5:11">
      <c r="E416" s="287"/>
      <c r="I416" s="499"/>
      <c r="K416" s="287"/>
    </row>
    <row r="417" spans="5:11">
      <c r="E417" s="287"/>
      <c r="I417" s="499"/>
      <c r="K417" s="287"/>
    </row>
    <row r="418" spans="5:11">
      <c r="E418" s="287"/>
      <c r="I418" s="499"/>
      <c r="K418" s="287"/>
    </row>
    <row r="419" spans="5:11">
      <c r="E419" s="287"/>
      <c r="I419" s="499"/>
      <c r="K419" s="287"/>
    </row>
    <row r="420" spans="5:11">
      <c r="E420" s="287"/>
      <c r="I420" s="499"/>
      <c r="K420" s="287"/>
    </row>
    <row r="421" spans="5:11">
      <c r="E421" s="287"/>
      <c r="I421" s="499"/>
      <c r="K421" s="287"/>
    </row>
    <row r="422" spans="5:11">
      <c r="E422" s="287"/>
      <c r="I422" s="499"/>
      <c r="K422" s="287"/>
    </row>
    <row r="423" spans="5:11">
      <c r="E423" s="287"/>
      <c r="I423" s="499"/>
      <c r="K423" s="287"/>
    </row>
    <row r="424" spans="5:11">
      <c r="E424" s="287"/>
      <c r="I424" s="499"/>
      <c r="K424" s="287"/>
    </row>
    <row r="425" spans="5:11">
      <c r="E425" s="287"/>
      <c r="I425" s="499"/>
      <c r="K425" s="287"/>
    </row>
    <row r="426" spans="5:11">
      <c r="E426" s="287"/>
      <c r="I426" s="499"/>
      <c r="K426" s="287"/>
    </row>
    <row r="427" spans="5:11">
      <c r="E427" s="287"/>
      <c r="I427" s="499"/>
      <c r="K427" s="287"/>
    </row>
    <row r="428" spans="5:11">
      <c r="E428" s="287"/>
      <c r="I428" s="499"/>
      <c r="K428" s="287"/>
    </row>
    <row r="429" spans="5:11">
      <c r="E429" s="287"/>
      <c r="I429" s="499"/>
      <c r="K429" s="287"/>
    </row>
    <row r="430" spans="5:11">
      <c r="E430" s="287"/>
      <c r="I430" s="499"/>
      <c r="K430" s="287"/>
    </row>
    <row r="431" spans="5:11">
      <c r="E431" s="287"/>
      <c r="I431" s="499"/>
      <c r="K431" s="287"/>
    </row>
    <row r="432" spans="5:11">
      <c r="E432" s="287"/>
      <c r="I432" s="499"/>
      <c r="K432" s="287"/>
    </row>
    <row r="433" spans="5:11">
      <c r="E433" s="287"/>
      <c r="I433" s="499"/>
      <c r="K433" s="287"/>
    </row>
    <row r="434" spans="5:11">
      <c r="E434" s="287"/>
      <c r="I434" s="499"/>
      <c r="K434" s="287"/>
    </row>
    <row r="435" spans="5:11">
      <c r="E435" s="287"/>
      <c r="I435" s="499"/>
      <c r="K435" s="287"/>
    </row>
    <row r="436" spans="5:11">
      <c r="E436" s="287"/>
      <c r="I436" s="499"/>
      <c r="K436" s="287"/>
    </row>
    <row r="437" spans="5:11">
      <c r="E437" s="287"/>
      <c r="I437" s="499"/>
      <c r="K437" s="287"/>
    </row>
    <row r="438" spans="5:11">
      <c r="E438" s="287"/>
      <c r="I438" s="499"/>
      <c r="K438" s="287"/>
    </row>
    <row r="439" spans="5:11">
      <c r="E439" s="287"/>
      <c r="I439" s="499"/>
      <c r="K439" s="287"/>
    </row>
    <row r="440" spans="5:11">
      <c r="E440" s="287"/>
      <c r="I440" s="499"/>
      <c r="K440" s="287"/>
    </row>
    <row r="441" spans="5:11">
      <c r="E441" s="287"/>
      <c r="I441" s="499"/>
      <c r="K441" s="287"/>
    </row>
    <row r="442" spans="5:11">
      <c r="E442" s="287"/>
      <c r="I442" s="499"/>
      <c r="K442" s="287"/>
    </row>
    <row r="443" spans="5:11">
      <c r="E443" s="287"/>
      <c r="I443" s="499"/>
      <c r="K443" s="287"/>
    </row>
    <row r="444" spans="5:11">
      <c r="E444" s="287"/>
      <c r="I444" s="499"/>
      <c r="K444" s="287"/>
    </row>
    <row r="445" spans="5:11">
      <c r="E445" s="287"/>
      <c r="I445" s="499"/>
      <c r="K445" s="287"/>
    </row>
    <row r="446" spans="5:11">
      <c r="E446" s="287"/>
      <c r="I446" s="499"/>
      <c r="K446" s="287"/>
    </row>
    <row r="447" spans="5:11">
      <c r="E447" s="287"/>
      <c r="I447" s="499"/>
      <c r="K447" s="287"/>
    </row>
    <row r="448" spans="5:11">
      <c r="E448" s="287"/>
      <c r="I448" s="499"/>
      <c r="K448" s="287"/>
    </row>
    <row r="449" spans="5:11">
      <c r="E449" s="287"/>
      <c r="I449" s="499"/>
      <c r="K449" s="287"/>
    </row>
    <row r="450" spans="5:11">
      <c r="E450" s="287"/>
      <c r="I450" s="499"/>
      <c r="K450" s="287"/>
    </row>
    <row r="451" spans="5:11">
      <c r="E451" s="287"/>
      <c r="I451" s="499"/>
      <c r="K451" s="287"/>
    </row>
    <row r="452" spans="5:11">
      <c r="E452" s="287"/>
      <c r="I452" s="499"/>
      <c r="K452" s="287"/>
    </row>
    <row r="453" spans="5:11">
      <c r="E453" s="287"/>
      <c r="I453" s="499"/>
      <c r="K453" s="287"/>
    </row>
    <row r="454" spans="5:11">
      <c r="E454" s="287"/>
      <c r="I454" s="499"/>
      <c r="K454" s="287"/>
    </row>
    <row r="455" spans="5:11">
      <c r="E455" s="287"/>
      <c r="I455" s="499"/>
      <c r="K455" s="287"/>
    </row>
    <row r="456" spans="5:11">
      <c r="E456" s="287"/>
      <c r="I456" s="499"/>
      <c r="K456" s="287"/>
    </row>
    <row r="457" spans="5:11">
      <c r="E457" s="287"/>
      <c r="I457" s="499"/>
      <c r="K457" s="287"/>
    </row>
    <row r="458" spans="5:11">
      <c r="E458" s="287"/>
      <c r="I458" s="499"/>
      <c r="K458" s="287"/>
    </row>
    <row r="459" spans="5:11">
      <c r="E459" s="287"/>
      <c r="I459" s="499"/>
      <c r="K459" s="287"/>
    </row>
    <row r="460" spans="5:11">
      <c r="E460" s="287"/>
      <c r="I460" s="499"/>
      <c r="K460" s="287"/>
    </row>
    <row r="461" spans="5:11">
      <c r="E461" s="287"/>
      <c r="I461" s="499"/>
      <c r="K461" s="287"/>
    </row>
    <row r="462" spans="5:11">
      <c r="E462" s="287"/>
      <c r="I462" s="499"/>
      <c r="K462" s="287"/>
    </row>
    <row r="463" spans="5:11">
      <c r="E463" s="287"/>
      <c r="I463" s="499"/>
      <c r="K463" s="287"/>
    </row>
    <row r="464" spans="5:11">
      <c r="E464" s="287"/>
      <c r="I464" s="499"/>
      <c r="K464" s="287"/>
    </row>
    <row r="465" spans="5:11">
      <c r="E465" s="287"/>
      <c r="I465" s="499"/>
      <c r="K465" s="287"/>
    </row>
    <row r="466" spans="5:11">
      <c r="E466" s="287"/>
      <c r="I466" s="499"/>
      <c r="K466" s="287"/>
    </row>
    <row r="467" spans="5:11">
      <c r="E467" s="287"/>
      <c r="I467" s="499"/>
      <c r="K467" s="287"/>
    </row>
    <row r="468" spans="5:11">
      <c r="E468" s="287"/>
      <c r="I468" s="499"/>
      <c r="K468" s="287"/>
    </row>
    <row r="469" spans="5:11">
      <c r="E469" s="287"/>
      <c r="I469" s="499"/>
      <c r="K469" s="287"/>
    </row>
    <row r="470" spans="5:11">
      <c r="E470" s="287"/>
      <c r="I470" s="499"/>
      <c r="K470" s="287"/>
    </row>
    <row r="471" spans="5:11">
      <c r="E471" s="287"/>
      <c r="I471" s="499"/>
      <c r="K471" s="287"/>
    </row>
    <row r="472" spans="5:11">
      <c r="E472" s="287"/>
      <c r="I472" s="499"/>
      <c r="K472" s="287"/>
    </row>
    <row r="473" spans="5:11">
      <c r="E473" s="287"/>
      <c r="I473" s="499"/>
      <c r="K473" s="287"/>
    </row>
    <row r="474" spans="5:11">
      <c r="E474" s="287"/>
      <c r="I474" s="499"/>
      <c r="K474" s="287"/>
    </row>
    <row r="475" spans="5:11">
      <c r="E475" s="287"/>
      <c r="I475" s="499"/>
      <c r="K475" s="287"/>
    </row>
    <row r="476" spans="5:11">
      <c r="E476" s="287"/>
      <c r="I476" s="499"/>
      <c r="K476" s="287"/>
    </row>
    <row r="477" spans="5:11">
      <c r="E477" s="287"/>
      <c r="I477" s="499"/>
      <c r="K477" s="287"/>
    </row>
    <row r="478" spans="5:11">
      <c r="E478" s="287"/>
      <c r="I478" s="499"/>
      <c r="K478" s="287"/>
    </row>
    <row r="479" spans="5:11">
      <c r="E479" s="287"/>
      <c r="I479" s="499"/>
      <c r="K479" s="287"/>
    </row>
    <row r="480" spans="5:11">
      <c r="E480" s="287"/>
      <c r="I480" s="499"/>
      <c r="K480" s="287"/>
    </row>
    <row r="481" spans="5:11">
      <c r="E481" s="287"/>
      <c r="I481" s="499"/>
      <c r="K481" s="287"/>
    </row>
    <row r="482" spans="5:11">
      <c r="E482" s="287"/>
      <c r="I482" s="499"/>
      <c r="K482" s="287"/>
    </row>
    <row r="483" spans="5:11">
      <c r="E483" s="287"/>
      <c r="I483" s="499"/>
      <c r="K483" s="287"/>
    </row>
    <row r="484" spans="5:11">
      <c r="E484" s="287"/>
      <c r="I484" s="499"/>
      <c r="K484" s="287"/>
    </row>
    <row r="485" spans="5:11">
      <c r="E485" s="287"/>
      <c r="I485" s="499"/>
      <c r="K485" s="287"/>
    </row>
    <row r="486" spans="5:11">
      <c r="E486" s="287"/>
      <c r="I486" s="499"/>
      <c r="K486" s="287"/>
    </row>
    <row r="487" spans="5:11">
      <c r="E487" s="287"/>
      <c r="I487" s="499"/>
      <c r="K487" s="287"/>
    </row>
    <row r="488" spans="5:11">
      <c r="E488" s="287"/>
      <c r="I488" s="499"/>
      <c r="K488" s="287"/>
    </row>
    <row r="489" spans="5:11">
      <c r="E489" s="287"/>
      <c r="I489" s="499"/>
      <c r="K489" s="287"/>
    </row>
    <row r="490" spans="5:11">
      <c r="E490" s="287"/>
      <c r="I490" s="499"/>
      <c r="K490" s="287"/>
    </row>
    <row r="491" spans="5:11">
      <c r="E491" s="287"/>
      <c r="I491" s="499"/>
      <c r="K491" s="287"/>
    </row>
    <row r="492" spans="5:11">
      <c r="E492" s="287"/>
      <c r="I492" s="499"/>
      <c r="K492" s="287"/>
    </row>
    <row r="493" spans="5:11">
      <c r="E493" s="287"/>
      <c r="I493" s="499"/>
      <c r="K493" s="287"/>
    </row>
    <row r="494" spans="5:11">
      <c r="E494" s="287"/>
      <c r="I494" s="499"/>
      <c r="K494" s="287"/>
    </row>
    <row r="495" spans="5:11">
      <c r="E495" s="287"/>
      <c r="I495" s="499"/>
      <c r="K495" s="287"/>
    </row>
    <row r="496" spans="5:11">
      <c r="E496" s="287"/>
      <c r="I496" s="499"/>
      <c r="K496" s="287"/>
    </row>
    <row r="497" spans="5:11">
      <c r="E497" s="287"/>
      <c r="I497" s="499"/>
      <c r="K497" s="287"/>
    </row>
    <row r="498" spans="5:11">
      <c r="E498" s="287"/>
      <c r="I498" s="499"/>
      <c r="K498" s="287"/>
    </row>
    <row r="499" spans="5:11">
      <c r="E499" s="287"/>
      <c r="I499" s="499"/>
      <c r="K499" s="287"/>
    </row>
    <row r="500" spans="5:11">
      <c r="E500" s="287"/>
      <c r="I500" s="499"/>
      <c r="K500" s="287"/>
    </row>
    <row r="501" spans="5:11">
      <c r="E501" s="287"/>
      <c r="I501" s="499"/>
      <c r="K501" s="287"/>
    </row>
    <row r="502" spans="5:11">
      <c r="E502" s="287"/>
      <c r="I502" s="499"/>
      <c r="K502" s="287"/>
    </row>
    <row r="503" spans="5:11">
      <c r="E503" s="287"/>
      <c r="I503" s="499"/>
      <c r="K503" s="287"/>
    </row>
    <row r="504" spans="5:11">
      <c r="E504" s="287"/>
      <c r="I504" s="499"/>
      <c r="K504" s="287"/>
    </row>
    <row r="505" spans="5:11">
      <c r="E505" s="287"/>
      <c r="I505" s="499"/>
      <c r="K505" s="287"/>
    </row>
    <row r="506" spans="5:11">
      <c r="E506" s="287"/>
      <c r="I506" s="499"/>
      <c r="K506" s="287"/>
    </row>
    <row r="507" spans="5:11">
      <c r="E507" s="287"/>
      <c r="I507" s="499"/>
      <c r="K507" s="287"/>
    </row>
    <row r="508" spans="5:11">
      <c r="E508" s="287"/>
      <c r="I508" s="499"/>
      <c r="K508" s="287"/>
    </row>
    <row r="509" spans="5:11">
      <c r="E509" s="287"/>
      <c r="I509" s="499"/>
      <c r="K509" s="287"/>
    </row>
    <row r="510" spans="5:11">
      <c r="E510" s="287"/>
      <c r="I510" s="499"/>
      <c r="K510" s="287"/>
    </row>
    <row r="511" spans="5:11">
      <c r="E511" s="287"/>
      <c r="I511" s="499"/>
      <c r="K511" s="287"/>
    </row>
    <row r="512" spans="5:11">
      <c r="E512" s="287"/>
      <c r="I512" s="499"/>
      <c r="K512" s="287"/>
    </row>
    <row r="513" spans="5:11">
      <c r="E513" s="287"/>
      <c r="I513" s="499"/>
      <c r="K513" s="287"/>
    </row>
    <row r="514" spans="5:11">
      <c r="E514" s="287"/>
      <c r="I514" s="499"/>
      <c r="K514" s="287"/>
    </row>
    <row r="515" spans="5:11">
      <c r="E515" s="287"/>
      <c r="I515" s="499"/>
      <c r="K515" s="287"/>
    </row>
    <row r="516" spans="5:11">
      <c r="E516" s="287"/>
      <c r="I516" s="499"/>
      <c r="K516" s="287"/>
    </row>
    <row r="517" spans="5:11">
      <c r="E517" s="287"/>
      <c r="I517" s="499"/>
      <c r="K517" s="287"/>
    </row>
    <row r="518" spans="5:11">
      <c r="E518" s="287"/>
      <c r="I518" s="499"/>
      <c r="K518" s="287"/>
    </row>
    <row r="519" spans="5:11">
      <c r="E519" s="287"/>
      <c r="I519" s="499"/>
      <c r="K519" s="287"/>
    </row>
    <row r="520" spans="5:11">
      <c r="E520" s="287"/>
      <c r="I520" s="499"/>
      <c r="K520" s="287"/>
    </row>
    <row r="521" spans="5:11">
      <c r="E521" s="287"/>
      <c r="I521" s="499"/>
      <c r="K521" s="287"/>
    </row>
    <row r="522" spans="5:11">
      <c r="E522" s="287"/>
      <c r="I522" s="499"/>
      <c r="K522" s="287"/>
    </row>
    <row r="523" spans="5:11">
      <c r="E523" s="287"/>
      <c r="I523" s="499"/>
      <c r="K523" s="287"/>
    </row>
    <row r="524" spans="5:11">
      <c r="E524" s="287"/>
      <c r="I524" s="499"/>
      <c r="K524" s="287"/>
    </row>
    <row r="525" spans="5:11">
      <c r="E525" s="287"/>
      <c r="I525" s="499"/>
      <c r="K525" s="287"/>
    </row>
    <row r="526" spans="5:11">
      <c r="E526" s="287"/>
      <c r="I526" s="499"/>
      <c r="K526" s="287"/>
    </row>
    <row r="527" spans="5:11">
      <c r="E527" s="287"/>
      <c r="I527" s="499"/>
      <c r="K527" s="287"/>
    </row>
    <row r="528" spans="5:11">
      <c r="E528" s="287"/>
      <c r="I528" s="499"/>
      <c r="K528" s="287"/>
    </row>
    <row r="529" spans="5:11">
      <c r="E529" s="287"/>
      <c r="I529" s="499"/>
      <c r="K529" s="287"/>
    </row>
    <row r="530" spans="5:11">
      <c r="E530" s="287"/>
      <c r="I530" s="499"/>
      <c r="K530" s="287"/>
    </row>
    <row r="531" spans="5:11">
      <c r="E531" s="287"/>
      <c r="I531" s="499"/>
      <c r="K531" s="287"/>
    </row>
    <row r="532" spans="5:11">
      <c r="E532" s="287"/>
      <c r="I532" s="499"/>
      <c r="K532" s="287"/>
    </row>
    <row r="533" spans="5:11">
      <c r="E533" s="287"/>
      <c r="I533" s="499"/>
      <c r="K533" s="287"/>
    </row>
    <row r="534" spans="5:11">
      <c r="E534" s="287"/>
      <c r="I534" s="499"/>
      <c r="K534" s="287"/>
    </row>
    <row r="535" spans="5:11">
      <c r="E535" s="287"/>
      <c r="I535" s="499"/>
      <c r="K535" s="287"/>
    </row>
    <row r="536" spans="5:11">
      <c r="E536" s="287"/>
      <c r="I536" s="499"/>
      <c r="K536" s="287"/>
    </row>
    <row r="537" spans="5:11">
      <c r="E537" s="287"/>
      <c r="I537" s="499"/>
      <c r="K537" s="287"/>
    </row>
    <row r="538" spans="5:11">
      <c r="E538" s="287"/>
      <c r="I538" s="499"/>
      <c r="K538" s="287"/>
    </row>
    <row r="539" spans="5:11">
      <c r="E539" s="287"/>
      <c r="I539" s="499"/>
      <c r="K539" s="287"/>
    </row>
    <row r="540" spans="5:11">
      <c r="E540" s="287"/>
      <c r="I540" s="499"/>
      <c r="K540" s="287"/>
    </row>
    <row r="541" spans="5:11">
      <c r="E541" s="287"/>
      <c r="I541" s="499"/>
      <c r="K541" s="287"/>
    </row>
    <row r="542" spans="5:11">
      <c r="E542" s="287"/>
      <c r="I542" s="499"/>
      <c r="K542" s="287"/>
    </row>
    <row r="543" spans="5:11">
      <c r="E543" s="287"/>
      <c r="I543" s="499"/>
      <c r="K543" s="287"/>
    </row>
    <row r="544" spans="5:11">
      <c r="E544" s="287"/>
      <c r="I544" s="499"/>
      <c r="K544" s="287"/>
    </row>
    <row r="545" spans="5:11">
      <c r="E545" s="287"/>
      <c r="I545" s="499"/>
      <c r="K545" s="287"/>
    </row>
    <row r="546" spans="5:11">
      <c r="E546" s="287"/>
      <c r="I546" s="499"/>
      <c r="K546" s="287"/>
    </row>
    <row r="547" spans="5:11">
      <c r="E547" s="287"/>
      <c r="I547" s="499"/>
      <c r="K547" s="287"/>
    </row>
    <row r="548" spans="5:11">
      <c r="E548" s="287"/>
      <c r="I548" s="499"/>
      <c r="K548" s="287"/>
    </row>
    <row r="549" spans="5:11">
      <c r="E549" s="287"/>
      <c r="I549" s="499"/>
      <c r="K549" s="287"/>
    </row>
    <row r="550" spans="5:11">
      <c r="E550" s="287"/>
      <c r="I550" s="499"/>
      <c r="K550" s="287"/>
    </row>
    <row r="551" spans="5:11">
      <c r="E551" s="287"/>
      <c r="I551" s="499"/>
      <c r="K551" s="287"/>
    </row>
    <row r="552" spans="5:11">
      <c r="E552" s="287"/>
      <c r="I552" s="499"/>
      <c r="K552" s="287"/>
    </row>
    <row r="553" spans="5:11">
      <c r="E553" s="287"/>
      <c r="I553" s="499"/>
      <c r="K553" s="287"/>
    </row>
    <row r="554" spans="5:11">
      <c r="E554" s="287"/>
      <c r="I554" s="499"/>
      <c r="K554" s="287"/>
    </row>
    <row r="555" spans="5:11">
      <c r="E555" s="287"/>
      <c r="I555" s="499"/>
      <c r="K555" s="287"/>
    </row>
    <row r="556" spans="5:11">
      <c r="E556" s="287"/>
      <c r="I556" s="499"/>
      <c r="K556" s="287"/>
    </row>
    <row r="557" spans="5:11">
      <c r="E557" s="287"/>
      <c r="I557" s="499"/>
      <c r="K557" s="287"/>
    </row>
    <row r="558" spans="5:11">
      <c r="E558" s="287"/>
      <c r="I558" s="499"/>
      <c r="K558" s="287"/>
    </row>
    <row r="559" spans="5:11">
      <c r="E559" s="287"/>
      <c r="I559" s="499"/>
      <c r="K559" s="287"/>
    </row>
    <row r="560" spans="5:11">
      <c r="E560" s="287"/>
      <c r="I560" s="499"/>
      <c r="K560" s="287"/>
    </row>
    <row r="561" spans="5:11">
      <c r="E561" s="287"/>
      <c r="I561" s="499"/>
      <c r="K561" s="287"/>
    </row>
    <row r="562" spans="5:11">
      <c r="E562" s="287"/>
      <c r="I562" s="499"/>
      <c r="K562" s="287"/>
    </row>
    <row r="563" spans="5:11">
      <c r="E563" s="287"/>
      <c r="I563" s="499"/>
      <c r="K563" s="287"/>
    </row>
    <row r="564" spans="5:11">
      <c r="E564" s="287"/>
      <c r="I564" s="499"/>
      <c r="K564" s="287"/>
    </row>
    <row r="565" spans="5:11">
      <c r="E565" s="287"/>
      <c r="I565" s="499"/>
      <c r="K565" s="287"/>
    </row>
    <row r="566" spans="5:11">
      <c r="E566" s="287"/>
      <c r="I566" s="499"/>
      <c r="K566" s="287"/>
    </row>
    <row r="567" spans="5:11">
      <c r="E567" s="287"/>
      <c r="I567" s="499"/>
      <c r="K567" s="287"/>
    </row>
    <row r="568" spans="5:11">
      <c r="E568" s="287"/>
      <c r="I568" s="499"/>
      <c r="K568" s="287"/>
    </row>
    <row r="569" spans="5:11">
      <c r="E569" s="287"/>
      <c r="I569" s="499"/>
      <c r="K569" s="287"/>
    </row>
    <row r="570" spans="5:11">
      <c r="E570" s="287"/>
      <c r="I570" s="499"/>
      <c r="K570" s="287"/>
    </row>
    <row r="571" spans="5:11">
      <c r="E571" s="287"/>
      <c r="I571" s="499"/>
      <c r="K571" s="287"/>
    </row>
    <row r="572" spans="5:11">
      <c r="E572" s="287"/>
      <c r="I572" s="499"/>
      <c r="K572" s="287"/>
    </row>
    <row r="573" spans="5:11">
      <c r="E573" s="287"/>
      <c r="I573" s="499"/>
      <c r="K573" s="287"/>
    </row>
    <row r="574" spans="5:11">
      <c r="E574" s="287"/>
      <c r="I574" s="499"/>
      <c r="K574" s="287"/>
    </row>
    <row r="575" spans="5:11">
      <c r="E575" s="287"/>
      <c r="I575" s="499"/>
      <c r="K575" s="287"/>
    </row>
    <row r="576" spans="5:11">
      <c r="E576" s="287"/>
      <c r="I576" s="499"/>
      <c r="K576" s="287"/>
    </row>
    <row r="577" spans="5:11">
      <c r="E577" s="287"/>
      <c r="I577" s="499"/>
      <c r="K577" s="287"/>
    </row>
    <row r="578" spans="5:11">
      <c r="E578" s="287"/>
      <c r="I578" s="499"/>
      <c r="K578" s="287"/>
    </row>
    <row r="579" spans="5:11">
      <c r="E579" s="287"/>
      <c r="I579" s="499"/>
      <c r="K579" s="287"/>
    </row>
    <row r="580" spans="5:11">
      <c r="E580" s="287"/>
      <c r="I580" s="499"/>
      <c r="K580" s="287"/>
    </row>
    <row r="581" spans="5:11">
      <c r="E581" s="287"/>
      <c r="I581" s="499"/>
      <c r="K581" s="287"/>
    </row>
    <row r="582" spans="5:11">
      <c r="E582" s="287"/>
      <c r="I582" s="499"/>
      <c r="K582" s="287"/>
    </row>
    <row r="583" spans="5:11">
      <c r="E583" s="287"/>
      <c r="I583" s="499"/>
      <c r="K583" s="287"/>
    </row>
    <row r="584" spans="5:11">
      <c r="E584" s="287"/>
      <c r="I584" s="499"/>
      <c r="K584" s="287"/>
    </row>
    <row r="585" spans="5:11">
      <c r="E585" s="287"/>
      <c r="I585" s="499"/>
      <c r="K585" s="287"/>
    </row>
    <row r="586" spans="5:11">
      <c r="E586" s="287"/>
      <c r="I586" s="499"/>
      <c r="K586" s="287"/>
    </row>
    <row r="587" spans="5:11">
      <c r="E587" s="287"/>
      <c r="I587" s="499"/>
      <c r="K587" s="287"/>
    </row>
    <row r="588" spans="5:11">
      <c r="E588" s="287"/>
      <c r="I588" s="499"/>
      <c r="K588" s="287"/>
    </row>
    <row r="589" spans="5:11">
      <c r="E589" s="287"/>
      <c r="I589" s="499"/>
      <c r="K589" s="287"/>
    </row>
    <row r="590" spans="5:11">
      <c r="E590" s="287"/>
      <c r="I590" s="499"/>
      <c r="K590" s="287"/>
    </row>
    <row r="591" spans="5:11">
      <c r="E591" s="287"/>
      <c r="I591" s="499"/>
      <c r="K591" s="287"/>
    </row>
    <row r="592" spans="5:11">
      <c r="E592" s="287"/>
      <c r="I592" s="499"/>
      <c r="K592" s="287"/>
    </row>
    <row r="593" spans="5:11">
      <c r="E593" s="287"/>
      <c r="I593" s="499"/>
      <c r="K593" s="287"/>
    </row>
    <row r="594" spans="5:11">
      <c r="E594" s="287"/>
      <c r="I594" s="499"/>
      <c r="K594" s="287"/>
    </row>
    <row r="595" spans="5:11">
      <c r="E595" s="287"/>
      <c r="I595" s="499"/>
      <c r="K595" s="287"/>
    </row>
    <row r="596" spans="5:11">
      <c r="E596" s="287"/>
      <c r="I596" s="499"/>
      <c r="K596" s="287"/>
    </row>
    <row r="597" spans="5:11">
      <c r="E597" s="287"/>
      <c r="I597" s="499"/>
      <c r="K597" s="287"/>
    </row>
    <row r="598" spans="5:11">
      <c r="E598" s="287"/>
      <c r="I598" s="499"/>
      <c r="K598" s="287"/>
    </row>
    <row r="599" spans="5:11">
      <c r="E599" s="287"/>
      <c r="I599" s="499"/>
      <c r="K599" s="287"/>
    </row>
    <row r="600" spans="5:11">
      <c r="E600" s="287"/>
      <c r="I600" s="499"/>
      <c r="K600" s="287"/>
    </row>
    <row r="601" spans="5:11">
      <c r="E601" s="287"/>
      <c r="I601" s="499"/>
      <c r="K601" s="287"/>
    </row>
    <row r="602" spans="5:11">
      <c r="E602" s="287"/>
      <c r="I602" s="499"/>
      <c r="K602" s="287"/>
    </row>
    <row r="603" spans="5:11">
      <c r="E603" s="287"/>
      <c r="I603" s="499"/>
      <c r="K603" s="287"/>
    </row>
    <row r="604" spans="5:11">
      <c r="E604" s="287"/>
      <c r="I604" s="499"/>
      <c r="K604" s="287"/>
    </row>
    <row r="605" spans="5:11">
      <c r="E605" s="287"/>
      <c r="I605" s="499"/>
      <c r="K605" s="287"/>
    </row>
    <row r="606" spans="5:11">
      <c r="E606" s="287"/>
      <c r="I606" s="499"/>
      <c r="K606" s="287"/>
    </row>
    <row r="607" spans="5:11">
      <c r="E607" s="287"/>
      <c r="I607" s="499"/>
      <c r="K607" s="287"/>
    </row>
    <row r="608" spans="5:11">
      <c r="E608" s="287"/>
      <c r="I608" s="499"/>
      <c r="K608" s="287"/>
    </row>
    <row r="609" spans="5:11">
      <c r="E609" s="287"/>
      <c r="I609" s="499"/>
      <c r="K609" s="287"/>
    </row>
    <row r="610" spans="5:11">
      <c r="E610" s="287"/>
      <c r="I610" s="499"/>
      <c r="K610" s="287"/>
    </row>
    <row r="611" spans="5:11">
      <c r="E611" s="287"/>
      <c r="I611" s="499"/>
      <c r="K611" s="287"/>
    </row>
    <row r="612" spans="5:11">
      <c r="E612" s="287"/>
      <c r="I612" s="499"/>
      <c r="K612" s="287"/>
    </row>
    <row r="613" spans="5:11">
      <c r="E613" s="287"/>
      <c r="I613" s="499"/>
      <c r="K613" s="287"/>
    </row>
    <row r="614" spans="5:11">
      <c r="E614" s="287"/>
      <c r="I614" s="499"/>
      <c r="K614" s="287"/>
    </row>
    <row r="615" spans="5:11">
      <c r="E615" s="287"/>
      <c r="I615" s="499"/>
      <c r="K615" s="287"/>
    </row>
    <row r="616" spans="5:11">
      <c r="E616" s="287"/>
      <c r="I616" s="499"/>
      <c r="K616" s="287"/>
    </row>
    <row r="617" spans="5:11">
      <c r="E617" s="287"/>
      <c r="I617" s="499"/>
      <c r="K617" s="287"/>
    </row>
    <row r="618" spans="5:11">
      <c r="E618" s="287"/>
      <c r="I618" s="499"/>
      <c r="K618" s="287"/>
    </row>
    <row r="619" spans="5:11">
      <c r="E619" s="287"/>
      <c r="I619" s="499"/>
      <c r="K619" s="287"/>
    </row>
    <row r="620" spans="5:11">
      <c r="E620" s="287"/>
      <c r="I620" s="499"/>
      <c r="K620" s="287"/>
    </row>
    <row r="621" spans="5:11">
      <c r="E621" s="287"/>
      <c r="I621" s="499"/>
      <c r="K621" s="287"/>
    </row>
    <row r="622" spans="5:11">
      <c r="E622" s="287"/>
      <c r="I622" s="499"/>
      <c r="K622" s="287"/>
    </row>
    <row r="623" spans="5:11">
      <c r="E623" s="287"/>
      <c r="I623" s="499"/>
      <c r="K623" s="287"/>
    </row>
    <row r="624" spans="5:11">
      <c r="E624" s="287"/>
      <c r="I624" s="499"/>
      <c r="K624" s="287"/>
    </row>
    <row r="625" spans="5:11">
      <c r="E625" s="287"/>
      <c r="I625" s="499"/>
      <c r="K625" s="287"/>
    </row>
    <row r="626" spans="5:11">
      <c r="E626" s="287"/>
      <c r="I626" s="499"/>
      <c r="K626" s="287"/>
    </row>
    <row r="627" spans="5:11">
      <c r="E627" s="287"/>
      <c r="I627" s="499"/>
      <c r="K627" s="287"/>
    </row>
    <row r="628" spans="5:11">
      <c r="E628" s="287"/>
      <c r="I628" s="499"/>
      <c r="K628" s="287"/>
    </row>
    <row r="629" spans="5:11">
      <c r="E629" s="287"/>
      <c r="I629" s="499"/>
      <c r="K629" s="287"/>
    </row>
    <row r="630" spans="5:11">
      <c r="E630" s="287"/>
      <c r="I630" s="499"/>
      <c r="K630" s="287"/>
    </row>
    <row r="631" spans="5:11">
      <c r="E631" s="287"/>
      <c r="I631" s="499"/>
      <c r="K631" s="287"/>
    </row>
    <row r="632" spans="5:11">
      <c r="E632" s="287"/>
      <c r="I632" s="499"/>
      <c r="K632" s="287"/>
    </row>
    <row r="633" spans="5:11">
      <c r="E633" s="287"/>
      <c r="I633" s="499"/>
      <c r="K633" s="287"/>
    </row>
    <row r="634" spans="5:11">
      <c r="E634" s="287"/>
      <c r="I634" s="499"/>
      <c r="K634" s="287"/>
    </row>
    <row r="635" spans="5:11">
      <c r="E635" s="287"/>
      <c r="I635" s="499"/>
      <c r="K635" s="287"/>
    </row>
    <row r="636" spans="5:11">
      <c r="E636" s="287"/>
      <c r="I636" s="499"/>
      <c r="K636" s="287"/>
    </row>
    <row r="637" spans="5:11">
      <c r="E637" s="287"/>
      <c r="I637" s="499"/>
      <c r="K637" s="287"/>
    </row>
    <row r="638" spans="5:11">
      <c r="E638" s="287"/>
      <c r="I638" s="499"/>
      <c r="K638" s="287"/>
    </row>
    <row r="639" spans="5:11">
      <c r="E639" s="287"/>
      <c r="I639" s="499"/>
      <c r="K639" s="287"/>
    </row>
    <row r="640" spans="5:11">
      <c r="E640" s="287"/>
      <c r="I640" s="499"/>
      <c r="K640" s="287"/>
    </row>
    <row r="641" spans="5:11">
      <c r="E641" s="287"/>
      <c r="I641" s="499"/>
      <c r="K641" s="287"/>
    </row>
    <row r="642" spans="5:11">
      <c r="E642" s="287"/>
      <c r="I642" s="499"/>
      <c r="K642" s="287"/>
    </row>
    <row r="643" spans="5:11">
      <c r="E643" s="287"/>
      <c r="I643" s="499"/>
      <c r="K643" s="287"/>
    </row>
    <row r="644" spans="5:11">
      <c r="E644" s="287"/>
      <c r="I644" s="499"/>
      <c r="K644" s="287"/>
    </row>
    <row r="645" spans="5:11">
      <c r="E645" s="287"/>
      <c r="I645" s="499"/>
      <c r="K645" s="287"/>
    </row>
    <row r="646" spans="5:11">
      <c r="E646" s="287"/>
      <c r="I646" s="499"/>
      <c r="K646" s="287"/>
    </row>
    <row r="647" spans="5:11">
      <c r="E647" s="287"/>
      <c r="I647" s="499"/>
      <c r="K647" s="287"/>
    </row>
    <row r="648" spans="5:11">
      <c r="E648" s="287"/>
      <c r="I648" s="499"/>
      <c r="K648" s="287"/>
    </row>
    <row r="649" spans="5:11">
      <c r="E649" s="287"/>
      <c r="I649" s="499"/>
      <c r="K649" s="287"/>
    </row>
    <row r="650" spans="5:11">
      <c r="E650" s="287"/>
      <c r="I650" s="499"/>
      <c r="K650" s="287"/>
    </row>
    <row r="651" spans="5:11">
      <c r="E651" s="287"/>
      <c r="I651" s="499"/>
      <c r="K651" s="287"/>
    </row>
    <row r="652" spans="5:11">
      <c r="E652" s="287"/>
      <c r="I652" s="499"/>
      <c r="K652" s="287"/>
    </row>
    <row r="653" spans="5:11">
      <c r="E653" s="287"/>
      <c r="I653" s="499"/>
      <c r="K653" s="287"/>
    </row>
    <row r="654" spans="5:11">
      <c r="E654" s="287"/>
      <c r="I654" s="499"/>
      <c r="K654" s="287"/>
    </row>
    <row r="655" spans="5:11">
      <c r="E655" s="287"/>
      <c r="I655" s="499"/>
      <c r="K655" s="287"/>
    </row>
    <row r="656" spans="5:11">
      <c r="E656" s="287"/>
      <c r="I656" s="499"/>
      <c r="K656" s="287"/>
    </row>
    <row r="657" spans="5:11">
      <c r="E657" s="287"/>
      <c r="I657" s="499"/>
      <c r="K657" s="287"/>
    </row>
    <row r="658" spans="5:11">
      <c r="E658" s="287"/>
      <c r="I658" s="499"/>
      <c r="K658" s="287"/>
    </row>
    <row r="659" spans="5:11">
      <c r="E659" s="287"/>
      <c r="I659" s="499"/>
      <c r="K659" s="287"/>
    </row>
    <row r="660" spans="5:11">
      <c r="E660" s="287"/>
      <c r="I660" s="499"/>
      <c r="K660" s="287"/>
    </row>
    <row r="661" spans="5:11">
      <c r="E661" s="287"/>
      <c r="I661" s="499"/>
      <c r="K661" s="287"/>
    </row>
    <row r="662" spans="5:11">
      <c r="E662" s="287"/>
      <c r="I662" s="499"/>
      <c r="K662" s="287"/>
    </row>
    <row r="663" spans="5:11">
      <c r="E663" s="287"/>
      <c r="I663" s="499"/>
      <c r="K663" s="287"/>
    </row>
    <row r="664" spans="5:11">
      <c r="E664" s="287"/>
      <c r="I664" s="499"/>
      <c r="K664" s="287"/>
    </row>
    <row r="665" spans="5:11">
      <c r="E665" s="287"/>
      <c r="I665" s="499"/>
      <c r="K665" s="287"/>
    </row>
    <row r="666" spans="5:11">
      <c r="E666" s="287"/>
      <c r="I666" s="499"/>
      <c r="K666" s="287"/>
    </row>
    <row r="667" spans="5:11">
      <c r="E667" s="287"/>
      <c r="I667" s="499"/>
      <c r="K667" s="287"/>
    </row>
    <row r="668" spans="5:11">
      <c r="E668" s="287"/>
      <c r="I668" s="499"/>
      <c r="K668" s="287"/>
    </row>
    <row r="669" spans="5:11">
      <c r="E669" s="287"/>
      <c r="I669" s="499"/>
      <c r="K669" s="287"/>
    </row>
    <row r="670" spans="5:11">
      <c r="E670" s="287"/>
      <c r="I670" s="499"/>
      <c r="K670" s="287"/>
    </row>
    <row r="671" spans="5:11">
      <c r="E671" s="287"/>
      <c r="I671" s="499"/>
      <c r="K671" s="287"/>
    </row>
    <row r="672" spans="5:11">
      <c r="E672" s="287"/>
      <c r="I672" s="499"/>
      <c r="K672" s="287"/>
    </row>
    <row r="673" spans="5:11">
      <c r="E673" s="287"/>
      <c r="I673" s="499"/>
      <c r="K673" s="287"/>
    </row>
    <row r="674" spans="5:11">
      <c r="E674" s="287"/>
      <c r="I674" s="499"/>
      <c r="K674" s="287"/>
    </row>
    <row r="675" spans="5:11">
      <c r="E675" s="287"/>
      <c r="I675" s="499"/>
      <c r="K675" s="287"/>
    </row>
    <row r="676" spans="5:11">
      <c r="E676" s="287"/>
      <c r="I676" s="499"/>
      <c r="K676" s="287"/>
    </row>
    <row r="677" spans="5:11">
      <c r="E677" s="287"/>
      <c r="I677" s="499"/>
      <c r="K677" s="287"/>
    </row>
    <row r="678" spans="5:11">
      <c r="E678" s="287"/>
      <c r="I678" s="499"/>
      <c r="K678" s="287"/>
    </row>
    <row r="679" spans="5:11">
      <c r="E679" s="287"/>
      <c r="I679" s="499"/>
      <c r="K679" s="287"/>
    </row>
    <row r="680" spans="5:11">
      <c r="E680" s="287"/>
      <c r="I680" s="499"/>
      <c r="K680" s="287"/>
    </row>
    <row r="681" spans="5:11">
      <c r="E681" s="287"/>
      <c r="I681" s="499"/>
      <c r="K681" s="287"/>
    </row>
    <row r="682" spans="5:11">
      <c r="E682" s="287"/>
      <c r="I682" s="499"/>
      <c r="K682" s="287"/>
    </row>
    <row r="683" spans="5:11">
      <c r="E683" s="287"/>
      <c r="I683" s="499"/>
      <c r="K683" s="287"/>
    </row>
    <row r="684" spans="5:11">
      <c r="E684" s="287"/>
      <c r="I684" s="499"/>
      <c r="K684" s="287"/>
    </row>
    <row r="685" spans="5:11">
      <c r="E685" s="287"/>
      <c r="I685" s="499"/>
      <c r="K685" s="287"/>
    </row>
    <row r="686" spans="5:11">
      <c r="E686" s="287"/>
      <c r="I686" s="499"/>
      <c r="K686" s="287"/>
    </row>
    <row r="687" spans="5:11">
      <c r="E687" s="287"/>
      <c r="I687" s="499"/>
      <c r="K687" s="287"/>
    </row>
    <row r="688" spans="5:11">
      <c r="E688" s="287"/>
      <c r="I688" s="499"/>
      <c r="K688" s="287"/>
    </row>
    <row r="689" spans="5:11">
      <c r="E689" s="287"/>
      <c r="I689" s="499"/>
      <c r="K689" s="287"/>
    </row>
    <row r="690" spans="5:11">
      <c r="E690" s="287"/>
      <c r="I690" s="499"/>
      <c r="K690" s="287"/>
    </row>
    <row r="691" spans="5:11">
      <c r="E691" s="287"/>
      <c r="I691" s="499"/>
      <c r="K691" s="287"/>
    </row>
    <row r="692" spans="5:11">
      <c r="E692" s="287"/>
      <c r="I692" s="499"/>
      <c r="K692" s="287"/>
    </row>
    <row r="693" spans="5:11">
      <c r="E693" s="287"/>
      <c r="I693" s="499"/>
      <c r="K693" s="287"/>
    </row>
    <row r="694" spans="5:11">
      <c r="E694" s="287"/>
      <c r="I694" s="499"/>
      <c r="K694" s="287"/>
    </row>
    <row r="695" spans="5:11">
      <c r="E695" s="287"/>
      <c r="I695" s="499"/>
      <c r="K695" s="287"/>
    </row>
    <row r="696" spans="5:11">
      <c r="E696" s="287"/>
      <c r="I696" s="499"/>
      <c r="K696" s="287"/>
    </row>
    <row r="697" spans="5:11">
      <c r="E697" s="287"/>
      <c r="I697" s="499"/>
      <c r="K697" s="287"/>
    </row>
    <row r="698" spans="5:11">
      <c r="E698" s="287"/>
      <c r="I698" s="499"/>
      <c r="K698" s="287"/>
    </row>
    <row r="699" spans="5:11">
      <c r="E699" s="287"/>
      <c r="I699" s="499"/>
      <c r="K699" s="287"/>
    </row>
    <row r="700" spans="5:11">
      <c r="E700" s="287"/>
      <c r="I700" s="499"/>
      <c r="K700" s="287"/>
    </row>
    <row r="701" spans="5:11">
      <c r="E701" s="287"/>
      <c r="I701" s="499"/>
      <c r="K701" s="287"/>
    </row>
    <row r="702" spans="5:11">
      <c r="E702" s="287"/>
      <c r="I702" s="499"/>
      <c r="K702" s="287"/>
    </row>
    <row r="703" spans="5:11">
      <c r="E703" s="287"/>
      <c r="I703" s="499"/>
      <c r="K703" s="287"/>
    </row>
    <row r="704" spans="5:11">
      <c r="E704" s="287"/>
      <c r="I704" s="499"/>
      <c r="K704" s="287"/>
    </row>
    <row r="705" spans="5:11">
      <c r="E705" s="287"/>
      <c r="I705" s="499"/>
      <c r="K705" s="287"/>
    </row>
    <row r="706" spans="5:11">
      <c r="E706" s="287"/>
      <c r="I706" s="499"/>
      <c r="K706" s="287"/>
    </row>
    <row r="707" spans="5:11">
      <c r="E707" s="287"/>
      <c r="I707" s="499"/>
      <c r="K707" s="287"/>
    </row>
    <row r="708" spans="5:11">
      <c r="E708" s="287"/>
      <c r="I708" s="499"/>
      <c r="K708" s="287"/>
    </row>
    <row r="709" spans="5:11">
      <c r="E709" s="287"/>
      <c r="I709" s="499"/>
      <c r="K709" s="287"/>
    </row>
    <row r="710" spans="5:11">
      <c r="E710" s="287"/>
      <c r="I710" s="499"/>
      <c r="K710" s="287"/>
    </row>
    <row r="711" spans="5:11">
      <c r="E711" s="287"/>
      <c r="I711" s="499"/>
      <c r="K711" s="287"/>
    </row>
    <row r="712" spans="5:11">
      <c r="E712" s="287"/>
      <c r="I712" s="499"/>
      <c r="K712" s="287"/>
    </row>
    <row r="713" spans="5:11">
      <c r="E713" s="287"/>
      <c r="I713" s="499"/>
      <c r="K713" s="287"/>
    </row>
    <row r="714" spans="5:11">
      <c r="E714" s="287"/>
      <c r="I714" s="499"/>
      <c r="K714" s="287"/>
    </row>
    <row r="715" spans="5:11">
      <c r="E715" s="287"/>
      <c r="I715" s="499"/>
      <c r="K715" s="287"/>
    </row>
    <row r="716" spans="5:11">
      <c r="E716" s="287"/>
      <c r="I716" s="499"/>
      <c r="K716" s="287"/>
    </row>
    <row r="717" spans="5:11">
      <c r="E717" s="287"/>
      <c r="I717" s="499"/>
      <c r="K717" s="287"/>
    </row>
    <row r="718" spans="5:11">
      <c r="E718" s="287"/>
      <c r="I718" s="499"/>
      <c r="K718" s="287"/>
    </row>
    <row r="719" spans="5:11">
      <c r="E719" s="287"/>
      <c r="I719" s="499"/>
      <c r="K719" s="287"/>
    </row>
    <row r="720" spans="5:11">
      <c r="E720" s="287"/>
      <c r="I720" s="499"/>
      <c r="K720" s="287"/>
    </row>
    <row r="721" spans="5:11">
      <c r="E721" s="287"/>
      <c r="I721" s="499"/>
      <c r="K721" s="287"/>
    </row>
    <row r="722" spans="5:11">
      <c r="E722" s="287"/>
      <c r="I722" s="499"/>
      <c r="K722" s="287"/>
    </row>
    <row r="723" spans="5:11">
      <c r="E723" s="287"/>
      <c r="I723" s="499"/>
      <c r="K723" s="287"/>
    </row>
    <row r="724" spans="5:11">
      <c r="E724" s="287"/>
      <c r="I724" s="499"/>
      <c r="K724" s="287"/>
    </row>
    <row r="725" spans="5:11">
      <c r="E725" s="287"/>
      <c r="I725" s="499"/>
      <c r="K725" s="287"/>
    </row>
    <row r="726" spans="5:11">
      <c r="E726" s="287"/>
      <c r="I726" s="499"/>
      <c r="K726" s="287"/>
    </row>
    <row r="727" spans="5:11">
      <c r="E727" s="287"/>
      <c r="I727" s="499"/>
      <c r="K727" s="287"/>
    </row>
    <row r="728" spans="5:11">
      <c r="E728" s="287"/>
      <c r="I728" s="499"/>
      <c r="K728" s="287"/>
    </row>
    <row r="729" spans="5:11">
      <c r="E729" s="287"/>
      <c r="I729" s="499"/>
      <c r="K729" s="287"/>
    </row>
    <row r="730" spans="5:11">
      <c r="E730" s="287"/>
      <c r="I730" s="499"/>
      <c r="K730" s="287"/>
    </row>
    <row r="731" spans="5:11">
      <c r="E731" s="287"/>
      <c r="I731" s="499"/>
      <c r="K731" s="287"/>
    </row>
    <row r="732" spans="5:11">
      <c r="E732" s="287"/>
      <c r="I732" s="499"/>
      <c r="K732" s="287"/>
    </row>
    <row r="733" spans="5:11">
      <c r="E733" s="287"/>
      <c r="I733" s="499"/>
      <c r="K733" s="287"/>
    </row>
    <row r="734" spans="5:11">
      <c r="E734" s="287"/>
      <c r="I734" s="499"/>
      <c r="K734" s="287"/>
    </row>
    <row r="735" spans="5:11">
      <c r="E735" s="287"/>
      <c r="I735" s="499"/>
      <c r="K735" s="287"/>
    </row>
    <row r="736" spans="5:11">
      <c r="E736" s="287"/>
      <c r="I736" s="499"/>
      <c r="K736" s="287"/>
    </row>
    <row r="737" spans="5:11">
      <c r="E737" s="287"/>
      <c r="I737" s="499"/>
      <c r="K737" s="287"/>
    </row>
    <row r="738" spans="5:11">
      <c r="E738" s="287"/>
      <c r="I738" s="499"/>
      <c r="K738" s="287"/>
    </row>
    <row r="739" spans="5:11">
      <c r="E739" s="287"/>
      <c r="I739" s="499"/>
      <c r="K739" s="287"/>
    </row>
    <row r="740" spans="5:11">
      <c r="E740" s="287"/>
      <c r="I740" s="499"/>
      <c r="K740" s="287"/>
    </row>
    <row r="741" spans="5:11">
      <c r="E741" s="287"/>
      <c r="I741" s="499"/>
      <c r="K741" s="287"/>
    </row>
    <row r="742" spans="5:11">
      <c r="E742" s="287"/>
      <c r="I742" s="499"/>
      <c r="K742" s="287"/>
    </row>
    <row r="743" spans="5:11">
      <c r="E743" s="287"/>
      <c r="I743" s="499"/>
      <c r="K743" s="287"/>
    </row>
    <row r="744" spans="5:11">
      <c r="E744" s="287"/>
      <c r="I744" s="499"/>
      <c r="K744" s="287"/>
    </row>
    <row r="745" spans="5:11">
      <c r="E745" s="287"/>
      <c r="I745" s="499"/>
      <c r="K745" s="287"/>
    </row>
    <row r="746" spans="5:11">
      <c r="E746" s="287"/>
      <c r="I746" s="499"/>
      <c r="K746" s="287"/>
    </row>
    <row r="747" spans="5:11">
      <c r="E747" s="287"/>
      <c r="I747" s="499"/>
      <c r="K747" s="287"/>
    </row>
    <row r="748" spans="5:11">
      <c r="E748" s="287"/>
      <c r="I748" s="499"/>
      <c r="K748" s="287"/>
    </row>
    <row r="749" spans="5:11">
      <c r="E749" s="287"/>
      <c r="I749" s="499"/>
      <c r="K749" s="287"/>
    </row>
    <row r="750" spans="5:11">
      <c r="E750" s="287"/>
      <c r="I750" s="499"/>
      <c r="K750" s="287"/>
    </row>
    <row r="751" spans="5:11">
      <c r="E751" s="287"/>
      <c r="I751" s="499"/>
      <c r="K751" s="287"/>
    </row>
    <row r="752" spans="5:11">
      <c r="E752" s="287"/>
      <c r="I752" s="499"/>
      <c r="K752" s="287"/>
    </row>
    <row r="753" spans="5:11">
      <c r="E753" s="287"/>
      <c r="I753" s="499"/>
      <c r="K753" s="287"/>
    </row>
    <row r="754" spans="5:11">
      <c r="E754" s="287"/>
      <c r="I754" s="499"/>
      <c r="K754" s="287"/>
    </row>
    <row r="755" spans="5:11">
      <c r="E755" s="287"/>
      <c r="I755" s="499"/>
      <c r="K755" s="287"/>
    </row>
    <row r="756" spans="5:11">
      <c r="E756" s="287"/>
      <c r="I756" s="499"/>
      <c r="K756" s="287"/>
    </row>
    <row r="757" spans="5:11">
      <c r="E757" s="287"/>
      <c r="I757" s="499"/>
      <c r="K757" s="287"/>
    </row>
    <row r="758" spans="5:11">
      <c r="E758" s="287"/>
      <c r="I758" s="499"/>
      <c r="K758" s="287"/>
    </row>
    <row r="759" spans="5:11">
      <c r="E759" s="287"/>
      <c r="I759" s="499"/>
      <c r="K759" s="287"/>
    </row>
    <row r="760" spans="5:11">
      <c r="E760" s="287"/>
      <c r="I760" s="499"/>
      <c r="K760" s="287"/>
    </row>
    <row r="761" spans="5:11">
      <c r="E761" s="287"/>
      <c r="I761" s="499"/>
      <c r="K761" s="287"/>
    </row>
    <row r="762" spans="5:11">
      <c r="E762" s="287"/>
      <c r="I762" s="499"/>
      <c r="K762" s="287"/>
    </row>
    <row r="763" spans="5:11">
      <c r="E763" s="287"/>
      <c r="I763" s="499"/>
      <c r="K763" s="287"/>
    </row>
    <row r="764" spans="5:11">
      <c r="E764" s="287"/>
      <c r="I764" s="499"/>
      <c r="K764" s="287"/>
    </row>
    <row r="765" spans="5:11">
      <c r="E765" s="287"/>
      <c r="I765" s="499"/>
      <c r="K765" s="287"/>
    </row>
    <row r="766" spans="5:11">
      <c r="E766" s="287"/>
      <c r="I766" s="499"/>
      <c r="K766" s="287"/>
    </row>
    <row r="767" spans="5:11">
      <c r="E767" s="287"/>
      <c r="I767" s="499"/>
      <c r="K767" s="287"/>
    </row>
    <row r="768" spans="5:11">
      <c r="E768" s="287"/>
      <c r="I768" s="499"/>
      <c r="K768" s="287"/>
    </row>
    <row r="769" spans="5:11">
      <c r="E769" s="287"/>
      <c r="I769" s="499"/>
      <c r="K769" s="287"/>
    </row>
    <row r="770" spans="5:11">
      <c r="E770" s="287"/>
      <c r="I770" s="499"/>
      <c r="K770" s="287"/>
    </row>
    <row r="771" spans="5:11">
      <c r="E771" s="287"/>
      <c r="I771" s="499"/>
      <c r="K771" s="287"/>
    </row>
    <row r="772" spans="5:11">
      <c r="E772" s="287"/>
      <c r="I772" s="499"/>
      <c r="K772" s="287"/>
    </row>
    <row r="773" spans="5:11">
      <c r="E773" s="287"/>
      <c r="I773" s="499"/>
      <c r="K773" s="287"/>
    </row>
    <row r="774" spans="5:11">
      <c r="E774" s="287"/>
      <c r="I774" s="499"/>
      <c r="K774" s="287"/>
    </row>
    <row r="775" spans="5:11">
      <c r="E775" s="287"/>
      <c r="I775" s="499"/>
      <c r="K775" s="287"/>
    </row>
    <row r="776" spans="5:11">
      <c r="E776" s="287"/>
      <c r="I776" s="499"/>
      <c r="K776" s="287"/>
    </row>
    <row r="777" spans="5:11">
      <c r="E777" s="287"/>
      <c r="I777" s="499"/>
      <c r="K777" s="287"/>
    </row>
    <row r="778" spans="5:11">
      <c r="E778" s="287"/>
      <c r="I778" s="499"/>
      <c r="K778" s="287"/>
    </row>
    <row r="779" spans="5:11">
      <c r="E779" s="287"/>
      <c r="I779" s="499"/>
      <c r="K779" s="287"/>
    </row>
    <row r="780" spans="5:11">
      <c r="E780" s="287"/>
      <c r="I780" s="499"/>
      <c r="K780" s="287"/>
    </row>
    <row r="781" spans="5:11">
      <c r="E781" s="287"/>
      <c r="I781" s="499"/>
      <c r="K781" s="287"/>
    </row>
    <row r="782" spans="5:11">
      <c r="E782" s="287"/>
      <c r="I782" s="499"/>
      <c r="K782" s="287"/>
    </row>
    <row r="783" spans="5:11">
      <c r="E783" s="287"/>
      <c r="I783" s="499"/>
      <c r="K783" s="287"/>
    </row>
    <row r="784" spans="5:11">
      <c r="E784" s="287"/>
      <c r="I784" s="499"/>
      <c r="K784" s="287"/>
    </row>
    <row r="785" spans="5:11">
      <c r="E785" s="287"/>
      <c r="I785" s="499"/>
      <c r="K785" s="287"/>
    </row>
    <row r="786" spans="5:11">
      <c r="E786" s="287"/>
      <c r="I786" s="499"/>
      <c r="K786" s="287"/>
    </row>
    <row r="787" spans="5:11">
      <c r="E787" s="287"/>
      <c r="I787" s="499"/>
      <c r="K787" s="287"/>
    </row>
    <row r="788" spans="5:11">
      <c r="E788" s="287"/>
      <c r="I788" s="499"/>
      <c r="K788" s="287"/>
    </row>
    <row r="789" spans="5:11">
      <c r="E789" s="287"/>
      <c r="I789" s="499"/>
      <c r="K789" s="287"/>
    </row>
    <row r="790" spans="5:11">
      <c r="E790" s="287"/>
      <c r="I790" s="499"/>
      <c r="K790" s="287"/>
    </row>
    <row r="791" spans="5:11">
      <c r="E791" s="287"/>
      <c r="I791" s="499"/>
      <c r="K791" s="287"/>
    </row>
    <row r="792" spans="5:11">
      <c r="E792" s="287"/>
      <c r="I792" s="499"/>
      <c r="K792" s="287"/>
    </row>
    <row r="793" spans="5:11">
      <c r="E793" s="287"/>
      <c r="I793" s="499"/>
      <c r="K793" s="287"/>
    </row>
    <row r="794" spans="5:11">
      <c r="E794" s="287"/>
      <c r="I794" s="499"/>
      <c r="K794" s="287"/>
    </row>
    <row r="795" spans="5:11">
      <c r="E795" s="287"/>
      <c r="I795" s="499"/>
      <c r="K795" s="287"/>
    </row>
    <row r="796" spans="5:11">
      <c r="E796" s="287"/>
      <c r="I796" s="499"/>
      <c r="K796" s="287"/>
    </row>
    <row r="797" spans="5:11">
      <c r="E797" s="287"/>
      <c r="I797" s="499"/>
      <c r="K797" s="287"/>
    </row>
    <row r="798" spans="5:11">
      <c r="E798" s="287"/>
      <c r="I798" s="499"/>
      <c r="K798" s="287"/>
    </row>
    <row r="799" spans="5:11">
      <c r="E799" s="287"/>
      <c r="I799" s="499"/>
      <c r="K799" s="287"/>
    </row>
    <row r="800" spans="5:11">
      <c r="E800" s="287"/>
      <c r="I800" s="499"/>
      <c r="K800" s="287"/>
    </row>
    <row r="801" spans="5:11">
      <c r="E801" s="287"/>
      <c r="I801" s="499"/>
      <c r="K801" s="287"/>
    </row>
    <row r="802" spans="5:11">
      <c r="E802" s="287"/>
      <c r="I802" s="499"/>
      <c r="K802" s="287"/>
    </row>
    <row r="803" spans="5:11">
      <c r="E803" s="287"/>
      <c r="I803" s="499"/>
      <c r="K803" s="287"/>
    </row>
    <row r="804" spans="5:11">
      <c r="E804" s="287"/>
      <c r="I804" s="499"/>
      <c r="K804" s="287"/>
    </row>
    <row r="805" spans="5:11">
      <c r="E805" s="287"/>
      <c r="I805" s="499"/>
      <c r="K805" s="287"/>
    </row>
    <row r="806" spans="5:11">
      <c r="E806" s="287"/>
      <c r="I806" s="499"/>
      <c r="K806" s="287"/>
    </row>
    <row r="807" spans="5:11">
      <c r="E807" s="287"/>
      <c r="I807" s="499"/>
      <c r="K807" s="287"/>
    </row>
    <row r="808" spans="5:11">
      <c r="E808" s="287"/>
      <c r="I808" s="499"/>
      <c r="K808" s="287"/>
    </row>
    <row r="809" spans="5:11">
      <c r="E809" s="287"/>
      <c r="I809" s="499"/>
      <c r="K809" s="287"/>
    </row>
    <row r="810" spans="5:11">
      <c r="E810" s="287"/>
      <c r="I810" s="499"/>
      <c r="K810" s="287"/>
    </row>
    <row r="811" spans="5:11">
      <c r="E811" s="287"/>
      <c r="I811" s="499"/>
      <c r="K811" s="287"/>
    </row>
    <row r="812" spans="5:11">
      <c r="E812" s="287"/>
      <c r="I812" s="499"/>
      <c r="K812" s="287"/>
    </row>
    <row r="813" spans="5:11">
      <c r="E813" s="287"/>
      <c r="I813" s="499"/>
      <c r="K813" s="287"/>
    </row>
    <row r="814" spans="5:11">
      <c r="E814" s="287"/>
      <c r="I814" s="499"/>
      <c r="K814" s="287"/>
    </row>
    <row r="815" spans="5:11">
      <c r="E815" s="287"/>
      <c r="I815" s="499"/>
      <c r="K815" s="287"/>
    </row>
    <row r="816" spans="5:11">
      <c r="E816" s="287"/>
      <c r="I816" s="499"/>
      <c r="K816" s="287"/>
    </row>
    <row r="817" spans="5:11">
      <c r="E817" s="287"/>
      <c r="I817" s="499"/>
      <c r="K817" s="287"/>
    </row>
    <row r="818" spans="5:11">
      <c r="E818" s="287"/>
      <c r="I818" s="499"/>
      <c r="K818" s="287"/>
    </row>
    <row r="819" spans="5:11">
      <c r="E819" s="287"/>
      <c r="I819" s="499"/>
      <c r="K819" s="287"/>
    </row>
    <row r="820" spans="5:11">
      <c r="E820" s="287"/>
      <c r="I820" s="499"/>
      <c r="K820" s="287"/>
    </row>
    <row r="821" spans="5:11">
      <c r="E821" s="287"/>
      <c r="I821" s="499"/>
      <c r="K821" s="287"/>
    </row>
    <row r="822" spans="5:11">
      <c r="E822" s="287"/>
      <c r="I822" s="499"/>
      <c r="K822" s="287"/>
    </row>
    <row r="823" spans="5:11">
      <c r="E823" s="287"/>
      <c r="I823" s="499"/>
      <c r="K823" s="287"/>
    </row>
    <row r="824" spans="5:11">
      <c r="E824" s="287"/>
      <c r="I824" s="499"/>
      <c r="K824" s="287"/>
    </row>
    <row r="825" spans="5:11">
      <c r="E825" s="287"/>
      <c r="I825" s="499"/>
      <c r="K825" s="287"/>
    </row>
    <row r="826" spans="5:11">
      <c r="E826" s="287"/>
      <c r="I826" s="499"/>
      <c r="K826" s="287"/>
    </row>
    <row r="827" spans="5:11">
      <c r="E827" s="287"/>
      <c r="I827" s="499"/>
      <c r="K827" s="287"/>
    </row>
    <row r="828" spans="5:11">
      <c r="E828" s="287"/>
      <c r="I828" s="499"/>
      <c r="K828" s="287"/>
    </row>
    <row r="829" spans="5:11">
      <c r="E829" s="287"/>
      <c r="I829" s="499"/>
      <c r="K829" s="287"/>
    </row>
    <row r="830" spans="5:11">
      <c r="E830" s="287"/>
      <c r="I830" s="499"/>
      <c r="K830" s="287"/>
    </row>
    <row r="831" spans="5:11">
      <c r="E831" s="287"/>
      <c r="I831" s="499"/>
      <c r="K831" s="287"/>
    </row>
    <row r="832" spans="5:11">
      <c r="E832" s="287"/>
      <c r="I832" s="499"/>
      <c r="K832" s="287"/>
    </row>
    <row r="833" spans="5:11">
      <c r="E833" s="287"/>
      <c r="I833" s="499"/>
      <c r="K833" s="287"/>
    </row>
    <row r="834" spans="5:11">
      <c r="E834" s="287"/>
      <c r="I834" s="499"/>
      <c r="K834" s="287"/>
    </row>
    <row r="835" spans="5:11">
      <c r="E835" s="287"/>
      <c r="I835" s="499"/>
      <c r="K835" s="287"/>
    </row>
    <row r="836" spans="5:11">
      <c r="E836" s="287"/>
      <c r="I836" s="499"/>
      <c r="K836" s="287"/>
    </row>
    <row r="837" spans="5:11">
      <c r="E837" s="287"/>
      <c r="I837" s="499"/>
      <c r="K837" s="287"/>
    </row>
    <row r="838" spans="5:11">
      <c r="E838" s="287"/>
      <c r="I838" s="499"/>
      <c r="K838" s="287"/>
    </row>
    <row r="839" spans="5:11">
      <c r="E839" s="287"/>
      <c r="I839" s="499"/>
      <c r="K839" s="287"/>
    </row>
    <row r="840" spans="5:11">
      <c r="E840" s="287"/>
      <c r="I840" s="499"/>
      <c r="K840" s="287"/>
    </row>
    <row r="841" spans="5:11">
      <c r="E841" s="287"/>
      <c r="I841" s="499"/>
      <c r="K841" s="287"/>
    </row>
    <row r="842" spans="5:11">
      <c r="E842" s="287"/>
      <c r="I842" s="499"/>
      <c r="K842" s="287"/>
    </row>
    <row r="843" spans="5:11">
      <c r="E843" s="287"/>
      <c r="I843" s="499"/>
      <c r="K843" s="287"/>
    </row>
    <row r="844" spans="5:11">
      <c r="E844" s="287"/>
      <c r="I844" s="499"/>
      <c r="K844" s="287"/>
    </row>
    <row r="845" spans="5:11">
      <c r="E845" s="287"/>
      <c r="I845" s="499"/>
      <c r="K845" s="287"/>
    </row>
    <row r="846" spans="5:11">
      <c r="E846" s="287"/>
      <c r="I846" s="499"/>
      <c r="K846" s="287"/>
    </row>
    <row r="847" spans="5:11">
      <c r="E847" s="287"/>
      <c r="I847" s="499"/>
      <c r="K847" s="287"/>
    </row>
    <row r="848" spans="5:11">
      <c r="E848" s="287"/>
      <c r="I848" s="499"/>
      <c r="K848" s="287"/>
    </row>
    <row r="849" spans="5:11">
      <c r="E849" s="287"/>
      <c r="I849" s="499"/>
      <c r="K849" s="287"/>
    </row>
    <row r="850" spans="5:11">
      <c r="E850" s="287"/>
      <c r="I850" s="499"/>
      <c r="K850" s="287"/>
    </row>
    <row r="851" spans="5:11">
      <c r="E851" s="287"/>
      <c r="I851" s="499"/>
      <c r="K851" s="287"/>
    </row>
    <row r="852" spans="5:11">
      <c r="E852" s="287"/>
      <c r="I852" s="499"/>
      <c r="K852" s="287"/>
    </row>
    <row r="853" spans="5:11">
      <c r="E853" s="287"/>
      <c r="I853" s="499"/>
      <c r="K853" s="287"/>
    </row>
    <row r="854" spans="5:11">
      <c r="E854" s="287"/>
      <c r="I854" s="499"/>
      <c r="K854" s="287"/>
    </row>
    <row r="855" spans="5:11">
      <c r="E855" s="287"/>
      <c r="I855" s="499"/>
      <c r="K855" s="287"/>
    </row>
    <row r="856" spans="5:11">
      <c r="E856" s="287"/>
      <c r="I856" s="499"/>
      <c r="K856" s="287"/>
    </row>
    <row r="857" spans="5:11">
      <c r="E857" s="287"/>
      <c r="I857" s="499"/>
      <c r="K857" s="287"/>
    </row>
    <row r="858" spans="5:11">
      <c r="E858" s="287"/>
      <c r="I858" s="499"/>
      <c r="K858" s="287"/>
    </row>
    <row r="859" spans="5:11">
      <c r="E859" s="287"/>
      <c r="I859" s="499"/>
      <c r="K859" s="287"/>
    </row>
    <row r="860" spans="5:11">
      <c r="E860" s="287"/>
      <c r="I860" s="499"/>
      <c r="K860" s="287"/>
    </row>
    <row r="861" spans="5:11">
      <c r="E861" s="287"/>
      <c r="I861" s="499"/>
      <c r="K861" s="287"/>
    </row>
    <row r="862" spans="5:11">
      <c r="E862" s="287"/>
      <c r="I862" s="499"/>
      <c r="K862" s="287"/>
    </row>
    <row r="863" spans="5:11">
      <c r="E863" s="287"/>
      <c r="I863" s="499"/>
      <c r="K863" s="287"/>
    </row>
    <row r="864" spans="5:11">
      <c r="E864" s="287"/>
      <c r="I864" s="499"/>
      <c r="K864" s="287"/>
    </row>
    <row r="865" spans="5:11">
      <c r="E865" s="287"/>
      <c r="I865" s="499"/>
      <c r="K865" s="287"/>
    </row>
    <row r="866" spans="5:11">
      <c r="E866" s="287"/>
      <c r="I866" s="499"/>
      <c r="K866" s="287"/>
    </row>
    <row r="867" spans="5:11">
      <c r="E867" s="287"/>
      <c r="I867" s="499"/>
      <c r="K867" s="287"/>
    </row>
    <row r="868" spans="5:11">
      <c r="E868" s="287"/>
      <c r="I868" s="499"/>
      <c r="K868" s="287"/>
    </row>
    <row r="869" spans="5:11">
      <c r="E869" s="287"/>
      <c r="I869" s="499"/>
      <c r="K869" s="287"/>
    </row>
    <row r="870" spans="5:11">
      <c r="E870" s="287"/>
      <c r="I870" s="499"/>
      <c r="K870" s="287"/>
    </row>
    <row r="871" spans="5:11">
      <c r="E871" s="287"/>
      <c r="I871" s="499"/>
      <c r="K871" s="287"/>
    </row>
    <row r="872" spans="5:11">
      <c r="E872" s="287"/>
      <c r="I872" s="499"/>
      <c r="K872" s="287"/>
    </row>
    <row r="873" spans="5:11">
      <c r="E873" s="287"/>
      <c r="I873" s="499"/>
      <c r="K873" s="287"/>
    </row>
    <row r="874" spans="5:11">
      <c r="E874" s="287"/>
      <c r="I874" s="499"/>
      <c r="K874" s="287"/>
    </row>
    <row r="875" spans="5:11">
      <c r="E875" s="287"/>
      <c r="I875" s="499"/>
      <c r="K875" s="287"/>
    </row>
    <row r="876" spans="5:11">
      <c r="E876" s="287"/>
      <c r="I876" s="499"/>
      <c r="K876" s="287"/>
    </row>
    <row r="877" spans="5:11">
      <c r="E877" s="287"/>
      <c r="I877" s="499"/>
      <c r="K877" s="287"/>
    </row>
    <row r="878" spans="5:11">
      <c r="E878" s="287"/>
      <c r="I878" s="499"/>
      <c r="K878" s="287"/>
    </row>
    <row r="879" spans="5:11">
      <c r="E879" s="287"/>
      <c r="I879" s="499"/>
      <c r="K879" s="287"/>
    </row>
    <row r="880" spans="5:11">
      <c r="E880" s="287"/>
      <c r="I880" s="499"/>
      <c r="K880" s="287"/>
    </row>
    <row r="881" spans="5:11">
      <c r="E881" s="287"/>
      <c r="I881" s="499"/>
      <c r="K881" s="287"/>
    </row>
    <row r="882" spans="5:11">
      <c r="E882" s="287"/>
      <c r="I882" s="499"/>
      <c r="K882" s="287"/>
    </row>
    <row r="883" spans="5:11">
      <c r="E883" s="287"/>
      <c r="I883" s="499"/>
      <c r="K883" s="287"/>
    </row>
    <row r="884" spans="5:11">
      <c r="E884" s="287"/>
      <c r="I884" s="499"/>
      <c r="K884" s="287"/>
    </row>
    <row r="885" spans="5:11">
      <c r="E885" s="287"/>
      <c r="I885" s="499"/>
      <c r="K885" s="287"/>
    </row>
    <row r="886" spans="5:11">
      <c r="E886" s="287"/>
      <c r="I886" s="499"/>
      <c r="K886" s="287"/>
    </row>
    <row r="887" spans="5:11">
      <c r="E887" s="287"/>
      <c r="I887" s="499"/>
      <c r="K887" s="287"/>
    </row>
    <row r="888" spans="5:11">
      <c r="E888" s="287"/>
      <c r="I888" s="499"/>
      <c r="K888" s="287"/>
    </row>
    <row r="889" spans="5:11">
      <c r="E889" s="287"/>
      <c r="I889" s="499"/>
      <c r="K889" s="287"/>
    </row>
    <row r="890" spans="5:11">
      <c r="E890" s="287"/>
      <c r="I890" s="499"/>
      <c r="K890" s="287"/>
    </row>
    <row r="891" spans="5:11">
      <c r="E891" s="287"/>
      <c r="I891" s="499"/>
      <c r="K891" s="287"/>
    </row>
    <row r="892" spans="5:11">
      <c r="E892" s="287"/>
      <c r="I892" s="499"/>
      <c r="K892" s="287"/>
    </row>
    <row r="893" spans="5:11">
      <c r="E893" s="287"/>
      <c r="I893" s="499"/>
      <c r="K893" s="287"/>
    </row>
    <row r="894" spans="5:11">
      <c r="E894" s="287"/>
      <c r="I894" s="499"/>
      <c r="K894" s="287"/>
    </row>
    <row r="895" spans="5:11">
      <c r="E895" s="287"/>
      <c r="I895" s="499"/>
      <c r="K895" s="287"/>
    </row>
    <row r="896" spans="5:11">
      <c r="E896" s="287"/>
      <c r="I896" s="499"/>
      <c r="K896" s="287"/>
    </row>
    <row r="897" spans="5:11">
      <c r="E897" s="287"/>
      <c r="I897" s="499"/>
      <c r="K897" s="287"/>
    </row>
    <row r="898" spans="5:11">
      <c r="E898" s="287"/>
      <c r="I898" s="499"/>
      <c r="K898" s="287"/>
    </row>
    <row r="899" spans="5:11">
      <c r="E899" s="287"/>
      <c r="I899" s="499"/>
      <c r="K899" s="287"/>
    </row>
    <row r="900" spans="5:11">
      <c r="E900" s="287"/>
      <c r="I900" s="499"/>
      <c r="K900" s="287"/>
    </row>
    <row r="901" spans="5:11">
      <c r="E901" s="287"/>
      <c r="I901" s="499"/>
      <c r="K901" s="287"/>
    </row>
    <row r="902" spans="5:11">
      <c r="E902" s="287"/>
      <c r="I902" s="499"/>
      <c r="K902" s="287"/>
    </row>
    <row r="903" spans="5:11">
      <c r="E903" s="287"/>
      <c r="I903" s="499"/>
      <c r="K903" s="287"/>
    </row>
    <row r="904" spans="5:11">
      <c r="E904" s="287"/>
      <c r="I904" s="499"/>
      <c r="K904" s="287"/>
    </row>
    <row r="905" spans="5:11">
      <c r="E905" s="287"/>
      <c r="I905" s="499"/>
      <c r="K905" s="287"/>
    </row>
    <row r="906" spans="5:11">
      <c r="E906" s="287"/>
      <c r="I906" s="499"/>
      <c r="K906" s="287"/>
    </row>
    <row r="907" spans="5:11">
      <c r="E907" s="287"/>
      <c r="I907" s="499"/>
      <c r="K907" s="287"/>
    </row>
    <row r="908" spans="5:11">
      <c r="E908" s="287"/>
      <c r="I908" s="499"/>
      <c r="K908" s="287"/>
    </row>
    <row r="909" spans="5:11">
      <c r="E909" s="287"/>
      <c r="I909" s="499"/>
      <c r="K909" s="287"/>
    </row>
    <row r="910" spans="5:11">
      <c r="E910" s="287"/>
      <c r="I910" s="499"/>
      <c r="K910" s="287"/>
    </row>
    <row r="911" spans="5:11">
      <c r="E911" s="287"/>
      <c r="I911" s="499"/>
      <c r="K911" s="287"/>
    </row>
    <row r="912" spans="5:11">
      <c r="E912" s="287"/>
      <c r="I912" s="499"/>
      <c r="K912" s="287"/>
    </row>
    <row r="913" spans="5:11">
      <c r="E913" s="287"/>
      <c r="I913" s="499"/>
      <c r="K913" s="287"/>
    </row>
    <row r="914" spans="5:11">
      <c r="E914" s="287"/>
      <c r="I914" s="499"/>
      <c r="K914" s="287"/>
    </row>
    <row r="915" spans="5:11">
      <c r="E915" s="287"/>
      <c r="I915" s="499"/>
      <c r="K915" s="287"/>
    </row>
    <row r="916" spans="5:11">
      <c r="E916" s="287"/>
      <c r="I916" s="499"/>
      <c r="K916" s="287"/>
    </row>
    <row r="917" spans="5:11">
      <c r="E917" s="287"/>
      <c r="I917" s="499"/>
      <c r="K917" s="287"/>
    </row>
    <row r="918" spans="5:11">
      <c r="E918" s="287"/>
      <c r="I918" s="499"/>
      <c r="K918" s="287"/>
    </row>
    <row r="919" spans="5:11">
      <c r="E919" s="287"/>
      <c r="I919" s="499"/>
      <c r="K919" s="287"/>
    </row>
    <row r="920" spans="5:11">
      <c r="E920" s="287"/>
      <c r="I920" s="499"/>
      <c r="K920" s="287"/>
    </row>
    <row r="921" spans="5:11">
      <c r="E921" s="287"/>
      <c r="I921" s="499"/>
      <c r="K921" s="287"/>
    </row>
    <row r="922" spans="5:11">
      <c r="E922" s="287"/>
      <c r="I922" s="499"/>
      <c r="K922" s="287"/>
    </row>
    <row r="923" spans="5:11">
      <c r="E923" s="287"/>
      <c r="I923" s="499"/>
      <c r="K923" s="287"/>
    </row>
    <row r="924" spans="5:11">
      <c r="E924" s="287"/>
      <c r="I924" s="499"/>
      <c r="K924" s="287"/>
    </row>
    <row r="925" spans="5:11">
      <c r="E925" s="287"/>
      <c r="I925" s="499"/>
      <c r="K925" s="287"/>
    </row>
    <row r="926" spans="5:11">
      <c r="E926" s="287"/>
      <c r="I926" s="499"/>
      <c r="K926" s="287"/>
    </row>
    <row r="927" spans="5:11">
      <c r="E927" s="287"/>
      <c r="I927" s="499"/>
      <c r="K927" s="287"/>
    </row>
    <row r="928" spans="5:11">
      <c r="E928" s="287"/>
      <c r="I928" s="499"/>
      <c r="K928" s="287"/>
    </row>
    <row r="929" spans="5:11">
      <c r="E929" s="287"/>
      <c r="I929" s="499"/>
      <c r="K929" s="287"/>
    </row>
    <row r="930" spans="5:11">
      <c r="E930" s="287"/>
      <c r="I930" s="499"/>
      <c r="K930" s="287"/>
    </row>
    <row r="931" spans="5:11">
      <c r="E931" s="287"/>
      <c r="I931" s="499"/>
      <c r="K931" s="287"/>
    </row>
    <row r="932" spans="5:11">
      <c r="E932" s="287"/>
      <c r="I932" s="499"/>
      <c r="K932" s="287"/>
    </row>
    <row r="933" spans="5:11">
      <c r="E933" s="287"/>
      <c r="I933" s="499"/>
      <c r="K933" s="287"/>
    </row>
    <row r="934" spans="5:11">
      <c r="E934" s="287"/>
      <c r="I934" s="499"/>
      <c r="K934" s="287"/>
    </row>
    <row r="935" spans="5:11">
      <c r="E935" s="287"/>
      <c r="I935" s="499"/>
      <c r="K935" s="287"/>
    </row>
    <row r="936" spans="5:11">
      <c r="E936" s="287"/>
      <c r="I936" s="499"/>
      <c r="K936" s="287"/>
    </row>
    <row r="937" spans="5:11">
      <c r="E937" s="287"/>
      <c r="I937" s="499"/>
      <c r="K937" s="287"/>
    </row>
    <row r="938" spans="5:11">
      <c r="E938" s="287"/>
      <c r="I938" s="499"/>
      <c r="K938" s="287"/>
    </row>
    <row r="939" spans="5:11">
      <c r="E939" s="287"/>
      <c r="I939" s="499"/>
      <c r="K939" s="287"/>
    </row>
    <row r="940" spans="5:11">
      <c r="E940" s="287"/>
      <c r="I940" s="499"/>
      <c r="K940" s="287"/>
    </row>
    <row r="941" spans="5:11">
      <c r="E941" s="287"/>
      <c r="I941" s="499"/>
      <c r="K941" s="287"/>
    </row>
    <row r="942" spans="5:11">
      <c r="E942" s="287"/>
      <c r="I942" s="499"/>
      <c r="K942" s="287"/>
    </row>
    <row r="943" spans="5:11">
      <c r="E943" s="287"/>
      <c r="I943" s="499"/>
      <c r="K943" s="287"/>
    </row>
    <row r="944" spans="5:11">
      <c r="E944" s="287"/>
      <c r="I944" s="499"/>
      <c r="K944" s="287"/>
    </row>
    <row r="945" spans="5:11">
      <c r="E945" s="287"/>
      <c r="I945" s="499"/>
      <c r="K945" s="287"/>
    </row>
    <row r="946" spans="5:11">
      <c r="E946" s="287"/>
      <c r="I946" s="499"/>
      <c r="K946" s="287"/>
    </row>
    <row r="947" spans="5:11">
      <c r="E947" s="287"/>
      <c r="I947" s="499"/>
      <c r="K947" s="287"/>
    </row>
    <row r="948" spans="5:11">
      <c r="E948" s="287"/>
      <c r="I948" s="499"/>
      <c r="K948" s="287"/>
    </row>
    <row r="949" spans="5:11">
      <c r="E949" s="287"/>
      <c r="I949" s="499"/>
      <c r="K949" s="287"/>
    </row>
    <row r="950" spans="5:11">
      <c r="E950" s="287"/>
      <c r="I950" s="499"/>
      <c r="K950" s="287"/>
    </row>
    <row r="951" spans="5:11">
      <c r="E951" s="287"/>
      <c r="I951" s="499"/>
      <c r="K951" s="287"/>
    </row>
    <row r="952" spans="5:11">
      <c r="E952" s="287"/>
      <c r="I952" s="499"/>
      <c r="K952" s="287"/>
    </row>
    <row r="953" spans="5:11">
      <c r="E953" s="287"/>
      <c r="I953" s="499"/>
      <c r="K953" s="287"/>
    </row>
    <row r="954" spans="5:11">
      <c r="E954" s="287"/>
      <c r="I954" s="499"/>
      <c r="K954" s="287"/>
    </row>
    <row r="955" spans="5:11">
      <c r="E955" s="287"/>
      <c r="I955" s="499"/>
      <c r="K955" s="287"/>
    </row>
    <row r="956" spans="5:11">
      <c r="E956" s="287"/>
      <c r="I956" s="499"/>
      <c r="K956" s="287"/>
    </row>
    <row r="957" spans="5:11">
      <c r="E957" s="287"/>
      <c r="I957" s="499"/>
      <c r="K957" s="287"/>
    </row>
    <row r="958" spans="5:11">
      <c r="E958" s="287"/>
      <c r="I958" s="499"/>
      <c r="K958" s="287"/>
    </row>
    <row r="959" spans="5:11">
      <c r="E959" s="287"/>
      <c r="I959" s="499"/>
      <c r="K959" s="287"/>
    </row>
    <row r="960" spans="5:11">
      <c r="E960" s="287"/>
      <c r="I960" s="499"/>
      <c r="K960" s="287"/>
    </row>
    <row r="961" spans="5:11">
      <c r="E961" s="287"/>
      <c r="I961" s="499"/>
      <c r="K961" s="287"/>
    </row>
    <row r="962" spans="5:11">
      <c r="E962" s="287"/>
      <c r="I962" s="499"/>
      <c r="K962" s="287"/>
    </row>
    <row r="963" spans="5:11">
      <c r="E963" s="287"/>
      <c r="I963" s="499"/>
      <c r="K963" s="287"/>
    </row>
    <row r="964" spans="5:11">
      <c r="E964" s="287"/>
      <c r="I964" s="499"/>
      <c r="K964" s="287"/>
    </row>
    <row r="965" spans="5:11">
      <c r="E965" s="287"/>
      <c r="I965" s="499"/>
      <c r="K965" s="287"/>
    </row>
    <row r="966" spans="5:11">
      <c r="E966" s="287"/>
      <c r="I966" s="499"/>
      <c r="K966" s="287"/>
    </row>
    <row r="967" spans="5:11">
      <c r="E967" s="287"/>
      <c r="I967" s="499"/>
      <c r="K967" s="287"/>
    </row>
    <row r="968" spans="5:11">
      <c r="E968" s="287"/>
      <c r="I968" s="499"/>
      <c r="K968" s="287"/>
    </row>
    <row r="969" spans="5:11">
      <c r="E969" s="287"/>
      <c r="I969" s="499"/>
      <c r="K969" s="287"/>
    </row>
    <row r="970" spans="5:11">
      <c r="E970" s="287"/>
      <c r="I970" s="499"/>
      <c r="K970" s="287"/>
    </row>
    <row r="971" spans="5:11">
      <c r="E971" s="287"/>
      <c r="I971" s="499"/>
      <c r="K971" s="287"/>
    </row>
    <row r="972" spans="5:11">
      <c r="E972" s="287"/>
      <c r="I972" s="499"/>
      <c r="K972" s="287"/>
    </row>
    <row r="973" spans="5:11">
      <c r="E973" s="287"/>
      <c r="I973" s="499"/>
      <c r="K973" s="287"/>
    </row>
    <row r="974" spans="5:11">
      <c r="E974" s="287"/>
      <c r="I974" s="499"/>
      <c r="K974" s="287"/>
    </row>
    <row r="975" spans="5:11">
      <c r="E975" s="287"/>
      <c r="I975" s="499"/>
      <c r="K975" s="287"/>
    </row>
    <row r="976" spans="5:11">
      <c r="E976" s="287"/>
      <c r="I976" s="499"/>
      <c r="K976" s="287"/>
    </row>
    <row r="977" spans="5:11">
      <c r="E977" s="287"/>
      <c r="I977" s="499"/>
      <c r="K977" s="287"/>
    </row>
    <row r="978" spans="5:11">
      <c r="E978" s="287"/>
      <c r="I978" s="499"/>
      <c r="K978" s="287"/>
    </row>
    <row r="979" spans="5:11">
      <c r="E979" s="287"/>
      <c r="I979" s="499"/>
      <c r="K979" s="287"/>
    </row>
    <row r="980" spans="5:11">
      <c r="E980" s="287"/>
      <c r="I980" s="499"/>
      <c r="K980" s="287"/>
    </row>
    <row r="981" spans="5:11">
      <c r="E981" s="287"/>
      <c r="I981" s="499"/>
      <c r="K981" s="287"/>
    </row>
    <row r="982" spans="5:11">
      <c r="E982" s="287"/>
      <c r="I982" s="499"/>
      <c r="K982" s="287"/>
    </row>
    <row r="983" spans="5:11">
      <c r="E983" s="287"/>
      <c r="I983" s="499"/>
      <c r="K983" s="287"/>
    </row>
    <row r="984" spans="5:11">
      <c r="E984" s="287"/>
      <c r="I984" s="499"/>
      <c r="K984" s="287"/>
    </row>
    <row r="985" spans="5:11">
      <c r="E985" s="287"/>
      <c r="I985" s="499"/>
      <c r="K985" s="287"/>
    </row>
    <row r="986" spans="5:11">
      <c r="E986" s="287"/>
      <c r="I986" s="499"/>
      <c r="K986" s="287"/>
    </row>
    <row r="987" spans="5:11">
      <c r="E987" s="287"/>
      <c r="I987" s="499"/>
      <c r="K987" s="287"/>
    </row>
    <row r="988" spans="5:11">
      <c r="E988" s="287"/>
      <c r="I988" s="499"/>
      <c r="K988" s="287"/>
    </row>
    <row r="989" spans="5:11">
      <c r="E989" s="287"/>
      <c r="I989" s="499"/>
      <c r="K989" s="287"/>
    </row>
    <row r="990" spans="5:11">
      <c r="E990" s="287"/>
      <c r="I990" s="499"/>
      <c r="K990" s="287"/>
    </row>
    <row r="991" spans="5:11">
      <c r="E991" s="287"/>
      <c r="I991" s="499"/>
      <c r="K991" s="287"/>
    </row>
    <row r="992" spans="5:11">
      <c r="E992" s="287"/>
      <c r="I992" s="499"/>
      <c r="K992" s="287"/>
    </row>
    <row r="993" spans="5:11">
      <c r="E993" s="287"/>
      <c r="I993" s="499"/>
      <c r="K993" s="287"/>
    </row>
    <row r="994" spans="5:11">
      <c r="E994" s="287"/>
      <c r="I994" s="499"/>
      <c r="K994" s="287"/>
    </row>
    <row r="995" spans="5:11">
      <c r="E995" s="287"/>
      <c r="I995" s="499"/>
      <c r="K995" s="287"/>
    </row>
    <row r="996" spans="5:11">
      <c r="E996" s="287"/>
      <c r="I996" s="499"/>
      <c r="K996" s="287"/>
    </row>
    <row r="997" spans="5:11">
      <c r="E997" s="287"/>
      <c r="I997" s="499"/>
      <c r="K997" s="287"/>
    </row>
    <row r="998" spans="5:11">
      <c r="E998" s="287"/>
      <c r="I998" s="499"/>
      <c r="K998" s="287"/>
    </row>
    <row r="999" spans="5:11">
      <c r="E999" s="287"/>
      <c r="I999" s="499"/>
      <c r="K999" s="287"/>
    </row>
    <row r="1000" spans="5:11">
      <c r="E1000" s="287"/>
      <c r="I1000" s="499"/>
      <c r="K1000" s="287"/>
    </row>
  </sheetData>
  <mergeCells count="1">
    <mergeCell ref="L140:L14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  <pageSetUpPr fitToPage="1"/>
  </sheetPr>
  <dimension ref="A1:AA1000"/>
  <sheetViews>
    <sheetView workbookViewId="0"/>
  </sheetViews>
  <sheetFormatPr defaultColWidth="12.5703125" defaultRowHeight="15.75" customHeight="1"/>
  <cols>
    <col min="2" max="2" width="45" customWidth="1"/>
    <col min="3" max="3" width="11.5703125" customWidth="1"/>
    <col min="4" max="4" width="20" customWidth="1"/>
    <col min="11" max="11" width="18.5703125" customWidth="1"/>
    <col min="12" max="12" width="20.42578125" customWidth="1"/>
    <col min="13" max="13" width="21.28515625" customWidth="1"/>
    <col min="14" max="14" width="27.28515625" customWidth="1"/>
  </cols>
  <sheetData>
    <row r="1" spans="1:27">
      <c r="A1" s="1" t="s">
        <v>0</v>
      </c>
      <c r="C1" s="499"/>
      <c r="E1" s="287"/>
      <c r="I1" s="499"/>
      <c r="K1" s="287"/>
    </row>
    <row r="2" spans="1:27">
      <c r="C2" s="499"/>
      <c r="E2" s="287"/>
      <c r="I2" s="499"/>
      <c r="K2" s="287"/>
    </row>
    <row r="3" spans="1:27">
      <c r="A3" s="523" t="s">
        <v>5</v>
      </c>
      <c r="B3" s="524" t="s">
        <v>7</v>
      </c>
      <c r="C3" s="525" t="s">
        <v>159</v>
      </c>
      <c r="D3" s="526" t="s">
        <v>10</v>
      </c>
      <c r="E3" s="527" t="s">
        <v>243</v>
      </c>
      <c r="F3" s="528" t="s">
        <v>244</v>
      </c>
      <c r="G3" s="528" t="s">
        <v>245</v>
      </c>
      <c r="H3" s="529" t="s">
        <v>246</v>
      </c>
      <c r="I3" s="525" t="s">
        <v>532</v>
      </c>
      <c r="J3" s="530" t="s">
        <v>13</v>
      </c>
      <c r="K3" s="531" t="s">
        <v>162</v>
      </c>
      <c r="L3" s="14"/>
    </row>
    <row r="4" spans="1:27">
      <c r="A4" s="219"/>
      <c r="B4" s="4"/>
      <c r="C4" s="59"/>
      <c r="D4" s="45"/>
      <c r="E4" s="532"/>
      <c r="F4" s="220"/>
      <c r="G4" s="533"/>
      <c r="H4" s="533"/>
      <c r="I4" s="223"/>
      <c r="J4" s="223"/>
      <c r="K4" s="534"/>
      <c r="L4" s="33"/>
    </row>
    <row r="5" spans="1:27">
      <c r="A5" s="269">
        <v>1</v>
      </c>
      <c r="B5" s="617" t="s">
        <v>29</v>
      </c>
      <c r="C5" s="619">
        <v>7</v>
      </c>
      <c r="D5" s="621" t="s">
        <v>570</v>
      </c>
      <c r="E5" s="622" t="s">
        <v>534</v>
      </c>
      <c r="F5" s="619">
        <v>28</v>
      </c>
      <c r="G5" s="623"/>
      <c r="H5" s="623">
        <v>32000</v>
      </c>
      <c r="I5" s="619"/>
      <c r="J5" s="619"/>
      <c r="K5" s="622" t="s">
        <v>535</v>
      </c>
      <c r="L5" s="14"/>
    </row>
    <row r="6" spans="1:27">
      <c r="A6" s="269">
        <v>2</v>
      </c>
      <c r="B6" s="625" t="s">
        <v>20</v>
      </c>
      <c r="C6" s="619">
        <v>5</v>
      </c>
      <c r="D6" s="627"/>
      <c r="E6" s="622"/>
      <c r="F6" s="619"/>
      <c r="G6" s="623"/>
      <c r="H6" s="623"/>
      <c r="I6" s="619"/>
      <c r="J6" s="619"/>
      <c r="K6" s="622" t="s">
        <v>118</v>
      </c>
      <c r="L6" s="324"/>
    </row>
    <row r="7" spans="1:27">
      <c r="A7" s="269">
        <v>3</v>
      </c>
      <c r="B7" s="617" t="s">
        <v>340</v>
      </c>
      <c r="C7" s="621">
        <v>5</v>
      </c>
      <c r="D7" s="621" t="s">
        <v>533</v>
      </c>
      <c r="E7" s="629" t="s">
        <v>534</v>
      </c>
      <c r="F7" s="621">
        <v>30</v>
      </c>
      <c r="G7" s="623">
        <v>210000</v>
      </c>
      <c r="H7" s="623">
        <v>17500</v>
      </c>
      <c r="I7" s="621"/>
      <c r="J7" s="621"/>
      <c r="K7" s="629" t="s">
        <v>535</v>
      </c>
      <c r="L7" s="539"/>
      <c r="M7" s="509"/>
      <c r="N7" s="509"/>
      <c r="O7" s="509"/>
      <c r="P7" s="509"/>
      <c r="Q7" s="509"/>
      <c r="R7" s="509"/>
      <c r="S7" s="509"/>
      <c r="T7" s="509"/>
      <c r="U7" s="509"/>
      <c r="V7" s="509"/>
      <c r="W7" s="509"/>
      <c r="X7" s="509"/>
      <c r="Y7" s="509"/>
      <c r="Z7" s="509"/>
      <c r="AA7" s="509"/>
    </row>
    <row r="8" spans="1:27">
      <c r="A8" s="269">
        <v>4</v>
      </c>
      <c r="B8" s="625" t="s">
        <v>536</v>
      </c>
      <c r="C8" s="619">
        <v>5</v>
      </c>
      <c r="D8" s="619" t="s">
        <v>18</v>
      </c>
      <c r="E8" s="622"/>
      <c r="F8" s="619"/>
      <c r="G8" s="623"/>
      <c r="H8" s="623"/>
      <c r="I8" s="619"/>
      <c r="J8" s="619"/>
      <c r="K8" s="622" t="s">
        <v>118</v>
      </c>
      <c r="L8" s="324"/>
    </row>
    <row r="9" spans="1:27">
      <c r="A9" s="269">
        <v>5</v>
      </c>
      <c r="B9" s="625" t="s">
        <v>538</v>
      </c>
      <c r="C9" s="619">
        <v>5</v>
      </c>
      <c r="D9" s="619" t="s">
        <v>539</v>
      </c>
      <c r="E9" s="622">
        <v>60</v>
      </c>
      <c r="F9" s="619">
        <v>27</v>
      </c>
      <c r="G9" s="623">
        <v>59200</v>
      </c>
      <c r="H9" s="623">
        <v>29600</v>
      </c>
      <c r="I9" s="619">
        <v>0</v>
      </c>
      <c r="J9" s="619"/>
      <c r="K9" s="622" t="s">
        <v>571</v>
      </c>
      <c r="L9" s="324"/>
    </row>
    <row r="10" spans="1:27">
      <c r="A10" s="269">
        <v>6</v>
      </c>
      <c r="B10" s="617" t="s">
        <v>572</v>
      </c>
      <c r="C10" s="619">
        <v>5</v>
      </c>
      <c r="D10" s="621" t="s">
        <v>573</v>
      </c>
      <c r="E10" s="622">
        <v>40</v>
      </c>
      <c r="F10" s="619"/>
      <c r="G10" s="623"/>
      <c r="H10" s="623"/>
      <c r="I10" s="619"/>
      <c r="J10" s="619"/>
      <c r="K10" s="622" t="s">
        <v>118</v>
      </c>
      <c r="L10" s="14"/>
    </row>
    <row r="11" spans="1:27">
      <c r="A11" s="269">
        <v>7</v>
      </c>
      <c r="B11" s="617" t="s">
        <v>335</v>
      </c>
      <c r="C11" s="621">
        <v>5</v>
      </c>
      <c r="D11" s="640"/>
      <c r="E11" s="629"/>
      <c r="F11" s="621"/>
      <c r="G11" s="623"/>
      <c r="H11" s="623"/>
      <c r="I11" s="621"/>
      <c r="J11" s="621"/>
      <c r="K11" s="629" t="s">
        <v>331</v>
      </c>
      <c r="L11" s="451"/>
      <c r="M11" s="509"/>
      <c r="N11" s="509"/>
      <c r="O11" s="509"/>
      <c r="P11" s="509"/>
      <c r="Q11" s="509"/>
      <c r="R11" s="509"/>
      <c r="S11" s="509"/>
      <c r="T11" s="509"/>
      <c r="U11" s="509"/>
      <c r="V11" s="509"/>
      <c r="W11" s="509"/>
      <c r="X11" s="509"/>
      <c r="Y11" s="509"/>
      <c r="Z11" s="509"/>
      <c r="AA11" s="509"/>
    </row>
    <row r="12" spans="1:27">
      <c r="A12" s="269">
        <v>8</v>
      </c>
      <c r="B12" s="625" t="s">
        <v>574</v>
      </c>
      <c r="C12" s="619">
        <v>5</v>
      </c>
      <c r="D12" s="621" t="s">
        <v>575</v>
      </c>
      <c r="E12" s="622">
        <v>180</v>
      </c>
      <c r="F12" s="619">
        <v>18</v>
      </c>
      <c r="G12" s="623" t="s">
        <v>576</v>
      </c>
      <c r="H12" s="623">
        <v>25900</v>
      </c>
      <c r="I12" s="619"/>
      <c r="J12" s="619"/>
      <c r="K12" s="622" t="s">
        <v>331</v>
      </c>
      <c r="L12" s="33" t="s">
        <v>520</v>
      </c>
      <c r="M12" s="1" t="s">
        <v>199</v>
      </c>
    </row>
    <row r="13" spans="1:27">
      <c r="A13" s="269">
        <v>9</v>
      </c>
      <c r="B13" s="625" t="s">
        <v>410</v>
      </c>
      <c r="C13" s="619">
        <v>5.0599999999999996</v>
      </c>
      <c r="D13" s="619" t="s">
        <v>545</v>
      </c>
      <c r="E13" s="622">
        <v>90</v>
      </c>
      <c r="F13" s="619">
        <v>31</v>
      </c>
      <c r="G13" s="623">
        <v>88800</v>
      </c>
      <c r="H13" s="623">
        <v>29600</v>
      </c>
      <c r="I13" s="619">
        <v>0</v>
      </c>
      <c r="J13" s="619"/>
      <c r="K13" s="622" t="s">
        <v>571</v>
      </c>
      <c r="L13" s="474"/>
    </row>
    <row r="14" spans="1:27">
      <c r="A14" s="269">
        <v>10</v>
      </c>
      <c r="B14" s="625" t="s">
        <v>577</v>
      </c>
      <c r="C14" s="619">
        <v>5</v>
      </c>
      <c r="D14" s="619" t="s">
        <v>578</v>
      </c>
      <c r="E14" s="622">
        <v>180</v>
      </c>
      <c r="F14" s="619"/>
      <c r="G14" s="623">
        <v>150000</v>
      </c>
      <c r="H14" s="623">
        <v>25000</v>
      </c>
      <c r="I14" s="619">
        <v>25000</v>
      </c>
      <c r="J14" s="619"/>
      <c r="K14" s="622" t="s">
        <v>579</v>
      </c>
      <c r="L14" s="303"/>
    </row>
    <row r="15" spans="1:27">
      <c r="A15" s="269">
        <v>11</v>
      </c>
      <c r="B15" s="648" t="s">
        <v>332</v>
      </c>
      <c r="C15" s="619">
        <v>5</v>
      </c>
      <c r="D15" s="619" t="s">
        <v>570</v>
      </c>
      <c r="E15" s="622">
        <v>30</v>
      </c>
      <c r="F15" s="619">
        <v>28</v>
      </c>
      <c r="G15" s="623">
        <v>20000</v>
      </c>
      <c r="H15" s="623">
        <v>20000</v>
      </c>
      <c r="I15" s="619"/>
      <c r="J15" s="619"/>
      <c r="K15" s="622" t="s">
        <v>331</v>
      </c>
      <c r="L15" s="33"/>
    </row>
    <row r="16" spans="1:27">
      <c r="A16" s="269">
        <v>12</v>
      </c>
      <c r="B16" s="625" t="s">
        <v>23</v>
      </c>
      <c r="C16" s="619">
        <v>5.04</v>
      </c>
      <c r="D16" s="619" t="s">
        <v>570</v>
      </c>
      <c r="E16" s="622" t="s">
        <v>534</v>
      </c>
      <c r="F16" s="619">
        <v>31</v>
      </c>
      <c r="G16" s="623">
        <v>33000</v>
      </c>
      <c r="H16" s="623">
        <v>33000</v>
      </c>
      <c r="I16" s="619">
        <v>33000</v>
      </c>
      <c r="J16" s="619"/>
      <c r="K16" s="622"/>
      <c r="L16" s="341" t="s">
        <v>581</v>
      </c>
    </row>
    <row r="17" spans="1:16">
      <c r="A17" s="269">
        <v>13</v>
      </c>
      <c r="B17" s="4" t="s">
        <v>582</v>
      </c>
      <c r="C17" s="59">
        <v>5</v>
      </c>
      <c r="D17" s="59" t="s">
        <v>583</v>
      </c>
      <c r="E17" s="622">
        <v>180</v>
      </c>
      <c r="F17" s="59">
        <v>6</v>
      </c>
      <c r="G17" s="59">
        <v>37000</v>
      </c>
      <c r="H17" s="59"/>
      <c r="I17" s="59"/>
      <c r="J17" s="59"/>
      <c r="K17" s="537" t="s">
        <v>535</v>
      </c>
      <c r="L17" s="14"/>
    </row>
    <row r="18" spans="1:16">
      <c r="A18" s="269">
        <v>14</v>
      </c>
      <c r="B18" s="481" t="s">
        <v>418</v>
      </c>
      <c r="C18" s="454">
        <v>5</v>
      </c>
      <c r="D18" s="477" t="s">
        <v>584</v>
      </c>
      <c r="E18" s="543">
        <v>30</v>
      </c>
      <c r="F18" s="478">
        <v>4</v>
      </c>
      <c r="G18" s="478">
        <v>37000</v>
      </c>
      <c r="H18" s="478"/>
      <c r="I18" s="498"/>
      <c r="J18" s="498"/>
      <c r="K18" s="503" t="s">
        <v>275</v>
      </c>
      <c r="L18" s="501"/>
      <c r="N18" s="544"/>
      <c r="O18" s="544"/>
    </row>
    <row r="19" spans="1:16">
      <c r="A19" s="269"/>
      <c r="B19" s="4"/>
      <c r="C19" s="59"/>
      <c r="D19" s="45"/>
      <c r="E19" s="545"/>
      <c r="F19" s="223"/>
      <c r="G19" s="223"/>
      <c r="H19" s="221"/>
      <c r="I19" s="220"/>
      <c r="J19" s="220"/>
      <c r="K19" s="230"/>
      <c r="L19" s="14"/>
      <c r="N19" s="546">
        <v>360</v>
      </c>
      <c r="O19" s="544"/>
    </row>
    <row r="20" spans="1:16">
      <c r="A20" s="269"/>
      <c r="B20" s="253"/>
      <c r="C20" s="59"/>
      <c r="D20" s="45"/>
      <c r="E20" s="545"/>
      <c r="F20" s="223"/>
      <c r="G20" s="223"/>
      <c r="H20" s="223"/>
      <c r="I20" s="233"/>
      <c r="J20" s="233"/>
      <c r="K20" s="230"/>
      <c r="L20" s="14"/>
      <c r="N20" s="546">
        <v>216</v>
      </c>
      <c r="O20" s="544"/>
    </row>
    <row r="21" spans="1:16">
      <c r="A21" s="269"/>
      <c r="B21" s="453"/>
      <c r="C21" s="454"/>
      <c r="D21" s="455"/>
      <c r="E21" s="543"/>
      <c r="F21" s="458"/>
      <c r="G21" s="458"/>
      <c r="H21" s="458"/>
      <c r="I21" s="548"/>
      <c r="J21" s="548"/>
      <c r="K21" s="503"/>
      <c r="L21" s="451"/>
      <c r="N21" s="544"/>
      <c r="O21" s="544"/>
    </row>
    <row r="22" spans="1:16">
      <c r="A22" s="269"/>
      <c r="B22" s="253"/>
      <c r="C22" s="59"/>
      <c r="D22" s="251"/>
      <c r="E22" s="550"/>
      <c r="F22" s="401"/>
      <c r="G22" s="402"/>
      <c r="H22" s="222"/>
      <c r="I22" s="551"/>
      <c r="J22" s="395"/>
      <c r="K22" s="309"/>
      <c r="L22" s="682" t="s">
        <v>590</v>
      </c>
      <c r="N22" s="546" t="s">
        <v>551</v>
      </c>
      <c r="O22" s="544"/>
    </row>
    <row r="23" spans="1:16">
      <c r="A23" s="114"/>
      <c r="B23" s="236" t="s">
        <v>177</v>
      </c>
      <c r="C23" s="6">
        <f>SUM(C3:C22)</f>
        <v>72.099999999999994</v>
      </c>
      <c r="D23" s="109"/>
      <c r="E23" s="552"/>
      <c r="F23" s="237"/>
      <c r="G23" s="237">
        <f t="shared" ref="G23:H23" si="0">SUM(G4:G22)</f>
        <v>635000</v>
      </c>
      <c r="H23" s="553">
        <f t="shared" si="0"/>
        <v>212600</v>
      </c>
      <c r="I23" s="554">
        <f>SUM(I5:I22)</f>
        <v>58000</v>
      </c>
      <c r="J23" s="555">
        <f>SUM(J4:J22)</f>
        <v>0</v>
      </c>
      <c r="K23" s="556">
        <f>H23+J23</f>
        <v>212600</v>
      </c>
      <c r="L23" s="696">
        <f>K23/G23*100</f>
        <v>33.480314960629919</v>
      </c>
      <c r="N23" s="546" t="s">
        <v>553</v>
      </c>
      <c r="O23" s="544"/>
    </row>
    <row r="24" spans="1:16">
      <c r="A24" s="265"/>
      <c r="B24" s="206"/>
      <c r="C24" s="697"/>
      <c r="D24" s="185"/>
      <c r="E24" s="557"/>
      <c r="F24" s="558"/>
      <c r="G24" s="558"/>
      <c r="H24" s="265"/>
      <c r="I24" s="265"/>
      <c r="J24" s="265"/>
      <c r="K24" s="559"/>
      <c r="L24" s="14"/>
      <c r="N24" s="546" t="s">
        <v>554</v>
      </c>
      <c r="O24" s="544"/>
    </row>
    <row r="25" spans="1:16">
      <c r="A25" s="560"/>
      <c r="B25" s="561"/>
      <c r="C25" s="562"/>
      <c r="D25" s="561"/>
      <c r="E25" s="563"/>
      <c r="F25" s="561"/>
      <c r="G25" s="565"/>
      <c r="H25" s="565"/>
      <c r="I25" s="566"/>
      <c r="J25" s="566"/>
      <c r="K25" s="567"/>
      <c r="L25" s="33"/>
      <c r="N25" s="546" t="s">
        <v>555</v>
      </c>
      <c r="O25" s="544"/>
    </row>
    <row r="26" spans="1:16">
      <c r="A26" s="568"/>
      <c r="B26" s="569"/>
      <c r="C26" s="338"/>
      <c r="D26" s="570"/>
      <c r="E26" s="571"/>
      <c r="F26" s="572"/>
      <c r="G26" s="572"/>
      <c r="H26" s="573"/>
      <c r="I26" s="574"/>
      <c r="J26" s="574"/>
      <c r="K26" s="575"/>
      <c r="L26" s="33"/>
      <c r="N26" s="546" t="s">
        <v>556</v>
      </c>
      <c r="O26" s="544"/>
    </row>
    <row r="27" spans="1:16">
      <c r="A27" s="568"/>
      <c r="B27" s="576"/>
      <c r="C27" s="340"/>
      <c r="D27" s="577"/>
      <c r="E27" s="578"/>
      <c r="F27" s="319"/>
      <c r="G27" s="319"/>
      <c r="H27" s="320"/>
      <c r="I27" s="320"/>
      <c r="J27" s="320"/>
      <c r="K27" s="579"/>
      <c r="L27" s="33"/>
      <c r="N27" s="546" t="s">
        <v>557</v>
      </c>
      <c r="O27" s="544"/>
    </row>
    <row r="28" spans="1:16">
      <c r="A28" s="580"/>
      <c r="B28" s="581"/>
      <c r="C28" s="260"/>
      <c r="D28" s="260"/>
      <c r="E28" s="578"/>
      <c r="F28" s="582"/>
      <c r="G28" s="572"/>
      <c r="H28" s="270"/>
      <c r="I28" s="583"/>
      <c r="J28" s="584"/>
      <c r="K28" s="585"/>
      <c r="L28" s="303"/>
      <c r="N28" s="546" t="s">
        <v>558</v>
      </c>
      <c r="O28" s="544"/>
    </row>
    <row r="29" spans="1:16">
      <c r="A29" s="568"/>
      <c r="B29" s="586"/>
      <c r="C29" s="340"/>
      <c r="D29" s="577"/>
      <c r="E29" s="587"/>
      <c r="F29" s="582"/>
      <c r="G29" s="582"/>
      <c r="H29" s="237"/>
      <c r="I29" s="582"/>
      <c r="J29" s="582"/>
      <c r="K29" s="588"/>
      <c r="L29" s="33"/>
      <c r="N29" s="546" t="s">
        <v>559</v>
      </c>
      <c r="O29" s="544"/>
    </row>
    <row r="30" spans="1:16">
      <c r="A30" s="589"/>
      <c r="B30" s="590"/>
      <c r="C30" s="591"/>
      <c r="D30" s="590"/>
      <c r="E30" s="592"/>
      <c r="F30" s="590"/>
      <c r="G30" s="590"/>
      <c r="H30" s="590"/>
      <c r="I30" s="591"/>
      <c r="J30" s="590"/>
      <c r="K30" s="593"/>
      <c r="N30" s="544"/>
      <c r="O30" s="544"/>
    </row>
    <row r="31" spans="1:16">
      <c r="A31" s="2"/>
      <c r="B31" s="4"/>
      <c r="C31" s="6"/>
      <c r="D31" s="8"/>
      <c r="E31" s="532"/>
      <c r="F31" s="220"/>
      <c r="G31" s="220"/>
      <c r="H31" s="6"/>
      <c r="I31" s="6"/>
      <c r="J31" s="6"/>
      <c r="K31" s="594"/>
      <c r="L31" s="14"/>
      <c r="N31" s="546" t="s">
        <v>560</v>
      </c>
      <c r="O31" s="546">
        <v>1482000</v>
      </c>
    </row>
    <row r="32" spans="1:16">
      <c r="A32" s="595" t="s">
        <v>5</v>
      </c>
      <c r="B32" s="596" t="s">
        <v>74</v>
      </c>
      <c r="C32" s="597" t="s">
        <v>159</v>
      </c>
      <c r="D32" s="598" t="s">
        <v>10</v>
      </c>
      <c r="E32" s="599" t="s">
        <v>243</v>
      </c>
      <c r="F32" s="600" t="s">
        <v>244</v>
      </c>
      <c r="G32" s="600" t="s">
        <v>245</v>
      </c>
      <c r="H32" s="601" t="s">
        <v>246</v>
      </c>
      <c r="I32" s="597" t="s">
        <v>532</v>
      </c>
      <c r="J32" s="602" t="s">
        <v>13</v>
      </c>
      <c r="K32" s="603" t="s">
        <v>162</v>
      </c>
      <c r="L32" s="14"/>
      <c r="N32" s="604">
        <v>0.8</v>
      </c>
      <c r="O32" s="546">
        <v>1185000</v>
      </c>
      <c r="P32" s="286">
        <f>O32-I152</f>
        <v>433767</v>
      </c>
    </row>
    <row r="33" spans="1:16">
      <c r="A33" s="269">
        <v>1</v>
      </c>
      <c r="B33" s="443" t="s">
        <v>135</v>
      </c>
      <c r="C33" s="144">
        <v>5</v>
      </c>
      <c r="D33" s="715" t="s">
        <v>570</v>
      </c>
      <c r="E33" s="606"/>
      <c r="F33" s="144">
        <v>28</v>
      </c>
      <c r="G33" s="608"/>
      <c r="H33" s="608">
        <v>32000</v>
      </c>
      <c r="I33" s="609"/>
      <c r="J33" s="609"/>
      <c r="K33" s="503"/>
      <c r="L33" s="491"/>
      <c r="N33" s="604">
        <v>0.9</v>
      </c>
      <c r="O33" s="546">
        <v>1333800</v>
      </c>
      <c r="P33" s="286">
        <f>O33-I152</f>
        <v>582567</v>
      </c>
    </row>
    <row r="34" spans="1:16">
      <c r="A34" s="269">
        <v>2</v>
      </c>
      <c r="B34" s="443" t="s">
        <v>20</v>
      </c>
      <c r="C34" s="144">
        <v>5</v>
      </c>
      <c r="D34" s="234"/>
      <c r="E34" s="610"/>
      <c r="F34" s="611"/>
      <c r="G34" s="612"/>
      <c r="H34" s="612"/>
      <c r="I34" s="613"/>
      <c r="J34" s="612"/>
      <c r="K34" s="503" t="s">
        <v>118</v>
      </c>
      <c r="L34" s="14"/>
    </row>
    <row r="35" spans="1:16">
      <c r="A35" s="269">
        <v>3</v>
      </c>
      <c r="B35" s="443" t="s">
        <v>562</v>
      </c>
      <c r="C35" s="144">
        <v>5</v>
      </c>
      <c r="D35" s="698" t="s">
        <v>610</v>
      </c>
      <c r="E35" s="230"/>
      <c r="F35" s="144"/>
      <c r="G35" s="608"/>
      <c r="H35" s="608"/>
      <c r="I35" s="609"/>
      <c r="J35" s="609"/>
      <c r="K35" s="503"/>
      <c r="L35" s="14"/>
    </row>
    <row r="36" spans="1:16">
      <c r="A36" s="269">
        <v>4</v>
      </c>
      <c r="B36" s="443" t="s">
        <v>23</v>
      </c>
      <c r="C36" s="144">
        <v>5</v>
      </c>
      <c r="D36" s="715" t="s">
        <v>611</v>
      </c>
      <c r="E36" s="230" t="s">
        <v>534</v>
      </c>
      <c r="F36" s="144">
        <v>22</v>
      </c>
      <c r="G36" s="538" t="s">
        <v>612</v>
      </c>
      <c r="H36" s="538" t="s">
        <v>613</v>
      </c>
      <c r="I36" s="608">
        <v>25928.5</v>
      </c>
      <c r="J36" s="609"/>
      <c r="K36" s="503" t="s">
        <v>535</v>
      </c>
      <c r="L36" s="33" t="s">
        <v>581</v>
      </c>
    </row>
    <row r="37" spans="1:16">
      <c r="A37" s="269">
        <v>5</v>
      </c>
      <c r="B37" s="721" t="s">
        <v>565</v>
      </c>
      <c r="C37" s="144"/>
      <c r="D37" s="698" t="s">
        <v>566</v>
      </c>
      <c r="E37" s="230">
        <v>31</v>
      </c>
      <c r="F37" s="144">
        <v>20</v>
      </c>
      <c r="G37" s="608" t="s">
        <v>420</v>
      </c>
      <c r="H37" s="608">
        <v>23333</v>
      </c>
      <c r="I37" s="609"/>
      <c r="J37" s="609"/>
      <c r="K37" s="503" t="s">
        <v>567</v>
      </c>
      <c r="L37" s="33"/>
    </row>
    <row r="38" spans="1:16">
      <c r="A38" s="269">
        <v>6</v>
      </c>
      <c r="B38" s="443" t="s">
        <v>568</v>
      </c>
      <c r="C38" s="144">
        <v>5</v>
      </c>
      <c r="D38" s="203" t="s">
        <v>569</v>
      </c>
      <c r="E38" s="230">
        <v>180</v>
      </c>
      <c r="F38" s="144">
        <v>9</v>
      </c>
      <c r="G38" s="608">
        <v>147000</v>
      </c>
      <c r="H38" s="608">
        <v>24500</v>
      </c>
      <c r="I38" s="608">
        <v>0</v>
      </c>
      <c r="J38" s="609"/>
      <c r="K38" s="503" t="s">
        <v>571</v>
      </c>
      <c r="L38" s="324"/>
    </row>
    <row r="39" spans="1:16">
      <c r="A39" s="269">
        <v>7</v>
      </c>
      <c r="B39" s="443" t="s">
        <v>536</v>
      </c>
      <c r="C39" s="144">
        <v>5</v>
      </c>
      <c r="D39" s="203"/>
      <c r="E39" s="606"/>
      <c r="F39" s="607"/>
      <c r="G39" s="609"/>
      <c r="H39" s="609"/>
      <c r="I39" s="609"/>
      <c r="J39" s="609"/>
      <c r="K39" s="503" t="s">
        <v>118</v>
      </c>
      <c r="L39" s="491"/>
    </row>
    <row r="40" spans="1:16">
      <c r="A40" s="269">
        <v>8</v>
      </c>
      <c r="B40" s="443" t="s">
        <v>366</v>
      </c>
      <c r="C40" s="144">
        <v>5</v>
      </c>
      <c r="D40" s="203" t="s">
        <v>533</v>
      </c>
      <c r="E40" s="230">
        <v>31</v>
      </c>
      <c r="F40" s="144">
        <v>31</v>
      </c>
      <c r="G40" s="609">
        <v>17500</v>
      </c>
      <c r="H40" s="608">
        <v>17500</v>
      </c>
      <c r="I40" s="608"/>
      <c r="J40" s="609"/>
      <c r="K40" s="503" t="s">
        <v>331</v>
      </c>
      <c r="L40" s="491"/>
    </row>
    <row r="41" spans="1:16">
      <c r="A41" s="269">
        <v>9</v>
      </c>
      <c r="B41" s="443" t="s">
        <v>572</v>
      </c>
      <c r="C41" s="144">
        <v>5</v>
      </c>
      <c r="D41" s="203" t="s">
        <v>573</v>
      </c>
      <c r="E41" s="230">
        <v>40</v>
      </c>
      <c r="F41" s="607"/>
      <c r="G41" s="609"/>
      <c r="H41" s="608"/>
      <c r="I41" s="609"/>
      <c r="J41" s="609"/>
      <c r="K41" s="503" t="s">
        <v>118</v>
      </c>
      <c r="L41" s="14"/>
    </row>
    <row r="42" spans="1:16">
      <c r="A42" s="269">
        <v>10</v>
      </c>
      <c r="B42" s="615" t="s">
        <v>332</v>
      </c>
      <c r="C42" s="144">
        <v>5</v>
      </c>
      <c r="D42" s="203" t="s">
        <v>570</v>
      </c>
      <c r="E42" s="230">
        <v>90</v>
      </c>
      <c r="F42" s="144">
        <v>28</v>
      </c>
      <c r="G42" s="609">
        <v>20000</v>
      </c>
      <c r="H42" s="608">
        <v>20000</v>
      </c>
      <c r="I42" s="608"/>
      <c r="J42" s="609"/>
      <c r="K42" s="503" t="s">
        <v>331</v>
      </c>
      <c r="L42" s="324"/>
    </row>
    <row r="43" spans="1:16">
      <c r="A43" s="269">
        <v>11</v>
      </c>
      <c r="B43" s="481" t="s">
        <v>418</v>
      </c>
      <c r="C43" s="454">
        <v>5</v>
      </c>
      <c r="D43" s="477" t="s">
        <v>584</v>
      </c>
      <c r="E43" s="543">
        <v>30</v>
      </c>
      <c r="F43" s="478">
        <v>4</v>
      </c>
      <c r="G43" s="478">
        <v>37000</v>
      </c>
      <c r="H43" s="478"/>
      <c r="I43" s="498"/>
      <c r="J43" s="498"/>
      <c r="K43" s="503" t="s">
        <v>275</v>
      </c>
      <c r="L43" s="324"/>
    </row>
    <row r="44" spans="1:16">
      <c r="A44" s="269">
        <v>12</v>
      </c>
      <c r="B44" s="443"/>
      <c r="C44" s="144"/>
      <c r="D44" s="203"/>
      <c r="E44" s="606"/>
      <c r="F44" s="609"/>
      <c r="G44" s="609"/>
      <c r="H44" s="609"/>
      <c r="I44" s="609"/>
      <c r="J44" s="609"/>
      <c r="K44" s="503"/>
      <c r="L44" s="324"/>
    </row>
    <row r="45" spans="1:16">
      <c r="A45" s="269"/>
      <c r="B45" s="443"/>
      <c r="C45" s="100"/>
      <c r="D45" s="109"/>
      <c r="E45" s="606"/>
      <c r="F45" s="609"/>
      <c r="G45" s="609"/>
      <c r="H45" s="609"/>
      <c r="I45" s="609"/>
      <c r="J45" s="609"/>
      <c r="K45" s="503"/>
      <c r="L45" s="496"/>
    </row>
    <row r="46" spans="1:16">
      <c r="A46" s="269"/>
      <c r="B46" s="443"/>
      <c r="C46" s="100"/>
      <c r="D46" s="109"/>
      <c r="E46" s="606"/>
      <c r="F46" s="609"/>
      <c r="G46" s="609"/>
      <c r="H46" s="609"/>
      <c r="I46" s="616"/>
      <c r="J46" s="609"/>
      <c r="K46" s="503"/>
      <c r="L46" s="682" t="s">
        <v>590</v>
      </c>
    </row>
    <row r="47" spans="1:16">
      <c r="A47" s="2"/>
      <c r="B47" s="236" t="s">
        <v>177</v>
      </c>
      <c r="C47" s="6">
        <f>SUM(C33:C46)</f>
        <v>50</v>
      </c>
      <c r="D47" s="8"/>
      <c r="E47" s="618">
        <f>SUM(E33:E46)</f>
        <v>402</v>
      </c>
      <c r="F47" s="620"/>
      <c r="G47" s="620">
        <f t="shared" ref="G47:J47" si="1">SUM(G33:G46)</f>
        <v>221500</v>
      </c>
      <c r="H47" s="624">
        <f t="shared" si="1"/>
        <v>117333</v>
      </c>
      <c r="I47" s="626">
        <f t="shared" si="1"/>
        <v>25928.5</v>
      </c>
      <c r="J47" s="620">
        <f t="shared" si="1"/>
        <v>0</v>
      </c>
      <c r="K47" s="628">
        <f>H47+J47</f>
        <v>117333</v>
      </c>
      <c r="L47" s="696">
        <f>K47/G47*100</f>
        <v>52.972009029345365</v>
      </c>
    </row>
    <row r="48" spans="1:16">
      <c r="A48" s="14"/>
      <c r="B48" s="206"/>
      <c r="C48" s="198"/>
      <c r="D48" s="185"/>
      <c r="E48" s="557"/>
      <c r="F48" s="209"/>
      <c r="G48" s="209"/>
      <c r="H48" s="14"/>
      <c r="I48" s="14"/>
      <c r="J48" s="14"/>
      <c r="K48" s="559"/>
      <c r="L48" s="14"/>
    </row>
    <row r="49" spans="1:27">
      <c r="A49" s="630"/>
      <c r="B49" s="631"/>
      <c r="C49" s="632"/>
      <c r="D49" s="633"/>
      <c r="E49" s="634"/>
      <c r="F49" s="631"/>
      <c r="G49" s="635"/>
      <c r="H49" s="635"/>
      <c r="I49" s="636"/>
      <c r="J49" s="636"/>
      <c r="K49" s="637"/>
      <c r="L49" s="14"/>
    </row>
    <row r="50" spans="1:27">
      <c r="A50" s="638"/>
      <c r="B50" s="639"/>
      <c r="C50" s="150"/>
      <c r="D50" s="641"/>
      <c r="E50" s="642"/>
      <c r="F50" s="237"/>
      <c r="G50" s="150"/>
      <c r="H50" s="270"/>
      <c r="I50" s="237"/>
      <c r="J50" s="237"/>
      <c r="K50" s="643"/>
      <c r="L50" s="451"/>
    </row>
    <row r="51" spans="1:27">
      <c r="A51" s="638"/>
      <c r="B51" s="644"/>
      <c r="C51" s="260"/>
      <c r="D51" s="645"/>
      <c r="E51" s="642"/>
      <c r="F51" s="237"/>
      <c r="G51" s="150"/>
      <c r="H51" s="237"/>
      <c r="I51" s="237"/>
      <c r="J51" s="237"/>
      <c r="K51" s="646"/>
      <c r="L51" s="14"/>
    </row>
    <row r="52" spans="1:27">
      <c r="A52" s="638"/>
      <c r="B52" s="647"/>
      <c r="C52" s="649"/>
      <c r="D52" s="651"/>
      <c r="E52" s="652"/>
      <c r="F52" s="653"/>
      <c r="G52" s="653"/>
      <c r="H52" s="653"/>
      <c r="I52" s="654"/>
      <c r="J52" s="653"/>
      <c r="K52" s="655"/>
      <c r="L52" s="14"/>
    </row>
    <row r="53" spans="1:27">
      <c r="A53" s="638"/>
      <c r="B53" s="644"/>
      <c r="C53" s="260"/>
      <c r="D53" s="645"/>
      <c r="E53" s="642"/>
      <c r="F53" s="237"/>
      <c r="G53" s="270"/>
      <c r="H53" s="270"/>
      <c r="I53" s="237"/>
      <c r="J53" s="237"/>
      <c r="K53" s="646"/>
      <c r="L53" s="14"/>
    </row>
    <row r="54" spans="1:27">
      <c r="A54" s="638"/>
      <c r="B54" s="639"/>
      <c r="C54" s="260"/>
      <c r="D54" s="645"/>
      <c r="E54" s="587"/>
      <c r="F54" s="270"/>
      <c r="G54" s="270"/>
      <c r="H54" s="237"/>
      <c r="I54" s="150"/>
      <c r="J54" s="150"/>
      <c r="K54" s="646"/>
      <c r="L54" s="14"/>
    </row>
    <row r="55" spans="1:27">
      <c r="A55" s="656"/>
      <c r="B55" s="639"/>
      <c r="C55" s="309"/>
      <c r="D55" s="657"/>
      <c r="E55" s="587"/>
      <c r="F55" s="658"/>
      <c r="G55" s="659"/>
      <c r="H55" s="660"/>
      <c r="I55" s="642"/>
      <c r="J55" s="642"/>
      <c r="K55" s="661"/>
      <c r="L55" s="14"/>
    </row>
    <row r="56" spans="1:27">
      <c r="A56" s="662"/>
      <c r="B56" s="663"/>
      <c r="C56" s="664"/>
      <c r="D56" s="665"/>
      <c r="E56" s="666"/>
      <c r="F56" s="668"/>
      <c r="G56" s="669"/>
      <c r="H56" s="670"/>
      <c r="I56" s="671"/>
      <c r="J56" s="671"/>
      <c r="K56" s="672"/>
      <c r="L56" s="14"/>
    </row>
    <row r="57" spans="1:27">
      <c r="A57" s="114"/>
      <c r="B57" s="283"/>
      <c r="C57" s="673"/>
      <c r="D57" s="674"/>
      <c r="E57" s="675"/>
      <c r="F57" s="676"/>
      <c r="G57" s="677"/>
      <c r="H57" s="678"/>
      <c r="I57" s="679"/>
      <c r="J57" s="679"/>
      <c r="K57" s="680"/>
      <c r="L57" s="265"/>
      <c r="M57" s="681"/>
      <c r="N57" s="681"/>
      <c r="O57" s="681"/>
      <c r="P57" s="681"/>
      <c r="Q57" s="681"/>
      <c r="R57" s="681"/>
      <c r="S57" s="681"/>
      <c r="T57" s="681"/>
      <c r="U57" s="681"/>
      <c r="V57" s="681"/>
      <c r="W57" s="681"/>
      <c r="X57" s="681"/>
      <c r="Y57" s="681"/>
      <c r="Z57" s="681"/>
      <c r="AA57" s="681"/>
    </row>
    <row r="58" spans="1:27">
      <c r="A58" s="683" t="s">
        <v>5</v>
      </c>
      <c r="B58" s="684" t="s">
        <v>315</v>
      </c>
      <c r="C58" s="685" t="s">
        <v>159</v>
      </c>
      <c r="D58" s="686" t="s">
        <v>10</v>
      </c>
      <c r="E58" s="687" t="s">
        <v>243</v>
      </c>
      <c r="F58" s="688" t="s">
        <v>244</v>
      </c>
      <c r="G58" s="688" t="s">
        <v>245</v>
      </c>
      <c r="H58" s="689" t="s">
        <v>246</v>
      </c>
      <c r="I58" s="525" t="s">
        <v>532</v>
      </c>
      <c r="J58" s="690" t="s">
        <v>13</v>
      </c>
      <c r="K58" s="691" t="s">
        <v>162</v>
      </c>
      <c r="L58" s="14"/>
    </row>
    <row r="59" spans="1:27">
      <c r="A59" s="139">
        <v>1</v>
      </c>
      <c r="B59" s="692" t="s">
        <v>488</v>
      </c>
      <c r="C59" s="144">
        <v>7.06</v>
      </c>
      <c r="D59" s="751" t="s">
        <v>593</v>
      </c>
      <c r="E59" s="693">
        <v>90</v>
      </c>
      <c r="F59" s="103">
        <v>30</v>
      </c>
      <c r="G59" s="608">
        <v>26250</v>
      </c>
      <c r="H59" s="694">
        <v>26250</v>
      </c>
      <c r="I59" s="100"/>
      <c r="J59" s="100"/>
      <c r="K59" s="230" t="s">
        <v>452</v>
      </c>
      <c r="L59" s="14"/>
    </row>
    <row r="60" spans="1:27">
      <c r="A60" s="139">
        <v>2</v>
      </c>
      <c r="B60" s="692" t="s">
        <v>596</v>
      </c>
      <c r="C60" s="144">
        <v>5</v>
      </c>
      <c r="D60" s="144" t="s">
        <v>632</v>
      </c>
      <c r="E60" s="693">
        <v>120</v>
      </c>
      <c r="F60" s="103">
        <v>30</v>
      </c>
      <c r="G60" s="608">
        <v>120000</v>
      </c>
      <c r="H60" s="694">
        <v>30000</v>
      </c>
      <c r="I60" s="144"/>
      <c r="J60" s="144" t="s">
        <v>275</v>
      </c>
      <c r="K60" s="230" t="s">
        <v>598</v>
      </c>
      <c r="L60" s="14"/>
    </row>
    <row r="61" spans="1:27">
      <c r="A61" s="139">
        <v>3</v>
      </c>
      <c r="B61" s="760" t="s">
        <v>565</v>
      </c>
      <c r="C61" s="144">
        <v>5</v>
      </c>
      <c r="D61" s="330" t="s">
        <v>566</v>
      </c>
      <c r="E61" s="693">
        <v>30</v>
      </c>
      <c r="F61" s="103">
        <v>20</v>
      </c>
      <c r="G61" s="608"/>
      <c r="H61" s="695"/>
      <c r="I61" s="100"/>
      <c r="J61" s="100"/>
      <c r="K61" s="295" t="s">
        <v>118</v>
      </c>
      <c r="L61" s="1207" t="s">
        <v>599</v>
      </c>
      <c r="M61" s="1203"/>
    </row>
    <row r="62" spans="1:27">
      <c r="A62" s="139">
        <v>4</v>
      </c>
      <c r="B62" s="692" t="s">
        <v>600</v>
      </c>
      <c r="C62" s="144">
        <v>5</v>
      </c>
      <c r="D62" s="144" t="s">
        <v>638</v>
      </c>
      <c r="E62" s="693">
        <v>180</v>
      </c>
      <c r="F62" s="103">
        <v>28</v>
      </c>
      <c r="G62" s="608">
        <v>14000</v>
      </c>
      <c r="H62" s="694">
        <v>14000</v>
      </c>
      <c r="I62" s="144">
        <v>14000</v>
      </c>
      <c r="J62" s="100"/>
      <c r="K62" s="520"/>
      <c r="L62" s="33" t="s">
        <v>602</v>
      </c>
    </row>
    <row r="63" spans="1:27">
      <c r="A63" s="139">
        <v>5</v>
      </c>
      <c r="B63" s="692" t="s">
        <v>603</v>
      </c>
      <c r="C63" s="144">
        <v>5.03</v>
      </c>
      <c r="D63" s="144" t="s">
        <v>467</v>
      </c>
      <c r="E63" s="693"/>
      <c r="F63" s="103"/>
      <c r="G63" s="608"/>
      <c r="H63" s="695"/>
      <c r="I63" s="100"/>
      <c r="J63" s="100"/>
      <c r="K63" s="230" t="s">
        <v>118</v>
      </c>
      <c r="L63" s="14"/>
    </row>
    <row r="64" spans="1:27">
      <c r="A64" s="139">
        <v>6</v>
      </c>
      <c r="B64" s="692" t="s">
        <v>461</v>
      </c>
      <c r="C64" s="144">
        <v>5</v>
      </c>
      <c r="D64" s="144" t="s">
        <v>640</v>
      </c>
      <c r="E64" s="693">
        <v>365</v>
      </c>
      <c r="F64" s="103">
        <v>28</v>
      </c>
      <c r="G64" s="608">
        <v>14000</v>
      </c>
      <c r="H64" s="694">
        <v>14000</v>
      </c>
      <c r="I64" s="144">
        <v>14000</v>
      </c>
      <c r="J64" s="100"/>
      <c r="K64" s="230"/>
      <c r="L64" s="33" t="s">
        <v>605</v>
      </c>
    </row>
    <row r="65" spans="1:27">
      <c r="A65" s="139">
        <v>7</v>
      </c>
      <c r="B65" s="692" t="s">
        <v>448</v>
      </c>
      <c r="C65" s="144">
        <v>10</v>
      </c>
      <c r="D65" s="144" t="s">
        <v>467</v>
      </c>
      <c r="E65" s="552"/>
      <c r="F65" s="233"/>
      <c r="G65" s="609"/>
      <c r="H65" s="609"/>
      <c r="I65" s="100"/>
      <c r="J65" s="100"/>
      <c r="K65" s="230" t="s">
        <v>118</v>
      </c>
      <c r="L65" s="14"/>
    </row>
    <row r="66" spans="1:27">
      <c r="A66" s="139">
        <v>8</v>
      </c>
      <c r="B66" s="692" t="s">
        <v>134</v>
      </c>
      <c r="C66" s="144">
        <v>5</v>
      </c>
      <c r="D66" s="715" t="s">
        <v>611</v>
      </c>
      <c r="E66" s="693" t="s">
        <v>534</v>
      </c>
      <c r="F66" s="144">
        <v>22</v>
      </c>
      <c r="G66" s="538" t="s">
        <v>612</v>
      </c>
      <c r="H66" s="538" t="s">
        <v>613</v>
      </c>
      <c r="I66" s="144">
        <v>25928.5</v>
      </c>
      <c r="J66" s="100"/>
      <c r="K66" s="230" t="s">
        <v>535</v>
      </c>
      <c r="L66" s="33" t="s">
        <v>581</v>
      </c>
    </row>
    <row r="67" spans="1:27">
      <c r="A67" s="139">
        <v>9</v>
      </c>
      <c r="B67" s="692" t="s">
        <v>606</v>
      </c>
      <c r="C67" s="144">
        <v>5</v>
      </c>
      <c r="D67" s="699" t="s">
        <v>607</v>
      </c>
      <c r="E67" s="587"/>
      <c r="F67" s="270"/>
      <c r="G67" s="700"/>
      <c r="H67" s="620"/>
      <c r="I67" s="59"/>
      <c r="J67" s="144"/>
      <c r="K67" s="309" t="s">
        <v>118</v>
      </c>
      <c r="L67" s="33" t="s">
        <v>608</v>
      </c>
    </row>
    <row r="68" spans="1:27">
      <c r="A68" s="139"/>
      <c r="B68" s="236"/>
      <c r="C68" s="6"/>
      <c r="D68" s="8"/>
      <c r="E68" s="618"/>
      <c r="F68" s="220"/>
      <c r="G68" s="620"/>
      <c r="H68" s="620"/>
      <c r="I68" s="558"/>
      <c r="J68" s="220"/>
      <c r="K68" s="594"/>
      <c r="L68" s="682" t="s">
        <v>590</v>
      </c>
    </row>
    <row r="69" spans="1:27">
      <c r="A69" s="132"/>
      <c r="B69" s="236" t="s">
        <v>177</v>
      </c>
      <c r="C69" s="769">
        <f>SUM(C54:C67)</f>
        <v>52.09</v>
      </c>
      <c r="D69" s="8"/>
      <c r="E69" s="532">
        <f>SUM(E54:E68)</f>
        <v>785</v>
      </c>
      <c r="F69" s="220"/>
      <c r="G69" s="620">
        <f t="shared" ref="G69:J69" si="2">SUM(G59:G68)</f>
        <v>174250</v>
      </c>
      <c r="H69" s="701">
        <f t="shared" si="2"/>
        <v>84250</v>
      </c>
      <c r="I69" s="554">
        <f t="shared" si="2"/>
        <v>53928.5</v>
      </c>
      <c r="J69" s="220">
        <f t="shared" si="2"/>
        <v>0</v>
      </c>
      <c r="K69" s="628">
        <f>H69+J69</f>
        <v>84250</v>
      </c>
      <c r="L69" s="696">
        <f>K69/G69*100</f>
        <v>48.350071736011479</v>
      </c>
    </row>
    <row r="70" spans="1:27">
      <c r="A70" s="702"/>
      <c r="B70" s="283"/>
      <c r="C70" s="673"/>
      <c r="D70" s="674"/>
      <c r="E70" s="675"/>
      <c r="F70" s="676"/>
      <c r="G70" s="677"/>
      <c r="H70" s="703"/>
      <c r="I70" s="704"/>
      <c r="J70" s="220"/>
      <c r="K70" s="309"/>
      <c r="L70" s="265"/>
      <c r="M70" s="681"/>
      <c r="N70" s="681"/>
      <c r="O70" s="681"/>
      <c r="P70" s="681"/>
      <c r="Q70" s="681"/>
      <c r="R70" s="681"/>
      <c r="S70" s="681"/>
      <c r="T70" s="681"/>
      <c r="U70" s="681"/>
      <c r="V70" s="681"/>
      <c r="W70" s="681"/>
      <c r="X70" s="681"/>
      <c r="Y70" s="681"/>
      <c r="Z70" s="681"/>
      <c r="AA70" s="681"/>
    </row>
    <row r="71" spans="1:27">
      <c r="A71" s="630"/>
      <c r="B71" s="631"/>
      <c r="C71" s="632"/>
      <c r="D71" s="633"/>
      <c r="E71" s="634"/>
      <c r="F71" s="631"/>
      <c r="G71" s="635"/>
      <c r="H71" s="635"/>
      <c r="I71" s="636"/>
      <c r="J71" s="636"/>
      <c r="K71" s="637"/>
      <c r="L71" s="14"/>
    </row>
    <row r="72" spans="1:27">
      <c r="A72" s="638"/>
      <c r="B72" s="639"/>
      <c r="C72" s="150"/>
      <c r="D72" s="641"/>
      <c r="E72" s="642"/>
      <c r="F72" s="237"/>
      <c r="G72" s="150"/>
      <c r="H72" s="270"/>
      <c r="I72" s="237"/>
      <c r="J72" s="237"/>
      <c r="K72" s="643"/>
      <c r="L72" s="14"/>
    </row>
    <row r="73" spans="1:27">
      <c r="A73" s="638"/>
      <c r="B73" s="644"/>
      <c r="C73" s="260"/>
      <c r="D73" s="645"/>
      <c r="E73" s="642"/>
      <c r="F73" s="237"/>
      <c r="G73" s="150"/>
      <c r="H73" s="237"/>
      <c r="I73" s="237"/>
      <c r="J73" s="237"/>
      <c r="K73" s="646"/>
      <c r="L73" s="14"/>
    </row>
    <row r="74" spans="1:27">
      <c r="A74" s="638"/>
      <c r="B74" s="647"/>
      <c r="C74" s="649"/>
      <c r="D74" s="651"/>
      <c r="E74" s="652"/>
      <c r="F74" s="653"/>
      <c r="G74" s="653"/>
      <c r="H74" s="653"/>
      <c r="I74" s="654"/>
      <c r="J74" s="653"/>
      <c r="K74" s="655"/>
      <c r="L74" s="14"/>
    </row>
    <row r="75" spans="1:27">
      <c r="A75" s="638"/>
      <c r="B75" s="644"/>
      <c r="C75" s="260"/>
      <c r="D75" s="645"/>
      <c r="E75" s="642"/>
      <c r="F75" s="237"/>
      <c r="G75" s="270"/>
      <c r="H75" s="270"/>
      <c r="I75" s="237"/>
      <c r="J75" s="237"/>
      <c r="K75" s="646"/>
      <c r="L75" s="14"/>
    </row>
    <row r="76" spans="1:27">
      <c r="A76" s="638"/>
      <c r="B76" s="639"/>
      <c r="C76" s="260"/>
      <c r="D76" s="645"/>
      <c r="E76" s="587"/>
      <c r="F76" s="270"/>
      <c r="G76" s="270"/>
      <c r="H76" s="237"/>
      <c r="I76" s="150"/>
      <c r="J76" s="150"/>
      <c r="K76" s="646"/>
      <c r="L76" s="14"/>
    </row>
    <row r="77" spans="1:27">
      <c r="A77" s="656"/>
      <c r="B77" s="639"/>
      <c r="C77" s="309"/>
      <c r="D77" s="657"/>
      <c r="E77" s="587"/>
      <c r="F77" s="658"/>
      <c r="G77" s="659"/>
      <c r="H77" s="660"/>
      <c r="I77" s="642"/>
      <c r="J77" s="642"/>
      <c r="K77" s="661"/>
      <c r="L77" s="14"/>
    </row>
    <row r="78" spans="1:27">
      <c r="A78" s="662"/>
      <c r="B78" s="663"/>
      <c r="C78" s="664"/>
      <c r="D78" s="665"/>
      <c r="E78" s="666"/>
      <c r="F78" s="668"/>
      <c r="G78" s="669"/>
      <c r="H78" s="670"/>
      <c r="I78" s="671"/>
      <c r="J78" s="671"/>
      <c r="K78" s="672"/>
      <c r="L78" s="14"/>
    </row>
    <row r="79" spans="1:27">
      <c r="A79" s="705"/>
      <c r="B79" s="706"/>
      <c r="C79" s="707"/>
      <c r="D79" s="708"/>
      <c r="E79" s="709"/>
      <c r="F79" s="710"/>
      <c r="G79" s="711"/>
      <c r="H79" s="712"/>
      <c r="I79" s="707"/>
      <c r="J79" s="713"/>
      <c r="K79" s="714"/>
      <c r="L79" s="265"/>
      <c r="M79" s="681"/>
      <c r="N79" s="681"/>
      <c r="O79" s="681"/>
      <c r="P79" s="681"/>
      <c r="Q79" s="681"/>
      <c r="R79" s="681"/>
      <c r="S79" s="681"/>
      <c r="T79" s="681"/>
      <c r="U79" s="681"/>
      <c r="V79" s="681"/>
      <c r="W79" s="681"/>
      <c r="X79" s="681"/>
      <c r="Y79" s="681"/>
      <c r="Z79" s="681"/>
      <c r="AA79" s="681"/>
    </row>
    <row r="80" spans="1:27">
      <c r="A80" s="269"/>
      <c r="B80" s="335" t="s">
        <v>375</v>
      </c>
      <c r="C80" s="217"/>
      <c r="D80" s="129" t="s">
        <v>10</v>
      </c>
      <c r="E80" s="288" t="s">
        <v>243</v>
      </c>
      <c r="F80" s="289" t="s">
        <v>244</v>
      </c>
      <c r="G80" s="290" t="s">
        <v>245</v>
      </c>
      <c r="H80" s="291" t="s">
        <v>246</v>
      </c>
      <c r="I80" s="716" t="s">
        <v>532</v>
      </c>
      <c r="J80" s="22" t="s">
        <v>13</v>
      </c>
      <c r="K80" s="717" t="s">
        <v>162</v>
      </c>
      <c r="L80" s="14"/>
    </row>
    <row r="81" spans="1:12">
      <c r="A81" s="2">
        <v>1</v>
      </c>
      <c r="B81" s="4" t="s">
        <v>101</v>
      </c>
      <c r="C81" s="59"/>
      <c r="D81" s="45" t="s">
        <v>148</v>
      </c>
      <c r="E81" s="545">
        <v>31</v>
      </c>
      <c r="F81" s="59">
        <v>31</v>
      </c>
      <c r="G81" s="223">
        <v>27000</v>
      </c>
      <c r="H81" s="718">
        <v>27000</v>
      </c>
      <c r="I81" s="59"/>
      <c r="J81" s="6"/>
      <c r="K81" s="230" t="s">
        <v>331</v>
      </c>
      <c r="L81" s="340" t="s">
        <v>492</v>
      </c>
    </row>
    <row r="82" spans="1:12">
      <c r="A82" s="116"/>
      <c r="B82" s="172"/>
      <c r="C82" s="116"/>
      <c r="D82" s="118"/>
      <c r="E82" s="719"/>
      <c r="F82" s="255"/>
      <c r="G82" s="323" t="s">
        <v>177</v>
      </c>
      <c r="H82" s="238">
        <f>H81</f>
        <v>27000</v>
      </c>
      <c r="I82" s="720">
        <f>SUM(I81)</f>
        <v>0</v>
      </c>
      <c r="J82" s="116"/>
      <c r="K82" s="606"/>
      <c r="L82" s="14"/>
    </row>
    <row r="83" spans="1:12">
      <c r="A83" s="219" t="s">
        <v>5</v>
      </c>
      <c r="B83" s="177" t="s">
        <v>106</v>
      </c>
      <c r="C83" s="217"/>
      <c r="D83" s="129" t="s">
        <v>10</v>
      </c>
      <c r="E83" s="288" t="s">
        <v>243</v>
      </c>
      <c r="F83" s="289" t="s">
        <v>244</v>
      </c>
      <c r="G83" s="290" t="s">
        <v>245</v>
      </c>
      <c r="H83" s="291" t="s">
        <v>246</v>
      </c>
      <c r="I83" s="716" t="s">
        <v>532</v>
      </c>
      <c r="J83" s="22" t="s">
        <v>13</v>
      </c>
      <c r="K83" s="717" t="s">
        <v>162</v>
      </c>
      <c r="L83" s="14"/>
    </row>
    <row r="84" spans="1:12">
      <c r="A84" s="100">
        <v>1</v>
      </c>
      <c r="B84" s="181" t="s">
        <v>101</v>
      </c>
      <c r="C84" s="144"/>
      <c r="D84" s="203" t="s">
        <v>148</v>
      </c>
      <c r="E84" s="693">
        <v>31</v>
      </c>
      <c r="F84" s="144">
        <v>31</v>
      </c>
      <c r="G84" s="258">
        <v>25000</v>
      </c>
      <c r="H84" s="722">
        <v>25000</v>
      </c>
      <c r="I84" s="59"/>
      <c r="J84" s="723"/>
      <c r="K84" s="230" t="s">
        <v>331</v>
      </c>
      <c r="L84" s="340" t="s">
        <v>492</v>
      </c>
    </row>
    <row r="85" spans="1:12">
      <c r="A85" s="14"/>
      <c r="B85" s="183"/>
      <c r="C85" s="14"/>
      <c r="D85" s="185"/>
      <c r="E85" s="557"/>
      <c r="F85" s="209"/>
      <c r="G85" s="323" t="s">
        <v>177</v>
      </c>
      <c r="H85" s="238">
        <f>H84</f>
        <v>25000</v>
      </c>
      <c r="I85" s="720">
        <f>SUM(I84)</f>
        <v>0</v>
      </c>
      <c r="J85" s="14"/>
      <c r="K85" s="606"/>
      <c r="L85" s="14"/>
    </row>
    <row r="86" spans="1:12">
      <c r="A86" s="219" t="s">
        <v>5</v>
      </c>
      <c r="B86" s="191" t="s">
        <v>122</v>
      </c>
      <c r="C86" s="189"/>
      <c r="D86" s="129" t="s">
        <v>10</v>
      </c>
      <c r="E86" s="288" t="s">
        <v>243</v>
      </c>
      <c r="F86" s="289" t="s">
        <v>244</v>
      </c>
      <c r="G86" s="290" t="s">
        <v>245</v>
      </c>
      <c r="H86" s="291" t="s">
        <v>246</v>
      </c>
      <c r="I86" s="217" t="s">
        <v>532</v>
      </c>
      <c r="J86" s="22" t="s">
        <v>13</v>
      </c>
      <c r="K86" s="717" t="s">
        <v>162</v>
      </c>
      <c r="L86" s="33" t="s">
        <v>470</v>
      </c>
    </row>
    <row r="87" spans="1:12">
      <c r="A87" s="2" t="s">
        <v>114</v>
      </c>
      <c r="B87" s="4" t="s">
        <v>128</v>
      </c>
      <c r="C87" s="59"/>
      <c r="D87" s="45" t="s">
        <v>148</v>
      </c>
      <c r="E87" s="545">
        <v>31</v>
      </c>
      <c r="F87" s="47">
        <v>31</v>
      </c>
      <c r="G87" s="223">
        <v>29000</v>
      </c>
      <c r="H87" s="221">
        <f>G87/E87*F87</f>
        <v>29000</v>
      </c>
      <c r="I87" s="59">
        <v>29000</v>
      </c>
      <c r="J87" s="6"/>
      <c r="K87" s="230"/>
      <c r="L87" s="14"/>
    </row>
    <row r="88" spans="1:12">
      <c r="A88" s="59" t="s">
        <v>151</v>
      </c>
      <c r="B88" s="4" t="s">
        <v>536</v>
      </c>
      <c r="C88" s="59"/>
      <c r="D88" s="45" t="s">
        <v>621</v>
      </c>
      <c r="E88" s="545"/>
      <c r="F88" s="47"/>
      <c r="G88" s="223"/>
      <c r="H88" s="221"/>
      <c r="I88" s="6"/>
      <c r="J88" s="6"/>
      <c r="K88" s="726" t="s">
        <v>118</v>
      </c>
      <c r="L88" s="14"/>
    </row>
    <row r="89" spans="1:12">
      <c r="A89" s="59" t="s">
        <v>152</v>
      </c>
      <c r="B89" s="253" t="s">
        <v>622</v>
      </c>
      <c r="C89" s="59"/>
      <c r="D89" s="45" t="s">
        <v>569</v>
      </c>
      <c r="E89" s="545">
        <v>180</v>
      </c>
      <c r="F89" s="47"/>
      <c r="G89" s="223">
        <v>127500</v>
      </c>
      <c r="H89" s="222">
        <v>21250</v>
      </c>
      <c r="I89" s="59"/>
      <c r="J89" s="6"/>
      <c r="K89" s="309" t="s">
        <v>571</v>
      </c>
      <c r="L89" s="33" t="s">
        <v>655</v>
      </c>
    </row>
    <row r="90" spans="1:12">
      <c r="A90" s="454" t="s">
        <v>153</v>
      </c>
      <c r="B90" s="481"/>
      <c r="C90" s="454"/>
      <c r="D90" s="477"/>
      <c r="E90" s="543"/>
      <c r="F90" s="456"/>
      <c r="G90" s="478"/>
      <c r="H90" s="498"/>
      <c r="I90" s="479"/>
      <c r="J90" s="479"/>
      <c r="K90" s="503" t="s">
        <v>331</v>
      </c>
      <c r="L90" s="501"/>
    </row>
    <row r="91" spans="1:12">
      <c r="A91" s="454" t="s">
        <v>132</v>
      </c>
      <c r="B91" s="453" t="s">
        <v>536</v>
      </c>
      <c r="C91" s="454"/>
      <c r="D91" s="477" t="s">
        <v>621</v>
      </c>
      <c r="E91" s="543"/>
      <c r="F91" s="456"/>
      <c r="G91" s="478"/>
      <c r="H91" s="498"/>
      <c r="I91" s="727"/>
      <c r="J91" s="479"/>
      <c r="K91" s="503" t="s">
        <v>118</v>
      </c>
      <c r="L91" s="501"/>
    </row>
    <row r="92" spans="1:12">
      <c r="A92" s="14"/>
      <c r="B92" s="183"/>
      <c r="C92" s="14"/>
      <c r="D92" s="185"/>
      <c r="E92" s="557"/>
      <c r="F92" s="209"/>
      <c r="G92" s="236" t="s">
        <v>177</v>
      </c>
      <c r="H92" s="728">
        <f t="shared" ref="H92:I92" si="3">SUM(H87:H91)</f>
        <v>50250</v>
      </c>
      <c r="I92" s="729">
        <f t="shared" si="3"/>
        <v>29000</v>
      </c>
      <c r="J92" s="14"/>
      <c r="K92" s="606"/>
      <c r="L92" s="14"/>
    </row>
    <row r="93" spans="1:12">
      <c r="A93" s="265"/>
      <c r="B93" s="730"/>
      <c r="C93" s="265"/>
      <c r="D93" s="731"/>
      <c r="E93" s="732"/>
      <c r="F93" s="733"/>
      <c r="G93" s="732"/>
      <c r="H93" s="732"/>
      <c r="I93" s="734"/>
      <c r="J93" s="704"/>
      <c r="K93" s="309"/>
      <c r="L93" s="14"/>
    </row>
    <row r="94" spans="1:12">
      <c r="A94" s="265"/>
      <c r="B94" s="730"/>
      <c r="C94" s="265"/>
      <c r="D94" s="731"/>
      <c r="E94" s="732"/>
      <c r="F94" s="733"/>
      <c r="G94" s="732"/>
      <c r="H94" s="732"/>
      <c r="I94" s="734"/>
      <c r="J94" s="704"/>
      <c r="K94" s="309"/>
      <c r="L94" s="14"/>
    </row>
    <row r="95" spans="1:12">
      <c r="A95" s="219" t="s">
        <v>5</v>
      </c>
      <c r="B95" s="342" t="s">
        <v>316</v>
      </c>
      <c r="C95" s="217"/>
      <c r="D95" s="129" t="s">
        <v>10</v>
      </c>
      <c r="E95" s="288" t="s">
        <v>243</v>
      </c>
      <c r="F95" s="289" t="s">
        <v>244</v>
      </c>
      <c r="G95" s="290" t="s">
        <v>245</v>
      </c>
      <c r="H95" s="291" t="s">
        <v>246</v>
      </c>
      <c r="I95" s="217" t="s">
        <v>532</v>
      </c>
      <c r="J95" s="22" t="s">
        <v>13</v>
      </c>
      <c r="K95" s="717" t="s">
        <v>162</v>
      </c>
      <c r="L95" s="287"/>
    </row>
    <row r="96" spans="1:12">
      <c r="A96" s="132" t="s">
        <v>458</v>
      </c>
      <c r="B96" s="284" t="s">
        <v>317</v>
      </c>
      <c r="C96" s="144"/>
      <c r="D96" s="645" t="s">
        <v>678</v>
      </c>
      <c r="E96" s="693">
        <v>90</v>
      </c>
      <c r="F96" s="103">
        <v>28</v>
      </c>
      <c r="G96" s="353">
        <v>28000</v>
      </c>
      <c r="H96" s="353">
        <v>28000</v>
      </c>
      <c r="I96" s="144">
        <v>28000</v>
      </c>
      <c r="J96" s="100"/>
      <c r="K96" s="230"/>
      <c r="L96" s="287"/>
    </row>
    <row r="97" spans="1:12">
      <c r="A97" s="132" t="s">
        <v>459</v>
      </c>
      <c r="B97" s="284" t="s">
        <v>568</v>
      </c>
      <c r="C97" s="100"/>
      <c r="D97" s="203" t="s">
        <v>679</v>
      </c>
      <c r="E97" s="587">
        <v>180</v>
      </c>
      <c r="F97" s="237"/>
      <c r="G97" s="449"/>
      <c r="H97" s="353">
        <v>21250</v>
      </c>
      <c r="I97" s="144"/>
      <c r="J97" s="144"/>
      <c r="K97" s="309" t="s">
        <v>680</v>
      </c>
      <c r="L97" s="325"/>
    </row>
    <row r="98" spans="1:12">
      <c r="A98" s="132" t="s">
        <v>460</v>
      </c>
      <c r="B98" s="284"/>
      <c r="C98" s="100"/>
      <c r="D98" s="203"/>
      <c r="E98" s="587"/>
      <c r="F98" s="237"/>
      <c r="G98" s="355"/>
      <c r="H98" s="473"/>
      <c r="I98" s="144"/>
      <c r="J98" s="144"/>
      <c r="K98" s="309"/>
      <c r="L98" s="325"/>
    </row>
    <row r="99" spans="1:12">
      <c r="A99" s="132"/>
      <c r="B99" s="181"/>
      <c r="C99" s="100"/>
      <c r="D99" s="109"/>
      <c r="E99" s="587"/>
      <c r="F99" s="237"/>
      <c r="G99" s="323" t="s">
        <v>177</v>
      </c>
      <c r="H99" s="238">
        <f t="shared" ref="H99:I99" si="4">SUM(H96:H98)</f>
        <v>49250</v>
      </c>
      <c r="I99" s="736">
        <f t="shared" si="4"/>
        <v>28000</v>
      </c>
      <c r="J99" s="144"/>
      <c r="K99" s="309"/>
      <c r="L99" s="287"/>
    </row>
    <row r="100" spans="1:12">
      <c r="A100" s="265"/>
      <c r="B100" s="730"/>
      <c r="C100" s="265"/>
      <c r="D100" s="731"/>
      <c r="E100" s="732"/>
      <c r="F100" s="733"/>
      <c r="G100" s="737"/>
      <c r="H100" s="703"/>
      <c r="I100" s="734"/>
      <c r="J100" s="704"/>
      <c r="K100" s="734"/>
      <c r="L100" s="14"/>
    </row>
    <row r="101" spans="1:12">
      <c r="A101" s="265"/>
      <c r="B101" s="730"/>
      <c r="C101" s="265"/>
      <c r="D101" s="731"/>
      <c r="E101" s="732"/>
      <c r="F101" s="733"/>
      <c r="G101" s="737"/>
      <c r="H101" s="703"/>
      <c r="I101" s="734"/>
      <c r="J101" s="704"/>
      <c r="K101" s="734"/>
      <c r="L101" s="14"/>
    </row>
    <row r="102" spans="1:12">
      <c r="A102" s="219" t="s">
        <v>5</v>
      </c>
      <c r="B102" s="196" t="s">
        <v>111</v>
      </c>
      <c r="C102" s="189"/>
      <c r="D102" s="514" t="s">
        <v>10</v>
      </c>
      <c r="E102" s="515" t="s">
        <v>243</v>
      </c>
      <c r="F102" s="516" t="s">
        <v>244</v>
      </c>
      <c r="G102" s="738" t="s">
        <v>245</v>
      </c>
      <c r="H102" s="739" t="s">
        <v>246</v>
      </c>
      <c r="I102" s="217" t="s">
        <v>532</v>
      </c>
      <c r="J102" s="740" t="s">
        <v>13</v>
      </c>
      <c r="K102" s="741" t="s">
        <v>162</v>
      </c>
      <c r="L102" s="14"/>
    </row>
    <row r="103" spans="1:12">
      <c r="A103" s="2" t="s">
        <v>114</v>
      </c>
      <c r="B103" s="742" t="s">
        <v>628</v>
      </c>
      <c r="C103" s="59"/>
      <c r="D103" s="45" t="s">
        <v>570</v>
      </c>
      <c r="E103" s="545">
        <v>180</v>
      </c>
      <c r="F103" s="47">
        <v>28</v>
      </c>
      <c r="G103" s="223">
        <v>37800</v>
      </c>
      <c r="H103" s="223">
        <v>6300</v>
      </c>
      <c r="I103" s="6"/>
      <c r="J103" s="6"/>
      <c r="K103" s="230" t="s">
        <v>680</v>
      </c>
      <c r="L103" s="33" t="s">
        <v>629</v>
      </c>
    </row>
    <row r="104" spans="1:12">
      <c r="A104" s="6" t="s">
        <v>119</v>
      </c>
      <c r="B104" s="742"/>
      <c r="C104" s="59"/>
      <c r="D104" s="45"/>
      <c r="E104" s="545"/>
      <c r="F104" s="47"/>
      <c r="G104" s="223"/>
      <c r="H104" s="223"/>
      <c r="I104" s="198"/>
      <c r="J104" s="6"/>
      <c r="K104" s="230" t="s">
        <v>331</v>
      </c>
      <c r="L104" s="14"/>
    </row>
    <row r="105" spans="1:12">
      <c r="A105" s="116"/>
      <c r="B105" s="443"/>
      <c r="C105" s="116"/>
      <c r="D105" s="118"/>
      <c r="E105" s="719"/>
      <c r="F105" s="255"/>
      <c r="G105" s="236" t="s">
        <v>177</v>
      </c>
      <c r="H105" s="522">
        <f t="shared" ref="H105:I105" si="5">SUM(H103:H104)</f>
        <v>6300</v>
      </c>
      <c r="I105" s="729">
        <f t="shared" si="5"/>
        <v>0</v>
      </c>
      <c r="J105" s="116"/>
      <c r="K105" s="642"/>
      <c r="L105" s="33"/>
    </row>
    <row r="106" spans="1:12">
      <c r="A106" s="14"/>
      <c r="B106" s="183"/>
      <c r="C106" s="14"/>
      <c r="D106" s="185"/>
      <c r="E106" s="557"/>
      <c r="F106" s="209"/>
      <c r="G106" s="209"/>
      <c r="H106" s="14"/>
      <c r="I106" s="14"/>
      <c r="J106" s="14"/>
      <c r="K106" s="743"/>
      <c r="L106" s="14"/>
    </row>
    <row r="107" spans="1:12">
      <c r="C107" s="499"/>
      <c r="E107" s="287"/>
      <c r="I107" s="499"/>
      <c r="K107" s="287"/>
      <c r="L107" s="287"/>
    </row>
    <row r="108" spans="1:12">
      <c r="A108" s="357" t="s">
        <v>5</v>
      </c>
      <c r="B108" s="358" t="s">
        <v>319</v>
      </c>
      <c r="C108" s="510"/>
      <c r="D108" s="360" t="s">
        <v>10</v>
      </c>
      <c r="E108" s="361" t="s">
        <v>243</v>
      </c>
      <c r="F108" s="362" t="s">
        <v>244</v>
      </c>
      <c r="G108" s="362" t="s">
        <v>245</v>
      </c>
      <c r="H108" s="363" t="s">
        <v>246</v>
      </c>
      <c r="I108" s="744" t="s">
        <v>532</v>
      </c>
      <c r="J108" s="363" t="s">
        <v>13</v>
      </c>
      <c r="K108" s="745" t="s">
        <v>162</v>
      </c>
      <c r="L108" s="287"/>
    </row>
    <row r="109" spans="1:12">
      <c r="A109" s="365" t="s">
        <v>676</v>
      </c>
      <c r="B109" s="371" t="s">
        <v>317</v>
      </c>
      <c r="C109" s="511"/>
      <c r="D109" s="457" t="s">
        <v>570</v>
      </c>
      <c r="E109" s="746">
        <v>90</v>
      </c>
      <c r="F109" s="747">
        <v>28</v>
      </c>
      <c r="G109" s="547">
        <v>25000</v>
      </c>
      <c r="H109" s="547">
        <v>25000</v>
      </c>
      <c r="I109" s="748">
        <v>25000</v>
      </c>
      <c r="J109" s="7"/>
      <c r="K109" s="230"/>
      <c r="L109" s="325"/>
    </row>
    <row r="110" spans="1:12">
      <c r="A110" s="370"/>
      <c r="B110" s="371"/>
      <c r="C110" s="511"/>
      <c r="D110" s="371"/>
      <c r="E110" s="749"/>
      <c r="F110" s="368"/>
      <c r="G110" s="549"/>
      <c r="H110" s="547"/>
      <c r="I110" s="750"/>
      <c r="J110" s="7"/>
      <c r="K110" s="752"/>
      <c r="L110" s="287"/>
    </row>
    <row r="111" spans="1:12">
      <c r="A111" s="365" t="s">
        <v>677</v>
      </c>
      <c r="B111" s="790"/>
      <c r="C111" s="755"/>
      <c r="D111" s="756"/>
      <c r="E111" s="758"/>
      <c r="F111" s="759"/>
      <c r="G111" s="761"/>
      <c r="H111" s="762"/>
      <c r="I111" s="763"/>
      <c r="J111" s="369"/>
      <c r="K111" s="230"/>
      <c r="L111" s="325"/>
    </row>
    <row r="112" spans="1:12">
      <c r="A112" s="753"/>
      <c r="B112" s="235"/>
      <c r="C112" s="755"/>
      <c r="D112" s="235"/>
      <c r="E112" s="652"/>
      <c r="F112" s="653"/>
      <c r="G112" s="764" t="s">
        <v>177</v>
      </c>
      <c r="H112" s="765">
        <f t="shared" ref="H112:I112" si="6">SUM(H109:H111)</f>
        <v>25000</v>
      </c>
      <c r="I112" s="766">
        <f t="shared" si="6"/>
        <v>25000</v>
      </c>
      <c r="J112" s="369"/>
      <c r="K112" s="767"/>
    </row>
    <row r="113" spans="1:12">
      <c r="C113" s="499"/>
      <c r="E113" s="287"/>
      <c r="I113" s="499"/>
      <c r="K113" s="287"/>
      <c r="L113" s="768"/>
    </row>
    <row r="114" spans="1:12">
      <c r="C114" s="499"/>
      <c r="E114" s="287"/>
      <c r="I114" s="499"/>
      <c r="K114" s="287"/>
    </row>
    <row r="115" spans="1:12">
      <c r="A115" s="219" t="s">
        <v>5</v>
      </c>
      <c r="B115" s="342" t="s">
        <v>323</v>
      </c>
      <c r="C115" s="187"/>
      <c r="D115" s="129" t="s">
        <v>10</v>
      </c>
      <c r="E115" s="288" t="s">
        <v>243</v>
      </c>
      <c r="F115" s="289" t="s">
        <v>244</v>
      </c>
      <c r="G115" s="290" t="s">
        <v>245</v>
      </c>
      <c r="H115" s="291" t="s">
        <v>246</v>
      </c>
      <c r="I115" s="217" t="s">
        <v>532</v>
      </c>
      <c r="J115" s="22" t="s">
        <v>13</v>
      </c>
      <c r="K115" s="717" t="s">
        <v>162</v>
      </c>
    </row>
    <row r="116" spans="1:12">
      <c r="A116" s="132" t="s">
        <v>114</v>
      </c>
      <c r="B116" s="4" t="s">
        <v>681</v>
      </c>
      <c r="C116" s="59"/>
      <c r="D116" s="51" t="s">
        <v>692</v>
      </c>
      <c r="E116" s="545">
        <v>90</v>
      </c>
      <c r="F116" s="47"/>
      <c r="G116" s="223" t="s">
        <v>683</v>
      </c>
      <c r="H116" s="222">
        <v>19000</v>
      </c>
      <c r="I116" s="59">
        <v>19000</v>
      </c>
      <c r="J116" s="6"/>
      <c r="K116" s="230" t="s">
        <v>331</v>
      </c>
      <c r="L116" s="1" t="s">
        <v>693</v>
      </c>
    </row>
    <row r="117" spans="1:12">
      <c r="A117" s="482" t="s">
        <v>119</v>
      </c>
      <c r="B117" s="481"/>
      <c r="C117" s="454"/>
      <c r="D117" s="454"/>
      <c r="E117" s="543"/>
      <c r="F117" s="456"/>
      <c r="G117" s="478"/>
      <c r="H117" s="498"/>
      <c r="I117" s="727"/>
      <c r="J117" s="479"/>
      <c r="K117" s="503"/>
      <c r="L117" s="521"/>
    </row>
    <row r="118" spans="1:12">
      <c r="A118" s="132"/>
      <c r="B118" s="29"/>
      <c r="C118" s="6"/>
      <c r="D118" s="8"/>
      <c r="E118" s="675"/>
      <c r="F118" s="221"/>
      <c r="G118" s="236" t="s">
        <v>177</v>
      </c>
      <c r="H118" s="264">
        <f t="shared" ref="H118:I118" si="7">SUM(H116:H117)</f>
        <v>19000</v>
      </c>
      <c r="I118" s="770">
        <f t="shared" si="7"/>
        <v>19000</v>
      </c>
      <c r="J118" s="59"/>
      <c r="K118" s="309"/>
    </row>
    <row r="119" spans="1:12">
      <c r="C119" s="499"/>
      <c r="E119" s="287"/>
      <c r="I119" s="499"/>
      <c r="K119" s="287"/>
    </row>
    <row r="120" spans="1:12">
      <c r="C120" s="499"/>
      <c r="E120" s="287"/>
      <c r="I120" s="499"/>
      <c r="K120" s="287"/>
    </row>
    <row r="121" spans="1:12">
      <c r="A121" s="219" t="s">
        <v>5</v>
      </c>
      <c r="B121" s="342" t="s">
        <v>325</v>
      </c>
      <c r="C121" s="187"/>
      <c r="D121" s="129" t="s">
        <v>10</v>
      </c>
      <c r="E121" s="288" t="s">
        <v>243</v>
      </c>
      <c r="F121" s="289" t="s">
        <v>244</v>
      </c>
      <c r="G121" s="290" t="s">
        <v>245</v>
      </c>
      <c r="H121" s="291" t="s">
        <v>246</v>
      </c>
      <c r="I121" s="217" t="s">
        <v>532</v>
      </c>
      <c r="J121" s="22" t="s">
        <v>13</v>
      </c>
      <c r="K121" s="717" t="s">
        <v>162</v>
      </c>
    </row>
    <row r="122" spans="1:12">
      <c r="A122" s="452" t="s">
        <v>114</v>
      </c>
      <c r="B122" s="481" t="s">
        <v>134</v>
      </c>
      <c r="C122" s="454"/>
      <c r="D122" s="477" t="s">
        <v>148</v>
      </c>
      <c r="E122" s="543">
        <v>30</v>
      </c>
      <c r="F122" s="456">
        <v>30</v>
      </c>
      <c r="G122" s="478">
        <v>17500</v>
      </c>
      <c r="H122" s="478">
        <v>17500</v>
      </c>
      <c r="I122" s="454">
        <v>17500</v>
      </c>
      <c r="J122" s="454" t="s">
        <v>698</v>
      </c>
      <c r="K122" s="503" t="s">
        <v>210</v>
      </c>
      <c r="L122" s="509"/>
    </row>
    <row r="123" spans="1:12">
      <c r="A123" s="2" t="s">
        <v>119</v>
      </c>
      <c r="B123" s="4" t="s">
        <v>134</v>
      </c>
      <c r="C123" s="59"/>
      <c r="D123" s="59" t="s">
        <v>148</v>
      </c>
      <c r="E123" s="545">
        <v>30</v>
      </c>
      <c r="F123" s="47">
        <v>30</v>
      </c>
      <c r="G123" s="223">
        <v>17500</v>
      </c>
      <c r="H123" s="222">
        <v>17500</v>
      </c>
      <c r="I123" s="697">
        <v>17500</v>
      </c>
      <c r="J123" s="59" t="s">
        <v>698</v>
      </c>
      <c r="K123" s="230" t="s">
        <v>210</v>
      </c>
    </row>
    <row r="124" spans="1:12">
      <c r="A124" s="132"/>
      <c r="B124" s="29"/>
      <c r="C124" s="6"/>
      <c r="D124" s="8"/>
      <c r="E124" s="675"/>
      <c r="F124" s="221"/>
      <c r="G124" s="236" t="s">
        <v>177</v>
      </c>
      <c r="H124" s="264">
        <f t="shared" ref="H124:I124" si="8">SUM(H122:H123)</f>
        <v>35000</v>
      </c>
      <c r="I124" s="770">
        <f t="shared" si="8"/>
        <v>35000</v>
      </c>
      <c r="J124" s="59"/>
      <c r="K124" s="309"/>
    </row>
    <row r="125" spans="1:12">
      <c r="C125" s="499"/>
      <c r="E125" s="287"/>
      <c r="I125" s="499"/>
      <c r="K125" s="287"/>
    </row>
    <row r="126" spans="1:12">
      <c r="C126" s="499"/>
      <c r="E126" s="287"/>
      <c r="I126" s="499"/>
      <c r="K126" s="287"/>
    </row>
    <row r="127" spans="1:12">
      <c r="A127" s="219" t="s">
        <v>5</v>
      </c>
      <c r="B127" s="342" t="s">
        <v>326</v>
      </c>
      <c r="C127" s="187"/>
      <c r="D127" s="129" t="s">
        <v>10</v>
      </c>
      <c r="E127" s="288" t="s">
        <v>243</v>
      </c>
      <c r="F127" s="289" t="s">
        <v>244</v>
      </c>
      <c r="G127" s="290" t="s">
        <v>245</v>
      </c>
      <c r="H127" s="291" t="s">
        <v>246</v>
      </c>
      <c r="I127" s="217" t="s">
        <v>532</v>
      </c>
      <c r="J127" s="22" t="s">
        <v>13</v>
      </c>
      <c r="K127" s="717" t="s">
        <v>162</v>
      </c>
    </row>
    <row r="128" spans="1:12">
      <c r="A128" s="2" t="s">
        <v>114</v>
      </c>
      <c r="B128" s="4" t="s">
        <v>407</v>
      </c>
      <c r="C128" s="59"/>
      <c r="D128" s="51" t="s">
        <v>148</v>
      </c>
      <c r="E128" s="545">
        <v>30</v>
      </c>
      <c r="F128" s="47">
        <v>30</v>
      </c>
      <c r="G128" s="223">
        <v>21250</v>
      </c>
      <c r="H128" s="223">
        <v>21250</v>
      </c>
      <c r="I128" s="59">
        <v>21250</v>
      </c>
      <c r="J128" s="6"/>
      <c r="K128" s="230"/>
    </row>
    <row r="129" spans="1:12">
      <c r="A129" s="132" t="s">
        <v>119</v>
      </c>
      <c r="B129" s="4" t="s">
        <v>644</v>
      </c>
      <c r="C129" s="6"/>
      <c r="D129" s="45" t="s">
        <v>533</v>
      </c>
      <c r="E129" s="675">
        <v>30</v>
      </c>
      <c r="F129" s="222">
        <v>10</v>
      </c>
      <c r="G129" s="564">
        <v>10000</v>
      </c>
      <c r="H129" s="260" t="s">
        <v>645</v>
      </c>
      <c r="I129" s="697">
        <v>10000</v>
      </c>
      <c r="J129" s="59"/>
      <c r="K129" s="309" t="s">
        <v>686</v>
      </c>
    </row>
    <row r="130" spans="1:12">
      <c r="A130" s="235"/>
      <c r="B130" s="235"/>
      <c r="C130" s="771"/>
      <c r="D130" s="235"/>
      <c r="E130" s="610"/>
      <c r="F130" s="235"/>
      <c r="G130" s="323" t="s">
        <v>177</v>
      </c>
      <c r="H130" s="772">
        <f t="shared" ref="H130:I130" si="9">SUM(H128:H129)</f>
        <v>21250</v>
      </c>
      <c r="I130" s="773">
        <f t="shared" si="9"/>
        <v>31250</v>
      </c>
      <c r="J130" s="774"/>
      <c r="K130" s="610"/>
    </row>
    <row r="131" spans="1:12">
      <c r="C131" s="499"/>
      <c r="E131" s="287"/>
      <c r="I131" s="499"/>
      <c r="K131" s="287"/>
    </row>
    <row r="132" spans="1:12">
      <c r="E132" s="287"/>
      <c r="I132" s="499"/>
      <c r="K132" s="287"/>
    </row>
    <row r="133" spans="1:12">
      <c r="A133" s="219" t="s">
        <v>5</v>
      </c>
      <c r="B133" s="342" t="s">
        <v>437</v>
      </c>
      <c r="C133" s="187"/>
      <c r="D133" s="129" t="s">
        <v>10</v>
      </c>
      <c r="E133" s="288" t="s">
        <v>243</v>
      </c>
      <c r="F133" s="289" t="s">
        <v>244</v>
      </c>
      <c r="G133" s="290" t="s">
        <v>245</v>
      </c>
      <c r="H133" s="291" t="s">
        <v>246</v>
      </c>
      <c r="I133" s="217" t="s">
        <v>532</v>
      </c>
      <c r="J133" s="22" t="s">
        <v>13</v>
      </c>
      <c r="K133" s="717" t="s">
        <v>162</v>
      </c>
      <c r="L133" s="14"/>
    </row>
    <row r="134" spans="1:12">
      <c r="A134" s="463"/>
      <c r="B134" s="775"/>
      <c r="C134" s="463"/>
      <c r="D134" s="614"/>
      <c r="E134" s="776"/>
      <c r="F134" s="777"/>
      <c r="G134" s="778"/>
      <c r="H134" s="778"/>
      <c r="I134" s="779"/>
      <c r="J134" s="779"/>
      <c r="K134" s="503"/>
      <c r="L134" s="504"/>
    </row>
    <row r="135" spans="1:12">
      <c r="A135" s="260" t="s">
        <v>114</v>
      </c>
      <c r="B135" s="639" t="s">
        <v>646</v>
      </c>
      <c r="C135" s="260"/>
      <c r="D135" s="260" t="s">
        <v>699</v>
      </c>
      <c r="E135" s="587">
        <v>90</v>
      </c>
      <c r="F135" s="262"/>
      <c r="G135" s="270">
        <v>67500</v>
      </c>
      <c r="H135" s="270">
        <v>22500</v>
      </c>
      <c r="I135" s="780"/>
      <c r="J135" s="150"/>
      <c r="K135" s="309"/>
      <c r="L135" s="781" t="s">
        <v>691</v>
      </c>
    </row>
    <row r="136" spans="1:12">
      <c r="A136" s="150" t="s">
        <v>119</v>
      </c>
      <c r="B136" s="639"/>
      <c r="C136" s="260"/>
      <c r="D136" s="260"/>
      <c r="E136" s="587">
        <v>31</v>
      </c>
      <c r="F136" s="262">
        <v>31</v>
      </c>
      <c r="G136" s="270"/>
      <c r="H136" s="237"/>
      <c r="I136" s="780"/>
      <c r="J136" s="150"/>
      <c r="K136" s="309"/>
      <c r="L136" s="482"/>
    </row>
    <row r="137" spans="1:12">
      <c r="A137" s="235"/>
      <c r="B137" s="4"/>
      <c r="C137" s="6"/>
      <c r="D137" s="45"/>
      <c r="E137" s="675"/>
      <c r="F137" s="221"/>
      <c r="G137" s="236" t="s">
        <v>177</v>
      </c>
      <c r="H137" s="264">
        <f t="shared" ref="H137:I137" si="10">SUM(H134:H136)</f>
        <v>22500</v>
      </c>
      <c r="I137" s="770">
        <f t="shared" si="10"/>
        <v>0</v>
      </c>
      <c r="J137" s="59"/>
      <c r="K137" s="309"/>
      <c r="L137" s="341"/>
    </row>
    <row r="138" spans="1:12">
      <c r="A138" s="14"/>
      <c r="C138" s="499"/>
      <c r="E138" s="287"/>
      <c r="F138" s="286"/>
      <c r="G138" s="286"/>
      <c r="I138" s="499"/>
      <c r="K138" s="287"/>
    </row>
    <row r="139" spans="1:12">
      <c r="A139" s="219" t="s">
        <v>5</v>
      </c>
      <c r="B139" s="342" t="s">
        <v>441</v>
      </c>
      <c r="C139" s="187"/>
      <c r="D139" s="129" t="s">
        <v>10</v>
      </c>
      <c r="E139" s="288" t="s">
        <v>243</v>
      </c>
      <c r="F139" s="289" t="s">
        <v>244</v>
      </c>
      <c r="G139" s="290" t="s">
        <v>245</v>
      </c>
      <c r="H139" s="291" t="s">
        <v>246</v>
      </c>
      <c r="I139" s="217" t="s">
        <v>532</v>
      </c>
      <c r="J139" s="22" t="s">
        <v>13</v>
      </c>
      <c r="K139" s="717" t="s">
        <v>162</v>
      </c>
      <c r="L139" s="14"/>
    </row>
    <row r="140" spans="1:12">
      <c r="A140" s="132" t="s">
        <v>114</v>
      </c>
      <c r="B140" s="4" t="s">
        <v>649</v>
      </c>
      <c r="C140" s="59"/>
      <c r="D140" s="51" t="s">
        <v>650</v>
      </c>
      <c r="E140" s="545">
        <v>180</v>
      </c>
      <c r="F140" s="47">
        <v>7</v>
      </c>
      <c r="G140" s="223">
        <v>90000</v>
      </c>
      <c r="H140" s="222">
        <v>15000</v>
      </c>
      <c r="I140" s="59" t="s">
        <v>108</v>
      </c>
      <c r="J140" s="6"/>
      <c r="K140" s="230"/>
      <c r="L140" s="1204"/>
    </row>
    <row r="141" spans="1:12">
      <c r="A141" s="452" t="s">
        <v>119</v>
      </c>
      <c r="B141" s="481" t="s">
        <v>444</v>
      </c>
      <c r="C141" s="454"/>
      <c r="D141" s="454" t="s">
        <v>148</v>
      </c>
      <c r="E141" s="543">
        <v>365</v>
      </c>
      <c r="F141" s="456">
        <v>30</v>
      </c>
      <c r="G141" s="478">
        <v>19000</v>
      </c>
      <c r="H141" s="478">
        <v>19000</v>
      </c>
      <c r="I141" s="783">
        <v>19000</v>
      </c>
      <c r="J141" s="479"/>
      <c r="K141" s="503"/>
      <c r="L141" s="1205"/>
    </row>
    <row r="142" spans="1:12">
      <c r="A142" s="132"/>
      <c r="B142" s="4"/>
      <c r="C142" s="6"/>
      <c r="D142" s="45"/>
      <c r="E142" s="675"/>
      <c r="F142" s="221"/>
      <c r="G142" s="236" t="s">
        <v>177</v>
      </c>
      <c r="H142" s="264">
        <f t="shared" ref="H142:I142" si="11">SUM(H140:H141)</f>
        <v>34000</v>
      </c>
      <c r="I142" s="770">
        <f t="shared" si="11"/>
        <v>19000</v>
      </c>
      <c r="J142" s="59"/>
      <c r="K142" s="309"/>
      <c r="L142" s="341"/>
    </row>
    <row r="143" spans="1:12">
      <c r="A143" s="14"/>
      <c r="C143" s="499"/>
      <c r="E143" s="287"/>
      <c r="F143" s="286"/>
      <c r="G143" s="286"/>
      <c r="I143" s="499"/>
      <c r="K143" s="287"/>
    </row>
    <row r="144" spans="1:12">
      <c r="A144" s="219" t="s">
        <v>5</v>
      </c>
      <c r="B144" s="342" t="s">
        <v>445</v>
      </c>
      <c r="C144" s="187"/>
      <c r="D144" s="129" t="s">
        <v>10</v>
      </c>
      <c r="E144" s="288" t="s">
        <v>243</v>
      </c>
      <c r="F144" s="289" t="s">
        <v>244</v>
      </c>
      <c r="G144" s="290" t="s">
        <v>245</v>
      </c>
      <c r="H144" s="291" t="s">
        <v>246</v>
      </c>
      <c r="I144" s="217" t="s">
        <v>532</v>
      </c>
      <c r="J144" s="22" t="s">
        <v>13</v>
      </c>
      <c r="K144" s="717" t="s">
        <v>162</v>
      </c>
      <c r="L144" s="14"/>
    </row>
    <row r="145" spans="1:12">
      <c r="A145" s="2" t="s">
        <v>114</v>
      </c>
      <c r="B145" s="4" t="s">
        <v>446</v>
      </c>
      <c r="C145" s="59"/>
      <c r="D145" s="51" t="s">
        <v>708</v>
      </c>
      <c r="E145" s="545">
        <v>30</v>
      </c>
      <c r="F145" s="47">
        <v>28</v>
      </c>
      <c r="G145" s="223">
        <v>22500</v>
      </c>
      <c r="H145" s="222">
        <v>22500</v>
      </c>
      <c r="I145" s="59"/>
      <c r="J145" s="6"/>
      <c r="K145" s="230"/>
      <c r="L145" s="352"/>
    </row>
    <row r="146" spans="1:12">
      <c r="A146" s="452" t="s">
        <v>119</v>
      </c>
      <c r="B146" s="481"/>
      <c r="C146" s="454"/>
      <c r="D146" s="454"/>
      <c r="E146" s="543"/>
      <c r="F146" s="456"/>
      <c r="G146" s="478"/>
      <c r="H146" s="478"/>
      <c r="I146" s="727"/>
      <c r="J146" s="479"/>
      <c r="K146" s="503"/>
      <c r="L146" s="132"/>
    </row>
    <row r="147" spans="1:12">
      <c r="A147" s="132" t="s">
        <v>119</v>
      </c>
      <c r="B147" s="4"/>
      <c r="C147" s="6"/>
      <c r="D147" s="45"/>
      <c r="E147" s="675"/>
      <c r="F147" s="221"/>
      <c r="G147" s="236" t="s">
        <v>177</v>
      </c>
      <c r="H147" s="264">
        <f t="shared" ref="H147:I147" si="12">SUM(H145:H146)</f>
        <v>22500</v>
      </c>
      <c r="I147" s="785">
        <f t="shared" si="12"/>
        <v>0</v>
      </c>
      <c r="J147" s="59"/>
      <c r="K147" s="309"/>
      <c r="L147" s="341"/>
    </row>
    <row r="148" spans="1:12">
      <c r="A148" s="14"/>
      <c r="C148" s="499"/>
      <c r="E148" s="287"/>
      <c r="F148" s="286"/>
      <c r="G148" s="286"/>
      <c r="I148" s="499"/>
      <c r="K148" s="287"/>
    </row>
    <row r="149" spans="1:12">
      <c r="E149" s="287"/>
      <c r="I149" s="499"/>
      <c r="K149" s="287"/>
    </row>
    <row r="150" spans="1:12">
      <c r="E150" s="287"/>
      <c r="H150" s="786" t="s">
        <v>668</v>
      </c>
      <c r="I150" s="787">
        <f>SUM(I147+I142+I137+I130+I124+I118+I112+I105+I99+I92+I85+I82+I69+I47+I23)</f>
        <v>324107</v>
      </c>
      <c r="K150" s="287"/>
    </row>
    <row r="151" spans="1:12">
      <c r="E151" s="287"/>
      <c r="I151" s="499"/>
      <c r="K151" s="287"/>
    </row>
    <row r="152" spans="1:12">
      <c r="E152" s="287"/>
      <c r="H152" s="788" t="s">
        <v>671</v>
      </c>
      <c r="I152" s="789">
        <f>SUM(H147+H142+H137+H130+H124+H118+H112+H105+H99+H92+H85+H82+H69+H47+H23)</f>
        <v>751233</v>
      </c>
      <c r="K152" s="287"/>
    </row>
    <row r="153" spans="1:12">
      <c r="E153" s="287"/>
      <c r="I153" s="499"/>
      <c r="K153" s="287"/>
    </row>
    <row r="154" spans="1:12">
      <c r="E154" s="287"/>
      <c r="I154" s="499"/>
      <c r="J154" s="1" t="s">
        <v>199</v>
      </c>
      <c r="K154" s="287"/>
    </row>
    <row r="155" spans="1:12">
      <c r="E155" s="287"/>
      <c r="I155" s="499"/>
      <c r="K155" s="287"/>
    </row>
    <row r="156" spans="1:12">
      <c r="E156" s="287"/>
      <c r="I156" s="499"/>
      <c r="K156" s="287"/>
    </row>
    <row r="157" spans="1:12">
      <c r="E157" s="287"/>
      <c r="I157" s="499"/>
      <c r="K157" s="287"/>
    </row>
    <row r="158" spans="1:12">
      <c r="E158" s="287"/>
      <c r="I158" s="499"/>
      <c r="K158" s="287"/>
    </row>
    <row r="159" spans="1:12">
      <c r="E159" s="287"/>
      <c r="I159" s="499"/>
      <c r="K159" s="287"/>
    </row>
    <row r="160" spans="1:12">
      <c r="E160" s="287"/>
      <c r="I160" s="499"/>
      <c r="K160" s="287"/>
    </row>
    <row r="161" spans="5:11">
      <c r="E161" s="287"/>
      <c r="I161" s="499"/>
      <c r="K161" s="287"/>
    </row>
    <row r="162" spans="5:11">
      <c r="E162" s="287"/>
      <c r="I162" s="499"/>
      <c r="K162" s="287"/>
    </row>
    <row r="163" spans="5:11">
      <c r="E163" s="287"/>
      <c r="I163" s="499"/>
      <c r="K163" s="287"/>
    </row>
    <row r="164" spans="5:11">
      <c r="E164" s="287"/>
      <c r="I164" s="499"/>
      <c r="K164" s="287"/>
    </row>
    <row r="165" spans="5:11">
      <c r="E165" s="287"/>
      <c r="I165" s="499"/>
      <c r="K165" s="287"/>
    </row>
    <row r="166" spans="5:11">
      <c r="E166" s="287"/>
      <c r="I166" s="499"/>
      <c r="K166" s="287"/>
    </row>
    <row r="167" spans="5:11">
      <c r="E167" s="287"/>
      <c r="I167" s="499"/>
      <c r="K167" s="287"/>
    </row>
    <row r="168" spans="5:11">
      <c r="E168" s="287"/>
      <c r="I168" s="499"/>
      <c r="K168" s="287"/>
    </row>
    <row r="169" spans="5:11">
      <c r="E169" s="287"/>
      <c r="I169" s="499"/>
      <c r="K169" s="287"/>
    </row>
    <row r="170" spans="5:11">
      <c r="E170" s="287"/>
      <c r="I170" s="499"/>
      <c r="K170" s="287"/>
    </row>
    <row r="171" spans="5:11">
      <c r="E171" s="287"/>
      <c r="I171" s="499"/>
      <c r="K171" s="287"/>
    </row>
    <row r="172" spans="5:11">
      <c r="E172" s="287"/>
      <c r="I172" s="499"/>
      <c r="K172" s="287"/>
    </row>
    <row r="173" spans="5:11">
      <c r="E173" s="287"/>
      <c r="I173" s="499"/>
      <c r="K173" s="287"/>
    </row>
    <row r="174" spans="5:11">
      <c r="E174" s="287"/>
      <c r="I174" s="499"/>
      <c r="K174" s="287"/>
    </row>
    <row r="175" spans="5:11">
      <c r="E175" s="287"/>
      <c r="I175" s="499"/>
      <c r="K175" s="287"/>
    </row>
    <row r="176" spans="5:11">
      <c r="E176" s="287"/>
      <c r="I176" s="499"/>
      <c r="K176" s="287"/>
    </row>
    <row r="177" spans="5:11">
      <c r="E177" s="287"/>
      <c r="I177" s="499"/>
      <c r="K177" s="287"/>
    </row>
    <row r="178" spans="5:11">
      <c r="E178" s="287"/>
      <c r="I178" s="499"/>
      <c r="K178" s="287"/>
    </row>
    <row r="179" spans="5:11">
      <c r="E179" s="287"/>
      <c r="I179" s="499"/>
      <c r="K179" s="287"/>
    </row>
    <row r="180" spans="5:11">
      <c r="E180" s="287"/>
      <c r="I180" s="499"/>
      <c r="K180" s="287"/>
    </row>
    <row r="181" spans="5:11">
      <c r="E181" s="287"/>
      <c r="I181" s="499"/>
      <c r="K181" s="287"/>
    </row>
    <row r="182" spans="5:11">
      <c r="E182" s="287"/>
      <c r="I182" s="499"/>
      <c r="K182" s="287"/>
    </row>
    <row r="183" spans="5:11">
      <c r="E183" s="287"/>
      <c r="I183" s="499"/>
      <c r="K183" s="287"/>
    </row>
    <row r="184" spans="5:11">
      <c r="E184" s="287"/>
      <c r="I184" s="499"/>
      <c r="K184" s="287"/>
    </row>
    <row r="185" spans="5:11">
      <c r="E185" s="287"/>
      <c r="I185" s="499"/>
      <c r="K185" s="287"/>
    </row>
    <row r="186" spans="5:11">
      <c r="E186" s="287"/>
      <c r="I186" s="499"/>
      <c r="K186" s="287"/>
    </row>
    <row r="187" spans="5:11">
      <c r="E187" s="287"/>
      <c r="I187" s="499"/>
      <c r="K187" s="287"/>
    </row>
    <row r="188" spans="5:11">
      <c r="E188" s="287"/>
      <c r="I188" s="499"/>
      <c r="K188" s="287"/>
    </row>
    <row r="189" spans="5:11">
      <c r="E189" s="287"/>
      <c r="I189" s="499"/>
      <c r="K189" s="287"/>
    </row>
    <row r="190" spans="5:11">
      <c r="E190" s="287"/>
      <c r="I190" s="499"/>
      <c r="K190" s="287"/>
    </row>
    <row r="191" spans="5:11">
      <c r="E191" s="287"/>
      <c r="I191" s="499"/>
      <c r="K191" s="287"/>
    </row>
    <row r="192" spans="5:11">
      <c r="E192" s="287"/>
      <c r="I192" s="499"/>
      <c r="K192" s="287"/>
    </row>
    <row r="193" spans="5:11">
      <c r="E193" s="287"/>
      <c r="I193" s="499"/>
      <c r="K193" s="287"/>
    </row>
    <row r="194" spans="5:11">
      <c r="E194" s="287"/>
      <c r="I194" s="499"/>
      <c r="K194" s="287"/>
    </row>
    <row r="195" spans="5:11">
      <c r="E195" s="287"/>
      <c r="I195" s="499"/>
      <c r="K195" s="287"/>
    </row>
    <row r="196" spans="5:11">
      <c r="E196" s="287"/>
      <c r="I196" s="499"/>
      <c r="K196" s="287"/>
    </row>
    <row r="197" spans="5:11">
      <c r="E197" s="287"/>
      <c r="I197" s="499"/>
      <c r="K197" s="287"/>
    </row>
    <row r="198" spans="5:11">
      <c r="E198" s="287"/>
      <c r="I198" s="499"/>
      <c r="K198" s="287"/>
    </row>
    <row r="199" spans="5:11">
      <c r="E199" s="287"/>
      <c r="I199" s="499"/>
      <c r="K199" s="287"/>
    </row>
    <row r="200" spans="5:11">
      <c r="E200" s="287"/>
      <c r="I200" s="499"/>
      <c r="K200" s="287"/>
    </row>
    <row r="201" spans="5:11">
      <c r="E201" s="287"/>
      <c r="I201" s="499"/>
      <c r="K201" s="287"/>
    </row>
    <row r="202" spans="5:11">
      <c r="E202" s="287"/>
      <c r="I202" s="499"/>
      <c r="K202" s="287"/>
    </row>
    <row r="203" spans="5:11">
      <c r="E203" s="287"/>
      <c r="I203" s="499"/>
      <c r="K203" s="287"/>
    </row>
    <row r="204" spans="5:11">
      <c r="E204" s="287"/>
      <c r="I204" s="499"/>
      <c r="K204" s="287"/>
    </row>
    <row r="205" spans="5:11">
      <c r="E205" s="287"/>
      <c r="I205" s="499"/>
      <c r="K205" s="287"/>
    </row>
    <row r="206" spans="5:11">
      <c r="E206" s="287"/>
      <c r="I206" s="499"/>
      <c r="K206" s="287"/>
    </row>
    <row r="207" spans="5:11">
      <c r="E207" s="287"/>
      <c r="I207" s="499"/>
      <c r="K207" s="287"/>
    </row>
    <row r="208" spans="5:11">
      <c r="E208" s="287"/>
      <c r="I208" s="499"/>
      <c r="K208" s="287"/>
    </row>
    <row r="209" spans="5:11">
      <c r="E209" s="287"/>
      <c r="I209" s="499"/>
      <c r="K209" s="287"/>
    </row>
    <row r="210" spans="5:11">
      <c r="E210" s="287"/>
      <c r="I210" s="499"/>
      <c r="K210" s="287"/>
    </row>
    <row r="211" spans="5:11">
      <c r="E211" s="287"/>
      <c r="I211" s="499"/>
      <c r="K211" s="287"/>
    </row>
    <row r="212" spans="5:11">
      <c r="E212" s="287"/>
      <c r="I212" s="499"/>
      <c r="K212" s="287"/>
    </row>
    <row r="213" spans="5:11">
      <c r="E213" s="287"/>
      <c r="I213" s="499"/>
      <c r="K213" s="287"/>
    </row>
    <row r="214" spans="5:11">
      <c r="E214" s="287"/>
      <c r="I214" s="499"/>
      <c r="K214" s="287"/>
    </row>
    <row r="215" spans="5:11">
      <c r="E215" s="287"/>
      <c r="I215" s="499"/>
      <c r="K215" s="287"/>
    </row>
    <row r="216" spans="5:11">
      <c r="E216" s="287"/>
      <c r="I216" s="499"/>
      <c r="K216" s="287"/>
    </row>
    <row r="217" spans="5:11">
      <c r="E217" s="287"/>
      <c r="I217" s="499"/>
      <c r="K217" s="287"/>
    </row>
    <row r="218" spans="5:11">
      <c r="E218" s="287"/>
      <c r="I218" s="499"/>
      <c r="K218" s="287"/>
    </row>
    <row r="219" spans="5:11">
      <c r="E219" s="287"/>
      <c r="I219" s="499"/>
      <c r="K219" s="287"/>
    </row>
    <row r="220" spans="5:11">
      <c r="E220" s="287"/>
      <c r="I220" s="499"/>
      <c r="K220" s="287"/>
    </row>
    <row r="221" spans="5:11">
      <c r="E221" s="287"/>
      <c r="I221" s="499"/>
      <c r="K221" s="287"/>
    </row>
    <row r="222" spans="5:11">
      <c r="E222" s="287"/>
      <c r="I222" s="499"/>
      <c r="K222" s="287"/>
    </row>
    <row r="223" spans="5:11">
      <c r="E223" s="287"/>
      <c r="I223" s="499"/>
      <c r="K223" s="287"/>
    </row>
    <row r="224" spans="5:11">
      <c r="E224" s="287"/>
      <c r="I224" s="499"/>
      <c r="K224" s="287"/>
    </row>
    <row r="225" spans="5:11">
      <c r="E225" s="287"/>
      <c r="I225" s="499"/>
      <c r="K225" s="287"/>
    </row>
    <row r="226" spans="5:11">
      <c r="E226" s="287"/>
      <c r="I226" s="499"/>
      <c r="K226" s="287"/>
    </row>
    <row r="227" spans="5:11">
      <c r="E227" s="287"/>
      <c r="I227" s="499"/>
      <c r="K227" s="287"/>
    </row>
    <row r="228" spans="5:11">
      <c r="E228" s="287"/>
      <c r="I228" s="499"/>
      <c r="K228" s="287"/>
    </row>
    <row r="229" spans="5:11">
      <c r="E229" s="287"/>
      <c r="I229" s="499"/>
      <c r="K229" s="287"/>
    </row>
    <row r="230" spans="5:11">
      <c r="E230" s="287"/>
      <c r="I230" s="499"/>
      <c r="K230" s="287"/>
    </row>
    <row r="231" spans="5:11">
      <c r="E231" s="287"/>
      <c r="I231" s="499"/>
      <c r="K231" s="287"/>
    </row>
    <row r="232" spans="5:11">
      <c r="E232" s="287"/>
      <c r="I232" s="499"/>
      <c r="K232" s="287"/>
    </row>
    <row r="233" spans="5:11">
      <c r="E233" s="287"/>
      <c r="I233" s="499"/>
      <c r="K233" s="287"/>
    </row>
    <row r="234" spans="5:11">
      <c r="E234" s="287"/>
      <c r="I234" s="499"/>
      <c r="K234" s="287"/>
    </row>
    <row r="235" spans="5:11">
      <c r="E235" s="287"/>
      <c r="I235" s="499"/>
      <c r="K235" s="287"/>
    </row>
    <row r="236" spans="5:11">
      <c r="E236" s="287"/>
      <c r="I236" s="499"/>
      <c r="K236" s="287"/>
    </row>
    <row r="237" spans="5:11">
      <c r="E237" s="287"/>
      <c r="I237" s="499"/>
      <c r="K237" s="287"/>
    </row>
    <row r="238" spans="5:11">
      <c r="E238" s="287"/>
      <c r="I238" s="499"/>
      <c r="K238" s="287"/>
    </row>
    <row r="239" spans="5:11">
      <c r="E239" s="287"/>
      <c r="I239" s="499"/>
      <c r="K239" s="287"/>
    </row>
    <row r="240" spans="5:11">
      <c r="E240" s="287"/>
      <c r="I240" s="499"/>
      <c r="K240" s="287"/>
    </row>
    <row r="241" spans="5:11">
      <c r="E241" s="287"/>
      <c r="I241" s="499"/>
      <c r="K241" s="287"/>
    </row>
    <row r="242" spans="5:11">
      <c r="E242" s="287"/>
      <c r="I242" s="499"/>
      <c r="K242" s="287"/>
    </row>
    <row r="243" spans="5:11">
      <c r="E243" s="287"/>
      <c r="I243" s="499"/>
      <c r="K243" s="287"/>
    </row>
    <row r="244" spans="5:11">
      <c r="E244" s="287"/>
      <c r="I244" s="499"/>
      <c r="K244" s="287"/>
    </row>
    <row r="245" spans="5:11">
      <c r="E245" s="287"/>
      <c r="I245" s="499"/>
      <c r="K245" s="287"/>
    </row>
    <row r="246" spans="5:11">
      <c r="E246" s="287"/>
      <c r="I246" s="499"/>
      <c r="K246" s="287"/>
    </row>
    <row r="247" spans="5:11">
      <c r="E247" s="287"/>
      <c r="I247" s="499"/>
      <c r="K247" s="287"/>
    </row>
    <row r="248" spans="5:11">
      <c r="E248" s="287"/>
      <c r="I248" s="499"/>
      <c r="K248" s="287"/>
    </row>
    <row r="249" spans="5:11">
      <c r="E249" s="287"/>
      <c r="I249" s="499"/>
      <c r="K249" s="287"/>
    </row>
    <row r="250" spans="5:11">
      <c r="E250" s="287"/>
      <c r="I250" s="499"/>
      <c r="K250" s="287"/>
    </row>
    <row r="251" spans="5:11">
      <c r="E251" s="287"/>
      <c r="I251" s="499"/>
      <c r="K251" s="287"/>
    </row>
    <row r="252" spans="5:11">
      <c r="E252" s="287"/>
      <c r="I252" s="499"/>
      <c r="K252" s="287"/>
    </row>
    <row r="253" spans="5:11">
      <c r="E253" s="287"/>
      <c r="I253" s="499"/>
      <c r="K253" s="287"/>
    </row>
    <row r="254" spans="5:11">
      <c r="E254" s="287"/>
      <c r="I254" s="499"/>
      <c r="K254" s="287"/>
    </row>
    <row r="255" spans="5:11">
      <c r="E255" s="287"/>
      <c r="I255" s="499"/>
      <c r="K255" s="287"/>
    </row>
    <row r="256" spans="5:11">
      <c r="E256" s="287"/>
      <c r="I256" s="499"/>
      <c r="K256" s="287"/>
    </row>
    <row r="257" spans="5:11">
      <c r="E257" s="287"/>
      <c r="I257" s="499"/>
      <c r="K257" s="287"/>
    </row>
    <row r="258" spans="5:11">
      <c r="E258" s="287"/>
      <c r="I258" s="499"/>
      <c r="K258" s="287"/>
    </row>
    <row r="259" spans="5:11">
      <c r="E259" s="287"/>
      <c r="I259" s="499"/>
      <c r="K259" s="287"/>
    </row>
    <row r="260" spans="5:11">
      <c r="E260" s="287"/>
      <c r="I260" s="499"/>
      <c r="K260" s="287"/>
    </row>
    <row r="261" spans="5:11">
      <c r="E261" s="287"/>
      <c r="I261" s="499"/>
      <c r="K261" s="287"/>
    </row>
    <row r="262" spans="5:11">
      <c r="E262" s="287"/>
      <c r="I262" s="499"/>
      <c r="K262" s="287"/>
    </row>
    <row r="263" spans="5:11">
      <c r="E263" s="287"/>
      <c r="I263" s="499"/>
      <c r="K263" s="287"/>
    </row>
    <row r="264" spans="5:11">
      <c r="E264" s="287"/>
      <c r="I264" s="499"/>
      <c r="K264" s="287"/>
    </row>
    <row r="265" spans="5:11">
      <c r="E265" s="287"/>
      <c r="I265" s="499"/>
      <c r="K265" s="287"/>
    </row>
    <row r="266" spans="5:11">
      <c r="E266" s="287"/>
      <c r="I266" s="499"/>
      <c r="K266" s="287"/>
    </row>
    <row r="267" spans="5:11">
      <c r="E267" s="287"/>
      <c r="I267" s="499"/>
      <c r="K267" s="287"/>
    </row>
    <row r="268" spans="5:11">
      <c r="E268" s="287"/>
      <c r="I268" s="499"/>
      <c r="K268" s="287"/>
    </row>
    <row r="269" spans="5:11">
      <c r="E269" s="287"/>
      <c r="I269" s="499"/>
      <c r="K269" s="287"/>
    </row>
    <row r="270" spans="5:11">
      <c r="E270" s="287"/>
      <c r="I270" s="499"/>
      <c r="K270" s="287"/>
    </row>
    <row r="271" spans="5:11">
      <c r="E271" s="287"/>
      <c r="I271" s="499"/>
      <c r="K271" s="287"/>
    </row>
    <row r="272" spans="5:11">
      <c r="E272" s="287"/>
      <c r="I272" s="499"/>
      <c r="K272" s="287"/>
    </row>
    <row r="273" spans="5:11">
      <c r="E273" s="287"/>
      <c r="I273" s="499"/>
      <c r="K273" s="287"/>
    </row>
    <row r="274" spans="5:11">
      <c r="E274" s="287"/>
      <c r="I274" s="499"/>
      <c r="K274" s="287"/>
    </row>
    <row r="275" spans="5:11">
      <c r="E275" s="287"/>
      <c r="I275" s="499"/>
      <c r="K275" s="287"/>
    </row>
    <row r="276" spans="5:11">
      <c r="E276" s="287"/>
      <c r="I276" s="499"/>
      <c r="K276" s="287"/>
    </row>
    <row r="277" spans="5:11">
      <c r="E277" s="287"/>
      <c r="I277" s="499"/>
      <c r="K277" s="287"/>
    </row>
    <row r="278" spans="5:11">
      <c r="E278" s="287"/>
      <c r="I278" s="499"/>
      <c r="K278" s="287"/>
    </row>
    <row r="279" spans="5:11">
      <c r="E279" s="287"/>
      <c r="I279" s="499"/>
      <c r="K279" s="287"/>
    </row>
    <row r="280" spans="5:11">
      <c r="E280" s="287"/>
      <c r="I280" s="499"/>
      <c r="K280" s="287"/>
    </row>
    <row r="281" spans="5:11">
      <c r="E281" s="287"/>
      <c r="I281" s="499"/>
      <c r="K281" s="287"/>
    </row>
    <row r="282" spans="5:11">
      <c r="E282" s="287"/>
      <c r="I282" s="499"/>
      <c r="K282" s="287"/>
    </row>
    <row r="283" spans="5:11">
      <c r="E283" s="287"/>
      <c r="I283" s="499"/>
      <c r="K283" s="287"/>
    </row>
    <row r="284" spans="5:11">
      <c r="E284" s="287"/>
      <c r="I284" s="499"/>
      <c r="K284" s="287"/>
    </row>
    <row r="285" spans="5:11">
      <c r="E285" s="287"/>
      <c r="I285" s="499"/>
      <c r="K285" s="287"/>
    </row>
    <row r="286" spans="5:11">
      <c r="E286" s="287"/>
      <c r="I286" s="499"/>
      <c r="K286" s="287"/>
    </row>
    <row r="287" spans="5:11">
      <c r="E287" s="287"/>
      <c r="I287" s="499"/>
      <c r="K287" s="287"/>
    </row>
    <row r="288" spans="5:11">
      <c r="E288" s="287"/>
      <c r="I288" s="499"/>
      <c r="K288" s="287"/>
    </row>
    <row r="289" spans="5:11">
      <c r="E289" s="287"/>
      <c r="I289" s="499"/>
      <c r="K289" s="287"/>
    </row>
    <row r="290" spans="5:11">
      <c r="E290" s="287"/>
      <c r="I290" s="499"/>
      <c r="K290" s="287"/>
    </row>
    <row r="291" spans="5:11">
      <c r="E291" s="287"/>
      <c r="I291" s="499"/>
      <c r="K291" s="287"/>
    </row>
    <row r="292" spans="5:11">
      <c r="E292" s="287"/>
      <c r="I292" s="499"/>
      <c r="K292" s="287"/>
    </row>
    <row r="293" spans="5:11">
      <c r="E293" s="287"/>
      <c r="I293" s="499"/>
      <c r="K293" s="287"/>
    </row>
    <row r="294" spans="5:11">
      <c r="E294" s="287"/>
      <c r="I294" s="499"/>
      <c r="K294" s="287"/>
    </row>
    <row r="295" spans="5:11">
      <c r="E295" s="287"/>
      <c r="I295" s="499"/>
      <c r="K295" s="287"/>
    </row>
    <row r="296" spans="5:11">
      <c r="E296" s="287"/>
      <c r="I296" s="499"/>
      <c r="K296" s="287"/>
    </row>
    <row r="297" spans="5:11">
      <c r="E297" s="287"/>
      <c r="I297" s="499"/>
      <c r="K297" s="287"/>
    </row>
    <row r="298" spans="5:11">
      <c r="E298" s="287"/>
      <c r="I298" s="499"/>
      <c r="K298" s="287"/>
    </row>
    <row r="299" spans="5:11">
      <c r="E299" s="287"/>
      <c r="I299" s="499"/>
      <c r="K299" s="287"/>
    </row>
    <row r="300" spans="5:11">
      <c r="E300" s="287"/>
      <c r="I300" s="499"/>
      <c r="K300" s="287"/>
    </row>
    <row r="301" spans="5:11">
      <c r="E301" s="287"/>
      <c r="I301" s="499"/>
      <c r="K301" s="287"/>
    </row>
    <row r="302" spans="5:11">
      <c r="E302" s="287"/>
      <c r="I302" s="499"/>
      <c r="K302" s="287"/>
    </row>
    <row r="303" spans="5:11">
      <c r="E303" s="287"/>
      <c r="I303" s="499"/>
      <c r="K303" s="287"/>
    </row>
    <row r="304" spans="5:11">
      <c r="E304" s="287"/>
      <c r="I304" s="499"/>
      <c r="K304" s="287"/>
    </row>
    <row r="305" spans="5:11">
      <c r="E305" s="287"/>
      <c r="I305" s="499"/>
      <c r="K305" s="287"/>
    </row>
    <row r="306" spans="5:11">
      <c r="E306" s="287"/>
      <c r="I306" s="499"/>
      <c r="K306" s="287"/>
    </row>
    <row r="307" spans="5:11">
      <c r="E307" s="287"/>
      <c r="I307" s="499"/>
      <c r="K307" s="287"/>
    </row>
    <row r="308" spans="5:11">
      <c r="E308" s="287"/>
      <c r="I308" s="499"/>
      <c r="K308" s="287"/>
    </row>
    <row r="309" spans="5:11">
      <c r="E309" s="287"/>
      <c r="I309" s="499"/>
      <c r="K309" s="287"/>
    </row>
    <row r="310" spans="5:11">
      <c r="E310" s="287"/>
      <c r="I310" s="499"/>
      <c r="K310" s="287"/>
    </row>
    <row r="311" spans="5:11">
      <c r="E311" s="287"/>
      <c r="I311" s="499"/>
      <c r="K311" s="287"/>
    </row>
    <row r="312" spans="5:11">
      <c r="E312" s="287"/>
      <c r="I312" s="499"/>
      <c r="K312" s="287"/>
    </row>
    <row r="313" spans="5:11">
      <c r="E313" s="287"/>
      <c r="I313" s="499"/>
      <c r="K313" s="287"/>
    </row>
    <row r="314" spans="5:11">
      <c r="E314" s="287"/>
      <c r="I314" s="499"/>
      <c r="K314" s="287"/>
    </row>
    <row r="315" spans="5:11">
      <c r="E315" s="287"/>
      <c r="I315" s="499"/>
      <c r="K315" s="287"/>
    </row>
    <row r="316" spans="5:11">
      <c r="E316" s="287"/>
      <c r="I316" s="499"/>
      <c r="K316" s="287"/>
    </row>
    <row r="317" spans="5:11">
      <c r="E317" s="287"/>
      <c r="I317" s="499"/>
      <c r="K317" s="287"/>
    </row>
    <row r="318" spans="5:11">
      <c r="E318" s="287"/>
      <c r="I318" s="499"/>
      <c r="K318" s="287"/>
    </row>
    <row r="319" spans="5:11">
      <c r="E319" s="287"/>
      <c r="I319" s="499"/>
      <c r="K319" s="287"/>
    </row>
    <row r="320" spans="5:11">
      <c r="E320" s="287"/>
      <c r="I320" s="499"/>
      <c r="K320" s="287"/>
    </row>
    <row r="321" spans="5:11">
      <c r="E321" s="287"/>
      <c r="I321" s="499"/>
      <c r="K321" s="287"/>
    </row>
    <row r="322" spans="5:11">
      <c r="E322" s="287"/>
      <c r="I322" s="499"/>
      <c r="K322" s="287"/>
    </row>
    <row r="323" spans="5:11">
      <c r="E323" s="287"/>
      <c r="I323" s="499"/>
      <c r="K323" s="287"/>
    </row>
    <row r="324" spans="5:11">
      <c r="E324" s="287"/>
      <c r="I324" s="499"/>
      <c r="K324" s="287"/>
    </row>
    <row r="325" spans="5:11">
      <c r="E325" s="287"/>
      <c r="I325" s="499"/>
      <c r="K325" s="287"/>
    </row>
    <row r="326" spans="5:11">
      <c r="E326" s="287"/>
      <c r="I326" s="499"/>
      <c r="K326" s="287"/>
    </row>
    <row r="327" spans="5:11">
      <c r="E327" s="287"/>
      <c r="I327" s="499"/>
      <c r="K327" s="287"/>
    </row>
    <row r="328" spans="5:11">
      <c r="E328" s="287"/>
      <c r="I328" s="499"/>
      <c r="K328" s="287"/>
    </row>
    <row r="329" spans="5:11">
      <c r="E329" s="287"/>
      <c r="I329" s="499"/>
      <c r="K329" s="287"/>
    </row>
    <row r="330" spans="5:11">
      <c r="E330" s="287"/>
      <c r="I330" s="499"/>
      <c r="K330" s="287"/>
    </row>
    <row r="331" spans="5:11">
      <c r="E331" s="287"/>
      <c r="I331" s="499"/>
      <c r="K331" s="287"/>
    </row>
    <row r="332" spans="5:11">
      <c r="E332" s="287"/>
      <c r="I332" s="499"/>
      <c r="K332" s="287"/>
    </row>
    <row r="333" spans="5:11">
      <c r="E333" s="287"/>
      <c r="I333" s="499"/>
      <c r="K333" s="287"/>
    </row>
    <row r="334" spans="5:11">
      <c r="E334" s="287"/>
      <c r="I334" s="499"/>
      <c r="K334" s="287"/>
    </row>
    <row r="335" spans="5:11">
      <c r="E335" s="287"/>
      <c r="I335" s="499"/>
      <c r="K335" s="287"/>
    </row>
    <row r="336" spans="5:11">
      <c r="E336" s="287"/>
      <c r="I336" s="499"/>
      <c r="K336" s="287"/>
    </row>
    <row r="337" spans="5:11">
      <c r="E337" s="287"/>
      <c r="I337" s="499"/>
      <c r="K337" s="287"/>
    </row>
    <row r="338" spans="5:11">
      <c r="E338" s="287"/>
      <c r="I338" s="499"/>
      <c r="K338" s="287"/>
    </row>
    <row r="339" spans="5:11">
      <c r="E339" s="287"/>
      <c r="I339" s="499"/>
      <c r="K339" s="287"/>
    </row>
    <row r="340" spans="5:11">
      <c r="E340" s="287"/>
      <c r="I340" s="499"/>
      <c r="K340" s="287"/>
    </row>
    <row r="341" spans="5:11">
      <c r="E341" s="287"/>
      <c r="I341" s="499"/>
      <c r="K341" s="287"/>
    </row>
    <row r="342" spans="5:11">
      <c r="E342" s="287"/>
      <c r="I342" s="499"/>
      <c r="K342" s="287"/>
    </row>
    <row r="343" spans="5:11">
      <c r="E343" s="287"/>
      <c r="I343" s="499"/>
      <c r="K343" s="287"/>
    </row>
    <row r="344" spans="5:11">
      <c r="E344" s="287"/>
      <c r="I344" s="499"/>
      <c r="K344" s="287"/>
    </row>
    <row r="345" spans="5:11">
      <c r="E345" s="287"/>
      <c r="I345" s="499"/>
      <c r="K345" s="287"/>
    </row>
    <row r="346" spans="5:11">
      <c r="E346" s="287"/>
      <c r="I346" s="499"/>
      <c r="K346" s="287"/>
    </row>
    <row r="347" spans="5:11">
      <c r="E347" s="287"/>
      <c r="I347" s="499"/>
      <c r="K347" s="287"/>
    </row>
    <row r="348" spans="5:11">
      <c r="E348" s="287"/>
      <c r="I348" s="499"/>
      <c r="K348" s="287"/>
    </row>
    <row r="349" spans="5:11">
      <c r="E349" s="287"/>
      <c r="I349" s="499"/>
      <c r="K349" s="287"/>
    </row>
    <row r="350" spans="5:11">
      <c r="E350" s="287"/>
      <c r="I350" s="499"/>
      <c r="K350" s="287"/>
    </row>
    <row r="351" spans="5:11">
      <c r="E351" s="287"/>
      <c r="I351" s="499"/>
      <c r="K351" s="287"/>
    </row>
    <row r="352" spans="5:11">
      <c r="E352" s="287"/>
      <c r="I352" s="499"/>
      <c r="K352" s="287"/>
    </row>
    <row r="353" spans="5:11">
      <c r="E353" s="287"/>
      <c r="I353" s="499"/>
      <c r="K353" s="287"/>
    </row>
    <row r="354" spans="5:11">
      <c r="E354" s="287"/>
      <c r="I354" s="499"/>
      <c r="K354" s="287"/>
    </row>
    <row r="355" spans="5:11">
      <c r="E355" s="287"/>
      <c r="I355" s="499"/>
      <c r="K355" s="287"/>
    </row>
    <row r="356" spans="5:11">
      <c r="E356" s="287"/>
      <c r="I356" s="499"/>
      <c r="K356" s="287"/>
    </row>
    <row r="357" spans="5:11">
      <c r="E357" s="287"/>
      <c r="I357" s="499"/>
      <c r="K357" s="287"/>
    </row>
    <row r="358" spans="5:11">
      <c r="E358" s="287"/>
      <c r="I358" s="499"/>
      <c r="K358" s="287"/>
    </row>
    <row r="359" spans="5:11">
      <c r="E359" s="287"/>
      <c r="I359" s="499"/>
      <c r="K359" s="287"/>
    </row>
    <row r="360" spans="5:11">
      <c r="E360" s="287"/>
      <c r="I360" s="499"/>
      <c r="K360" s="287"/>
    </row>
    <row r="361" spans="5:11">
      <c r="E361" s="287"/>
      <c r="I361" s="499"/>
      <c r="K361" s="287"/>
    </row>
    <row r="362" spans="5:11">
      <c r="E362" s="287"/>
      <c r="I362" s="499"/>
      <c r="K362" s="287"/>
    </row>
    <row r="363" spans="5:11">
      <c r="E363" s="287"/>
      <c r="I363" s="499"/>
      <c r="K363" s="287"/>
    </row>
    <row r="364" spans="5:11">
      <c r="E364" s="287"/>
      <c r="I364" s="499"/>
      <c r="K364" s="287"/>
    </row>
    <row r="365" spans="5:11">
      <c r="E365" s="287"/>
      <c r="I365" s="499"/>
      <c r="K365" s="287"/>
    </row>
    <row r="366" spans="5:11">
      <c r="E366" s="287"/>
      <c r="I366" s="499"/>
      <c r="K366" s="287"/>
    </row>
    <row r="367" spans="5:11">
      <c r="E367" s="287"/>
      <c r="I367" s="499"/>
      <c r="K367" s="287"/>
    </row>
    <row r="368" spans="5:11">
      <c r="E368" s="287"/>
      <c r="I368" s="499"/>
      <c r="K368" s="287"/>
    </row>
    <row r="369" spans="5:11">
      <c r="E369" s="287"/>
      <c r="I369" s="499"/>
      <c r="K369" s="287"/>
    </row>
    <row r="370" spans="5:11">
      <c r="E370" s="287"/>
      <c r="I370" s="499"/>
      <c r="K370" s="287"/>
    </row>
    <row r="371" spans="5:11">
      <c r="E371" s="287"/>
      <c r="I371" s="499"/>
      <c r="K371" s="287"/>
    </row>
    <row r="372" spans="5:11">
      <c r="E372" s="287"/>
      <c r="I372" s="499"/>
      <c r="K372" s="287"/>
    </row>
    <row r="373" spans="5:11">
      <c r="E373" s="287"/>
      <c r="I373" s="499"/>
      <c r="K373" s="287"/>
    </row>
    <row r="374" spans="5:11">
      <c r="E374" s="287"/>
      <c r="I374" s="499"/>
      <c r="K374" s="287"/>
    </row>
    <row r="375" spans="5:11">
      <c r="E375" s="287"/>
      <c r="I375" s="499"/>
      <c r="K375" s="287"/>
    </row>
    <row r="376" spans="5:11">
      <c r="E376" s="287"/>
      <c r="I376" s="499"/>
      <c r="K376" s="287"/>
    </row>
    <row r="377" spans="5:11">
      <c r="E377" s="287"/>
      <c r="I377" s="499"/>
      <c r="K377" s="287"/>
    </row>
    <row r="378" spans="5:11">
      <c r="E378" s="287"/>
      <c r="I378" s="499"/>
      <c r="K378" s="287"/>
    </row>
    <row r="379" spans="5:11">
      <c r="E379" s="287"/>
      <c r="I379" s="499"/>
      <c r="K379" s="287"/>
    </row>
    <row r="380" spans="5:11">
      <c r="E380" s="287"/>
      <c r="I380" s="499"/>
      <c r="K380" s="287"/>
    </row>
    <row r="381" spans="5:11">
      <c r="E381" s="287"/>
      <c r="I381" s="499"/>
      <c r="K381" s="287"/>
    </row>
    <row r="382" spans="5:11">
      <c r="E382" s="287"/>
      <c r="I382" s="499"/>
      <c r="K382" s="287"/>
    </row>
    <row r="383" spans="5:11">
      <c r="E383" s="287"/>
      <c r="I383" s="499"/>
      <c r="K383" s="287"/>
    </row>
    <row r="384" spans="5:11">
      <c r="E384" s="287"/>
      <c r="I384" s="499"/>
      <c r="K384" s="287"/>
    </row>
    <row r="385" spans="5:11">
      <c r="E385" s="287"/>
      <c r="I385" s="499"/>
      <c r="K385" s="287"/>
    </row>
    <row r="386" spans="5:11">
      <c r="E386" s="287"/>
      <c r="I386" s="499"/>
      <c r="K386" s="287"/>
    </row>
    <row r="387" spans="5:11">
      <c r="E387" s="287"/>
      <c r="I387" s="499"/>
      <c r="K387" s="287"/>
    </row>
    <row r="388" spans="5:11">
      <c r="E388" s="287"/>
      <c r="I388" s="499"/>
      <c r="K388" s="287"/>
    </row>
    <row r="389" spans="5:11">
      <c r="E389" s="287"/>
      <c r="I389" s="499"/>
      <c r="K389" s="287"/>
    </row>
    <row r="390" spans="5:11">
      <c r="E390" s="287"/>
      <c r="I390" s="499"/>
      <c r="K390" s="287"/>
    </row>
    <row r="391" spans="5:11">
      <c r="E391" s="287"/>
      <c r="I391" s="499"/>
      <c r="K391" s="287"/>
    </row>
    <row r="392" spans="5:11">
      <c r="E392" s="287"/>
      <c r="I392" s="499"/>
      <c r="K392" s="287"/>
    </row>
    <row r="393" spans="5:11">
      <c r="E393" s="287"/>
      <c r="I393" s="499"/>
      <c r="K393" s="287"/>
    </row>
    <row r="394" spans="5:11">
      <c r="E394" s="287"/>
      <c r="I394" s="499"/>
      <c r="K394" s="287"/>
    </row>
    <row r="395" spans="5:11">
      <c r="E395" s="287"/>
      <c r="I395" s="499"/>
      <c r="K395" s="287"/>
    </row>
    <row r="396" spans="5:11">
      <c r="E396" s="287"/>
      <c r="I396" s="499"/>
      <c r="K396" s="287"/>
    </row>
    <row r="397" spans="5:11">
      <c r="E397" s="287"/>
      <c r="I397" s="499"/>
      <c r="K397" s="287"/>
    </row>
    <row r="398" spans="5:11">
      <c r="E398" s="287"/>
      <c r="I398" s="499"/>
      <c r="K398" s="287"/>
    </row>
    <row r="399" spans="5:11">
      <c r="E399" s="287"/>
      <c r="I399" s="499"/>
      <c r="K399" s="287"/>
    </row>
    <row r="400" spans="5:11">
      <c r="E400" s="287"/>
      <c r="I400" s="499"/>
      <c r="K400" s="287"/>
    </row>
    <row r="401" spans="5:11">
      <c r="E401" s="287"/>
      <c r="I401" s="499"/>
      <c r="K401" s="287"/>
    </row>
    <row r="402" spans="5:11">
      <c r="E402" s="287"/>
      <c r="I402" s="499"/>
      <c r="K402" s="287"/>
    </row>
    <row r="403" spans="5:11">
      <c r="E403" s="287"/>
      <c r="I403" s="499"/>
      <c r="K403" s="287"/>
    </row>
    <row r="404" spans="5:11">
      <c r="E404" s="287"/>
      <c r="I404" s="499"/>
      <c r="K404" s="287"/>
    </row>
    <row r="405" spans="5:11">
      <c r="E405" s="287"/>
      <c r="I405" s="499"/>
      <c r="K405" s="287"/>
    </row>
    <row r="406" spans="5:11">
      <c r="E406" s="287"/>
      <c r="I406" s="499"/>
      <c r="K406" s="287"/>
    </row>
    <row r="407" spans="5:11">
      <c r="E407" s="287"/>
      <c r="I407" s="499"/>
      <c r="K407" s="287"/>
    </row>
    <row r="408" spans="5:11">
      <c r="E408" s="287"/>
      <c r="I408" s="499"/>
      <c r="K408" s="287"/>
    </row>
    <row r="409" spans="5:11">
      <c r="E409" s="287"/>
      <c r="I409" s="499"/>
      <c r="K409" s="287"/>
    </row>
    <row r="410" spans="5:11">
      <c r="E410" s="287"/>
      <c r="I410" s="499"/>
      <c r="K410" s="287"/>
    </row>
    <row r="411" spans="5:11">
      <c r="E411" s="287"/>
      <c r="I411" s="499"/>
      <c r="K411" s="287"/>
    </row>
    <row r="412" spans="5:11">
      <c r="E412" s="287"/>
      <c r="I412" s="499"/>
      <c r="K412" s="287"/>
    </row>
    <row r="413" spans="5:11">
      <c r="E413" s="287"/>
      <c r="I413" s="499"/>
      <c r="K413" s="287"/>
    </row>
    <row r="414" spans="5:11">
      <c r="E414" s="287"/>
      <c r="I414" s="499"/>
      <c r="K414" s="287"/>
    </row>
    <row r="415" spans="5:11">
      <c r="E415" s="287"/>
      <c r="I415" s="499"/>
      <c r="K415" s="287"/>
    </row>
    <row r="416" spans="5:11">
      <c r="E416" s="287"/>
      <c r="I416" s="499"/>
      <c r="K416" s="287"/>
    </row>
    <row r="417" spans="5:11">
      <c r="E417" s="287"/>
      <c r="I417" s="499"/>
      <c r="K417" s="287"/>
    </row>
    <row r="418" spans="5:11">
      <c r="E418" s="287"/>
      <c r="I418" s="499"/>
      <c r="K418" s="287"/>
    </row>
    <row r="419" spans="5:11">
      <c r="E419" s="287"/>
      <c r="I419" s="499"/>
      <c r="K419" s="287"/>
    </row>
    <row r="420" spans="5:11">
      <c r="E420" s="287"/>
      <c r="I420" s="499"/>
      <c r="K420" s="287"/>
    </row>
    <row r="421" spans="5:11">
      <c r="E421" s="287"/>
      <c r="I421" s="499"/>
      <c r="K421" s="287"/>
    </row>
    <row r="422" spans="5:11">
      <c r="E422" s="287"/>
      <c r="I422" s="499"/>
      <c r="K422" s="287"/>
    </row>
    <row r="423" spans="5:11">
      <c r="E423" s="287"/>
      <c r="I423" s="499"/>
      <c r="K423" s="287"/>
    </row>
    <row r="424" spans="5:11">
      <c r="E424" s="287"/>
      <c r="I424" s="499"/>
      <c r="K424" s="287"/>
    </row>
    <row r="425" spans="5:11">
      <c r="E425" s="287"/>
      <c r="I425" s="499"/>
      <c r="K425" s="287"/>
    </row>
    <row r="426" spans="5:11">
      <c r="E426" s="287"/>
      <c r="I426" s="499"/>
      <c r="K426" s="287"/>
    </row>
    <row r="427" spans="5:11">
      <c r="E427" s="287"/>
      <c r="I427" s="499"/>
      <c r="K427" s="287"/>
    </row>
    <row r="428" spans="5:11">
      <c r="E428" s="287"/>
      <c r="I428" s="499"/>
      <c r="K428" s="287"/>
    </row>
    <row r="429" spans="5:11">
      <c r="E429" s="287"/>
      <c r="I429" s="499"/>
      <c r="K429" s="287"/>
    </row>
    <row r="430" spans="5:11">
      <c r="E430" s="287"/>
      <c r="I430" s="499"/>
      <c r="K430" s="287"/>
    </row>
    <row r="431" spans="5:11">
      <c r="E431" s="287"/>
      <c r="I431" s="499"/>
      <c r="K431" s="287"/>
    </row>
    <row r="432" spans="5:11">
      <c r="E432" s="287"/>
      <c r="I432" s="499"/>
      <c r="K432" s="287"/>
    </row>
    <row r="433" spans="5:11">
      <c r="E433" s="287"/>
      <c r="I433" s="499"/>
      <c r="K433" s="287"/>
    </row>
    <row r="434" spans="5:11">
      <c r="E434" s="287"/>
      <c r="I434" s="499"/>
      <c r="K434" s="287"/>
    </row>
    <row r="435" spans="5:11">
      <c r="E435" s="287"/>
      <c r="I435" s="499"/>
      <c r="K435" s="287"/>
    </row>
    <row r="436" spans="5:11">
      <c r="E436" s="287"/>
      <c r="I436" s="499"/>
      <c r="K436" s="287"/>
    </row>
    <row r="437" spans="5:11">
      <c r="E437" s="287"/>
      <c r="I437" s="499"/>
      <c r="K437" s="287"/>
    </row>
    <row r="438" spans="5:11">
      <c r="E438" s="287"/>
      <c r="I438" s="499"/>
      <c r="K438" s="287"/>
    </row>
    <row r="439" spans="5:11">
      <c r="E439" s="287"/>
      <c r="I439" s="499"/>
      <c r="K439" s="287"/>
    </row>
    <row r="440" spans="5:11">
      <c r="E440" s="287"/>
      <c r="I440" s="499"/>
      <c r="K440" s="287"/>
    </row>
    <row r="441" spans="5:11">
      <c r="E441" s="287"/>
      <c r="I441" s="499"/>
      <c r="K441" s="287"/>
    </row>
    <row r="442" spans="5:11">
      <c r="E442" s="287"/>
      <c r="I442" s="499"/>
      <c r="K442" s="287"/>
    </row>
    <row r="443" spans="5:11">
      <c r="E443" s="287"/>
      <c r="I443" s="499"/>
      <c r="K443" s="287"/>
    </row>
    <row r="444" spans="5:11">
      <c r="E444" s="287"/>
      <c r="I444" s="499"/>
      <c r="K444" s="287"/>
    </row>
    <row r="445" spans="5:11">
      <c r="E445" s="287"/>
      <c r="I445" s="499"/>
      <c r="K445" s="287"/>
    </row>
    <row r="446" spans="5:11">
      <c r="E446" s="287"/>
      <c r="I446" s="499"/>
      <c r="K446" s="287"/>
    </row>
    <row r="447" spans="5:11">
      <c r="E447" s="287"/>
      <c r="I447" s="499"/>
      <c r="K447" s="287"/>
    </row>
    <row r="448" spans="5:11">
      <c r="E448" s="287"/>
      <c r="I448" s="499"/>
      <c r="K448" s="287"/>
    </row>
    <row r="449" spans="5:11">
      <c r="E449" s="287"/>
      <c r="I449" s="499"/>
      <c r="K449" s="287"/>
    </row>
    <row r="450" spans="5:11">
      <c r="E450" s="287"/>
      <c r="I450" s="499"/>
      <c r="K450" s="287"/>
    </row>
    <row r="451" spans="5:11">
      <c r="E451" s="287"/>
      <c r="I451" s="499"/>
      <c r="K451" s="287"/>
    </row>
    <row r="452" spans="5:11">
      <c r="E452" s="287"/>
      <c r="I452" s="499"/>
      <c r="K452" s="287"/>
    </row>
    <row r="453" spans="5:11">
      <c r="E453" s="287"/>
      <c r="I453" s="499"/>
      <c r="K453" s="287"/>
    </row>
    <row r="454" spans="5:11">
      <c r="E454" s="287"/>
      <c r="I454" s="499"/>
      <c r="K454" s="287"/>
    </row>
    <row r="455" spans="5:11">
      <c r="E455" s="287"/>
      <c r="I455" s="499"/>
      <c r="K455" s="287"/>
    </row>
    <row r="456" spans="5:11">
      <c r="E456" s="287"/>
      <c r="I456" s="499"/>
      <c r="K456" s="287"/>
    </row>
    <row r="457" spans="5:11">
      <c r="E457" s="287"/>
      <c r="I457" s="499"/>
      <c r="K457" s="287"/>
    </row>
    <row r="458" spans="5:11">
      <c r="E458" s="287"/>
      <c r="I458" s="499"/>
      <c r="K458" s="287"/>
    </row>
    <row r="459" spans="5:11">
      <c r="E459" s="287"/>
      <c r="I459" s="499"/>
      <c r="K459" s="287"/>
    </row>
    <row r="460" spans="5:11">
      <c r="E460" s="287"/>
      <c r="I460" s="499"/>
      <c r="K460" s="287"/>
    </row>
    <row r="461" spans="5:11">
      <c r="E461" s="287"/>
      <c r="I461" s="499"/>
      <c r="K461" s="287"/>
    </row>
    <row r="462" spans="5:11">
      <c r="E462" s="287"/>
      <c r="I462" s="499"/>
      <c r="K462" s="287"/>
    </row>
    <row r="463" spans="5:11">
      <c r="E463" s="287"/>
      <c r="I463" s="499"/>
      <c r="K463" s="287"/>
    </row>
    <row r="464" spans="5:11">
      <c r="E464" s="287"/>
      <c r="I464" s="499"/>
      <c r="K464" s="287"/>
    </row>
    <row r="465" spans="5:11">
      <c r="E465" s="287"/>
      <c r="I465" s="499"/>
      <c r="K465" s="287"/>
    </row>
    <row r="466" spans="5:11">
      <c r="E466" s="287"/>
      <c r="I466" s="499"/>
      <c r="K466" s="287"/>
    </row>
    <row r="467" spans="5:11">
      <c r="E467" s="287"/>
      <c r="I467" s="499"/>
      <c r="K467" s="287"/>
    </row>
    <row r="468" spans="5:11">
      <c r="E468" s="287"/>
      <c r="I468" s="499"/>
      <c r="K468" s="287"/>
    </row>
    <row r="469" spans="5:11">
      <c r="E469" s="287"/>
      <c r="I469" s="499"/>
      <c r="K469" s="287"/>
    </row>
    <row r="470" spans="5:11">
      <c r="E470" s="287"/>
      <c r="I470" s="499"/>
      <c r="K470" s="287"/>
    </row>
    <row r="471" spans="5:11">
      <c r="E471" s="287"/>
      <c r="I471" s="499"/>
      <c r="K471" s="287"/>
    </row>
    <row r="472" spans="5:11">
      <c r="E472" s="287"/>
      <c r="I472" s="499"/>
      <c r="K472" s="287"/>
    </row>
    <row r="473" spans="5:11">
      <c r="E473" s="287"/>
      <c r="I473" s="499"/>
      <c r="K473" s="287"/>
    </row>
    <row r="474" spans="5:11">
      <c r="E474" s="287"/>
      <c r="I474" s="499"/>
      <c r="K474" s="287"/>
    </row>
    <row r="475" spans="5:11">
      <c r="E475" s="287"/>
      <c r="I475" s="499"/>
      <c r="K475" s="287"/>
    </row>
    <row r="476" spans="5:11">
      <c r="E476" s="287"/>
      <c r="I476" s="499"/>
      <c r="K476" s="287"/>
    </row>
    <row r="477" spans="5:11">
      <c r="E477" s="287"/>
      <c r="I477" s="499"/>
      <c r="K477" s="287"/>
    </row>
    <row r="478" spans="5:11">
      <c r="E478" s="287"/>
      <c r="I478" s="499"/>
      <c r="K478" s="287"/>
    </row>
    <row r="479" spans="5:11">
      <c r="E479" s="287"/>
      <c r="I479" s="499"/>
      <c r="K479" s="287"/>
    </row>
    <row r="480" spans="5:11">
      <c r="E480" s="287"/>
      <c r="I480" s="499"/>
      <c r="K480" s="287"/>
    </row>
    <row r="481" spans="5:11">
      <c r="E481" s="287"/>
      <c r="I481" s="499"/>
      <c r="K481" s="287"/>
    </row>
    <row r="482" spans="5:11">
      <c r="E482" s="287"/>
      <c r="I482" s="499"/>
      <c r="K482" s="287"/>
    </row>
    <row r="483" spans="5:11">
      <c r="E483" s="287"/>
      <c r="I483" s="499"/>
      <c r="K483" s="287"/>
    </row>
    <row r="484" spans="5:11">
      <c r="E484" s="287"/>
      <c r="I484" s="499"/>
      <c r="K484" s="287"/>
    </row>
    <row r="485" spans="5:11">
      <c r="E485" s="287"/>
      <c r="I485" s="499"/>
      <c r="K485" s="287"/>
    </row>
    <row r="486" spans="5:11">
      <c r="E486" s="287"/>
      <c r="I486" s="499"/>
      <c r="K486" s="287"/>
    </row>
    <row r="487" spans="5:11">
      <c r="E487" s="287"/>
      <c r="I487" s="499"/>
      <c r="K487" s="287"/>
    </row>
    <row r="488" spans="5:11">
      <c r="E488" s="287"/>
      <c r="I488" s="499"/>
      <c r="K488" s="287"/>
    </row>
    <row r="489" spans="5:11">
      <c r="E489" s="287"/>
      <c r="I489" s="499"/>
      <c r="K489" s="287"/>
    </row>
    <row r="490" spans="5:11">
      <c r="E490" s="287"/>
      <c r="I490" s="499"/>
      <c r="K490" s="287"/>
    </row>
    <row r="491" spans="5:11">
      <c r="E491" s="287"/>
      <c r="I491" s="499"/>
      <c r="K491" s="287"/>
    </row>
    <row r="492" spans="5:11">
      <c r="E492" s="287"/>
      <c r="I492" s="499"/>
      <c r="K492" s="287"/>
    </row>
    <row r="493" spans="5:11">
      <c r="E493" s="287"/>
      <c r="I493" s="499"/>
      <c r="K493" s="287"/>
    </row>
    <row r="494" spans="5:11">
      <c r="E494" s="287"/>
      <c r="I494" s="499"/>
      <c r="K494" s="287"/>
    </row>
    <row r="495" spans="5:11">
      <c r="E495" s="287"/>
      <c r="I495" s="499"/>
      <c r="K495" s="287"/>
    </row>
    <row r="496" spans="5:11">
      <c r="E496" s="287"/>
      <c r="I496" s="499"/>
      <c r="K496" s="287"/>
    </row>
    <row r="497" spans="5:11">
      <c r="E497" s="287"/>
      <c r="I497" s="499"/>
      <c r="K497" s="287"/>
    </row>
    <row r="498" spans="5:11">
      <c r="E498" s="287"/>
      <c r="I498" s="499"/>
      <c r="K498" s="287"/>
    </row>
    <row r="499" spans="5:11">
      <c r="E499" s="287"/>
      <c r="I499" s="499"/>
      <c r="K499" s="287"/>
    </row>
    <row r="500" spans="5:11">
      <c r="E500" s="287"/>
      <c r="I500" s="499"/>
      <c r="K500" s="287"/>
    </row>
    <row r="501" spans="5:11">
      <c r="E501" s="287"/>
      <c r="I501" s="499"/>
      <c r="K501" s="287"/>
    </row>
    <row r="502" spans="5:11">
      <c r="E502" s="287"/>
      <c r="I502" s="499"/>
      <c r="K502" s="287"/>
    </row>
    <row r="503" spans="5:11">
      <c r="E503" s="287"/>
      <c r="I503" s="499"/>
      <c r="K503" s="287"/>
    </row>
    <row r="504" spans="5:11">
      <c r="E504" s="287"/>
      <c r="I504" s="499"/>
      <c r="K504" s="287"/>
    </row>
    <row r="505" spans="5:11">
      <c r="E505" s="287"/>
      <c r="I505" s="499"/>
      <c r="K505" s="287"/>
    </row>
    <row r="506" spans="5:11">
      <c r="E506" s="287"/>
      <c r="I506" s="499"/>
      <c r="K506" s="287"/>
    </row>
    <row r="507" spans="5:11">
      <c r="E507" s="287"/>
      <c r="I507" s="499"/>
      <c r="K507" s="287"/>
    </row>
    <row r="508" spans="5:11">
      <c r="E508" s="287"/>
      <c r="I508" s="499"/>
      <c r="K508" s="287"/>
    </row>
    <row r="509" spans="5:11">
      <c r="E509" s="287"/>
      <c r="I509" s="499"/>
      <c r="K509" s="287"/>
    </row>
    <row r="510" spans="5:11">
      <c r="E510" s="287"/>
      <c r="I510" s="499"/>
      <c r="K510" s="287"/>
    </row>
    <row r="511" spans="5:11">
      <c r="E511" s="287"/>
      <c r="I511" s="499"/>
      <c r="K511" s="287"/>
    </row>
    <row r="512" spans="5:11">
      <c r="E512" s="287"/>
      <c r="I512" s="499"/>
      <c r="K512" s="287"/>
    </row>
    <row r="513" spans="5:11">
      <c r="E513" s="287"/>
      <c r="I513" s="499"/>
      <c r="K513" s="287"/>
    </row>
    <row r="514" spans="5:11">
      <c r="E514" s="287"/>
      <c r="I514" s="499"/>
      <c r="K514" s="287"/>
    </row>
    <row r="515" spans="5:11">
      <c r="E515" s="287"/>
      <c r="I515" s="499"/>
      <c r="K515" s="287"/>
    </row>
    <row r="516" spans="5:11">
      <c r="E516" s="287"/>
      <c r="I516" s="499"/>
      <c r="K516" s="287"/>
    </row>
    <row r="517" spans="5:11">
      <c r="E517" s="287"/>
      <c r="I517" s="499"/>
      <c r="K517" s="287"/>
    </row>
    <row r="518" spans="5:11">
      <c r="E518" s="287"/>
      <c r="I518" s="499"/>
      <c r="K518" s="287"/>
    </row>
    <row r="519" spans="5:11">
      <c r="E519" s="287"/>
      <c r="I519" s="499"/>
      <c r="K519" s="287"/>
    </row>
    <row r="520" spans="5:11">
      <c r="E520" s="287"/>
      <c r="I520" s="499"/>
      <c r="K520" s="287"/>
    </row>
    <row r="521" spans="5:11">
      <c r="E521" s="287"/>
      <c r="I521" s="499"/>
      <c r="K521" s="287"/>
    </row>
    <row r="522" spans="5:11">
      <c r="E522" s="287"/>
      <c r="I522" s="499"/>
      <c r="K522" s="287"/>
    </row>
    <row r="523" spans="5:11">
      <c r="E523" s="287"/>
      <c r="I523" s="499"/>
      <c r="K523" s="287"/>
    </row>
    <row r="524" spans="5:11">
      <c r="E524" s="287"/>
      <c r="I524" s="499"/>
      <c r="K524" s="287"/>
    </row>
    <row r="525" spans="5:11">
      <c r="E525" s="287"/>
      <c r="I525" s="499"/>
      <c r="K525" s="287"/>
    </row>
    <row r="526" spans="5:11">
      <c r="E526" s="287"/>
      <c r="I526" s="499"/>
      <c r="K526" s="287"/>
    </row>
    <row r="527" spans="5:11">
      <c r="E527" s="287"/>
      <c r="I527" s="499"/>
      <c r="K527" s="287"/>
    </row>
    <row r="528" spans="5:11">
      <c r="E528" s="287"/>
      <c r="I528" s="499"/>
      <c r="K528" s="287"/>
    </row>
    <row r="529" spans="5:11">
      <c r="E529" s="287"/>
      <c r="I529" s="499"/>
      <c r="K529" s="287"/>
    </row>
    <row r="530" spans="5:11">
      <c r="E530" s="287"/>
      <c r="I530" s="499"/>
      <c r="K530" s="287"/>
    </row>
    <row r="531" spans="5:11">
      <c r="E531" s="287"/>
      <c r="I531" s="499"/>
      <c r="K531" s="287"/>
    </row>
    <row r="532" spans="5:11">
      <c r="E532" s="287"/>
      <c r="I532" s="499"/>
      <c r="K532" s="287"/>
    </row>
    <row r="533" spans="5:11">
      <c r="E533" s="287"/>
      <c r="I533" s="499"/>
      <c r="K533" s="287"/>
    </row>
    <row r="534" spans="5:11">
      <c r="E534" s="287"/>
      <c r="I534" s="499"/>
      <c r="K534" s="287"/>
    </row>
    <row r="535" spans="5:11">
      <c r="E535" s="287"/>
      <c r="I535" s="499"/>
      <c r="K535" s="287"/>
    </row>
    <row r="536" spans="5:11">
      <c r="E536" s="287"/>
      <c r="I536" s="499"/>
      <c r="K536" s="287"/>
    </row>
    <row r="537" spans="5:11">
      <c r="E537" s="287"/>
      <c r="I537" s="499"/>
      <c r="K537" s="287"/>
    </row>
    <row r="538" spans="5:11">
      <c r="E538" s="287"/>
      <c r="I538" s="499"/>
      <c r="K538" s="287"/>
    </row>
    <row r="539" spans="5:11">
      <c r="E539" s="287"/>
      <c r="I539" s="499"/>
      <c r="K539" s="287"/>
    </row>
    <row r="540" spans="5:11">
      <c r="E540" s="287"/>
      <c r="I540" s="499"/>
      <c r="K540" s="287"/>
    </row>
    <row r="541" spans="5:11">
      <c r="E541" s="287"/>
      <c r="I541" s="499"/>
      <c r="K541" s="287"/>
    </row>
    <row r="542" spans="5:11">
      <c r="E542" s="287"/>
      <c r="I542" s="499"/>
      <c r="K542" s="287"/>
    </row>
    <row r="543" spans="5:11">
      <c r="E543" s="287"/>
      <c r="I543" s="499"/>
      <c r="K543" s="287"/>
    </row>
    <row r="544" spans="5:11">
      <c r="E544" s="287"/>
      <c r="I544" s="499"/>
      <c r="K544" s="287"/>
    </row>
    <row r="545" spans="5:11">
      <c r="E545" s="287"/>
      <c r="I545" s="499"/>
      <c r="K545" s="287"/>
    </row>
    <row r="546" spans="5:11">
      <c r="E546" s="287"/>
      <c r="I546" s="499"/>
      <c r="K546" s="287"/>
    </row>
    <row r="547" spans="5:11">
      <c r="E547" s="287"/>
      <c r="I547" s="499"/>
      <c r="K547" s="287"/>
    </row>
    <row r="548" spans="5:11">
      <c r="E548" s="287"/>
      <c r="I548" s="499"/>
      <c r="K548" s="287"/>
    </row>
    <row r="549" spans="5:11">
      <c r="E549" s="287"/>
      <c r="I549" s="499"/>
      <c r="K549" s="287"/>
    </row>
    <row r="550" spans="5:11">
      <c r="E550" s="287"/>
      <c r="I550" s="499"/>
      <c r="K550" s="287"/>
    </row>
    <row r="551" spans="5:11">
      <c r="E551" s="287"/>
      <c r="I551" s="499"/>
      <c r="K551" s="287"/>
    </row>
    <row r="552" spans="5:11">
      <c r="E552" s="287"/>
      <c r="I552" s="499"/>
      <c r="K552" s="287"/>
    </row>
    <row r="553" spans="5:11">
      <c r="E553" s="287"/>
      <c r="I553" s="499"/>
      <c r="K553" s="287"/>
    </row>
    <row r="554" spans="5:11">
      <c r="E554" s="287"/>
      <c r="I554" s="499"/>
      <c r="K554" s="287"/>
    </row>
    <row r="555" spans="5:11">
      <c r="E555" s="287"/>
      <c r="I555" s="499"/>
      <c r="K555" s="287"/>
    </row>
    <row r="556" spans="5:11">
      <c r="E556" s="287"/>
      <c r="I556" s="499"/>
      <c r="K556" s="287"/>
    </row>
    <row r="557" spans="5:11">
      <c r="E557" s="287"/>
      <c r="I557" s="499"/>
      <c r="K557" s="287"/>
    </row>
    <row r="558" spans="5:11">
      <c r="E558" s="287"/>
      <c r="I558" s="499"/>
      <c r="K558" s="287"/>
    </row>
    <row r="559" spans="5:11">
      <c r="E559" s="287"/>
      <c r="I559" s="499"/>
      <c r="K559" s="287"/>
    </row>
    <row r="560" spans="5:11">
      <c r="E560" s="287"/>
      <c r="I560" s="499"/>
      <c r="K560" s="287"/>
    </row>
    <row r="561" spans="5:11">
      <c r="E561" s="287"/>
      <c r="I561" s="499"/>
      <c r="K561" s="287"/>
    </row>
    <row r="562" spans="5:11">
      <c r="E562" s="287"/>
      <c r="I562" s="499"/>
      <c r="K562" s="287"/>
    </row>
    <row r="563" spans="5:11">
      <c r="E563" s="287"/>
      <c r="I563" s="499"/>
      <c r="K563" s="287"/>
    </row>
    <row r="564" spans="5:11">
      <c r="E564" s="287"/>
      <c r="I564" s="499"/>
      <c r="K564" s="287"/>
    </row>
    <row r="565" spans="5:11">
      <c r="E565" s="287"/>
      <c r="I565" s="499"/>
      <c r="K565" s="287"/>
    </row>
    <row r="566" spans="5:11">
      <c r="E566" s="287"/>
      <c r="I566" s="499"/>
      <c r="K566" s="287"/>
    </row>
    <row r="567" spans="5:11">
      <c r="E567" s="287"/>
      <c r="I567" s="499"/>
      <c r="K567" s="287"/>
    </row>
    <row r="568" spans="5:11">
      <c r="E568" s="287"/>
      <c r="I568" s="499"/>
      <c r="K568" s="287"/>
    </row>
    <row r="569" spans="5:11">
      <c r="E569" s="287"/>
      <c r="I569" s="499"/>
      <c r="K569" s="287"/>
    </row>
    <row r="570" spans="5:11">
      <c r="E570" s="287"/>
      <c r="I570" s="499"/>
      <c r="K570" s="287"/>
    </row>
    <row r="571" spans="5:11">
      <c r="E571" s="287"/>
      <c r="I571" s="499"/>
      <c r="K571" s="287"/>
    </row>
    <row r="572" spans="5:11">
      <c r="E572" s="287"/>
      <c r="I572" s="499"/>
      <c r="K572" s="287"/>
    </row>
    <row r="573" spans="5:11">
      <c r="E573" s="287"/>
      <c r="I573" s="499"/>
      <c r="K573" s="287"/>
    </row>
    <row r="574" spans="5:11">
      <c r="E574" s="287"/>
      <c r="I574" s="499"/>
      <c r="K574" s="287"/>
    </row>
    <row r="575" spans="5:11">
      <c r="E575" s="287"/>
      <c r="I575" s="499"/>
      <c r="K575" s="287"/>
    </row>
    <row r="576" spans="5:11">
      <c r="E576" s="287"/>
      <c r="I576" s="499"/>
      <c r="K576" s="287"/>
    </row>
    <row r="577" spans="5:11">
      <c r="E577" s="287"/>
      <c r="I577" s="499"/>
      <c r="K577" s="287"/>
    </row>
    <row r="578" spans="5:11">
      <c r="E578" s="287"/>
      <c r="I578" s="499"/>
      <c r="K578" s="287"/>
    </row>
    <row r="579" spans="5:11">
      <c r="E579" s="287"/>
      <c r="I579" s="499"/>
      <c r="K579" s="287"/>
    </row>
    <row r="580" spans="5:11">
      <c r="E580" s="287"/>
      <c r="I580" s="499"/>
      <c r="K580" s="287"/>
    </row>
    <row r="581" spans="5:11">
      <c r="E581" s="287"/>
      <c r="I581" s="499"/>
      <c r="K581" s="287"/>
    </row>
    <row r="582" spans="5:11">
      <c r="E582" s="287"/>
      <c r="I582" s="499"/>
      <c r="K582" s="287"/>
    </row>
    <row r="583" spans="5:11">
      <c r="E583" s="287"/>
      <c r="I583" s="499"/>
      <c r="K583" s="287"/>
    </row>
    <row r="584" spans="5:11">
      <c r="E584" s="287"/>
      <c r="I584" s="499"/>
      <c r="K584" s="287"/>
    </row>
    <row r="585" spans="5:11">
      <c r="E585" s="287"/>
      <c r="I585" s="499"/>
      <c r="K585" s="287"/>
    </row>
    <row r="586" spans="5:11">
      <c r="E586" s="287"/>
      <c r="I586" s="499"/>
      <c r="K586" s="287"/>
    </row>
    <row r="587" spans="5:11">
      <c r="E587" s="287"/>
      <c r="I587" s="499"/>
      <c r="K587" s="287"/>
    </row>
    <row r="588" spans="5:11">
      <c r="E588" s="287"/>
      <c r="I588" s="499"/>
      <c r="K588" s="287"/>
    </row>
    <row r="589" spans="5:11">
      <c r="E589" s="287"/>
      <c r="I589" s="499"/>
      <c r="K589" s="287"/>
    </row>
    <row r="590" spans="5:11">
      <c r="E590" s="287"/>
      <c r="I590" s="499"/>
      <c r="K590" s="287"/>
    </row>
    <row r="591" spans="5:11">
      <c r="E591" s="287"/>
      <c r="I591" s="499"/>
      <c r="K591" s="287"/>
    </row>
    <row r="592" spans="5:11">
      <c r="E592" s="287"/>
      <c r="I592" s="499"/>
      <c r="K592" s="287"/>
    </row>
    <row r="593" spans="5:11">
      <c r="E593" s="287"/>
      <c r="I593" s="499"/>
      <c r="K593" s="287"/>
    </row>
    <row r="594" spans="5:11">
      <c r="E594" s="287"/>
      <c r="I594" s="499"/>
      <c r="K594" s="287"/>
    </row>
    <row r="595" spans="5:11">
      <c r="E595" s="287"/>
      <c r="I595" s="499"/>
      <c r="K595" s="287"/>
    </row>
    <row r="596" spans="5:11">
      <c r="E596" s="287"/>
      <c r="I596" s="499"/>
      <c r="K596" s="287"/>
    </row>
    <row r="597" spans="5:11">
      <c r="E597" s="287"/>
      <c r="I597" s="499"/>
      <c r="K597" s="287"/>
    </row>
    <row r="598" spans="5:11">
      <c r="E598" s="287"/>
      <c r="I598" s="499"/>
      <c r="K598" s="287"/>
    </row>
    <row r="599" spans="5:11">
      <c r="E599" s="287"/>
      <c r="I599" s="499"/>
      <c r="K599" s="287"/>
    </row>
    <row r="600" spans="5:11">
      <c r="E600" s="287"/>
      <c r="I600" s="499"/>
      <c r="K600" s="287"/>
    </row>
    <row r="601" spans="5:11">
      <c r="E601" s="287"/>
      <c r="I601" s="499"/>
      <c r="K601" s="287"/>
    </row>
    <row r="602" spans="5:11">
      <c r="E602" s="287"/>
      <c r="I602" s="499"/>
      <c r="K602" s="287"/>
    </row>
    <row r="603" spans="5:11">
      <c r="E603" s="287"/>
      <c r="I603" s="499"/>
      <c r="K603" s="287"/>
    </row>
    <row r="604" spans="5:11">
      <c r="E604" s="287"/>
      <c r="I604" s="499"/>
      <c r="K604" s="287"/>
    </row>
    <row r="605" spans="5:11">
      <c r="E605" s="287"/>
      <c r="I605" s="499"/>
      <c r="K605" s="287"/>
    </row>
    <row r="606" spans="5:11">
      <c r="E606" s="287"/>
      <c r="I606" s="499"/>
      <c r="K606" s="287"/>
    </row>
    <row r="607" spans="5:11">
      <c r="E607" s="287"/>
      <c r="I607" s="499"/>
      <c r="K607" s="287"/>
    </row>
    <row r="608" spans="5:11">
      <c r="E608" s="287"/>
      <c r="I608" s="499"/>
      <c r="K608" s="287"/>
    </row>
    <row r="609" spans="5:11">
      <c r="E609" s="287"/>
      <c r="I609" s="499"/>
      <c r="K609" s="287"/>
    </row>
    <row r="610" spans="5:11">
      <c r="E610" s="287"/>
      <c r="I610" s="499"/>
      <c r="K610" s="287"/>
    </row>
    <row r="611" spans="5:11">
      <c r="E611" s="287"/>
      <c r="I611" s="499"/>
      <c r="K611" s="287"/>
    </row>
    <row r="612" spans="5:11">
      <c r="E612" s="287"/>
      <c r="I612" s="499"/>
      <c r="K612" s="287"/>
    </row>
    <row r="613" spans="5:11">
      <c r="E613" s="287"/>
      <c r="I613" s="499"/>
      <c r="K613" s="287"/>
    </row>
    <row r="614" spans="5:11">
      <c r="E614" s="287"/>
      <c r="I614" s="499"/>
      <c r="K614" s="287"/>
    </row>
    <row r="615" spans="5:11">
      <c r="E615" s="287"/>
      <c r="I615" s="499"/>
      <c r="K615" s="287"/>
    </row>
    <row r="616" spans="5:11">
      <c r="E616" s="287"/>
      <c r="I616" s="499"/>
      <c r="K616" s="287"/>
    </row>
    <row r="617" spans="5:11">
      <c r="E617" s="287"/>
      <c r="I617" s="499"/>
      <c r="K617" s="287"/>
    </row>
    <row r="618" spans="5:11">
      <c r="E618" s="287"/>
      <c r="I618" s="499"/>
      <c r="K618" s="287"/>
    </row>
    <row r="619" spans="5:11">
      <c r="E619" s="287"/>
      <c r="I619" s="499"/>
      <c r="K619" s="287"/>
    </row>
    <row r="620" spans="5:11">
      <c r="E620" s="287"/>
      <c r="I620" s="499"/>
      <c r="K620" s="287"/>
    </row>
    <row r="621" spans="5:11">
      <c r="E621" s="287"/>
      <c r="I621" s="499"/>
      <c r="K621" s="287"/>
    </row>
    <row r="622" spans="5:11">
      <c r="E622" s="287"/>
      <c r="I622" s="499"/>
      <c r="K622" s="287"/>
    </row>
    <row r="623" spans="5:11">
      <c r="E623" s="287"/>
      <c r="I623" s="499"/>
      <c r="K623" s="287"/>
    </row>
    <row r="624" spans="5:11">
      <c r="E624" s="287"/>
      <c r="I624" s="499"/>
      <c r="K624" s="287"/>
    </row>
    <row r="625" spans="5:11">
      <c r="E625" s="287"/>
      <c r="I625" s="499"/>
      <c r="K625" s="287"/>
    </row>
    <row r="626" spans="5:11">
      <c r="E626" s="287"/>
      <c r="I626" s="499"/>
      <c r="K626" s="287"/>
    </row>
    <row r="627" spans="5:11">
      <c r="E627" s="287"/>
      <c r="I627" s="499"/>
      <c r="K627" s="287"/>
    </row>
    <row r="628" spans="5:11">
      <c r="E628" s="287"/>
      <c r="I628" s="499"/>
      <c r="K628" s="287"/>
    </row>
    <row r="629" spans="5:11">
      <c r="E629" s="287"/>
      <c r="I629" s="499"/>
      <c r="K629" s="287"/>
    </row>
    <row r="630" spans="5:11">
      <c r="E630" s="287"/>
      <c r="I630" s="499"/>
      <c r="K630" s="287"/>
    </row>
    <row r="631" spans="5:11">
      <c r="E631" s="287"/>
      <c r="I631" s="499"/>
      <c r="K631" s="287"/>
    </row>
    <row r="632" spans="5:11">
      <c r="E632" s="287"/>
      <c r="I632" s="499"/>
      <c r="K632" s="287"/>
    </row>
    <row r="633" spans="5:11">
      <c r="E633" s="287"/>
      <c r="I633" s="499"/>
      <c r="K633" s="287"/>
    </row>
    <row r="634" spans="5:11">
      <c r="E634" s="287"/>
      <c r="I634" s="499"/>
      <c r="K634" s="287"/>
    </row>
    <row r="635" spans="5:11">
      <c r="E635" s="287"/>
      <c r="I635" s="499"/>
      <c r="K635" s="287"/>
    </row>
    <row r="636" spans="5:11">
      <c r="E636" s="287"/>
      <c r="I636" s="499"/>
      <c r="K636" s="287"/>
    </row>
    <row r="637" spans="5:11">
      <c r="E637" s="287"/>
      <c r="I637" s="499"/>
      <c r="K637" s="287"/>
    </row>
    <row r="638" spans="5:11">
      <c r="E638" s="287"/>
      <c r="I638" s="499"/>
      <c r="K638" s="287"/>
    </row>
    <row r="639" spans="5:11">
      <c r="E639" s="287"/>
      <c r="I639" s="499"/>
      <c r="K639" s="287"/>
    </row>
    <row r="640" spans="5:11">
      <c r="E640" s="287"/>
      <c r="I640" s="499"/>
      <c r="K640" s="287"/>
    </row>
    <row r="641" spans="5:11">
      <c r="E641" s="287"/>
      <c r="I641" s="499"/>
      <c r="K641" s="287"/>
    </row>
    <row r="642" spans="5:11">
      <c r="E642" s="287"/>
      <c r="I642" s="499"/>
      <c r="K642" s="287"/>
    </row>
    <row r="643" spans="5:11">
      <c r="E643" s="287"/>
      <c r="I643" s="499"/>
      <c r="K643" s="287"/>
    </row>
    <row r="644" spans="5:11">
      <c r="E644" s="287"/>
      <c r="I644" s="499"/>
      <c r="K644" s="287"/>
    </row>
    <row r="645" spans="5:11">
      <c r="E645" s="287"/>
      <c r="I645" s="499"/>
      <c r="K645" s="287"/>
    </row>
    <row r="646" spans="5:11">
      <c r="E646" s="287"/>
      <c r="I646" s="499"/>
      <c r="K646" s="287"/>
    </row>
    <row r="647" spans="5:11">
      <c r="E647" s="287"/>
      <c r="I647" s="499"/>
      <c r="K647" s="287"/>
    </row>
    <row r="648" spans="5:11">
      <c r="E648" s="287"/>
      <c r="I648" s="499"/>
      <c r="K648" s="287"/>
    </row>
    <row r="649" spans="5:11">
      <c r="E649" s="287"/>
      <c r="I649" s="499"/>
      <c r="K649" s="287"/>
    </row>
    <row r="650" spans="5:11">
      <c r="E650" s="287"/>
      <c r="I650" s="499"/>
      <c r="K650" s="287"/>
    </row>
    <row r="651" spans="5:11">
      <c r="E651" s="287"/>
      <c r="I651" s="499"/>
      <c r="K651" s="287"/>
    </row>
    <row r="652" spans="5:11">
      <c r="E652" s="287"/>
      <c r="I652" s="499"/>
      <c r="K652" s="287"/>
    </row>
    <row r="653" spans="5:11">
      <c r="E653" s="287"/>
      <c r="I653" s="499"/>
      <c r="K653" s="287"/>
    </row>
    <row r="654" spans="5:11">
      <c r="E654" s="287"/>
      <c r="I654" s="499"/>
      <c r="K654" s="287"/>
    </row>
    <row r="655" spans="5:11">
      <c r="E655" s="287"/>
      <c r="I655" s="499"/>
      <c r="K655" s="287"/>
    </row>
    <row r="656" spans="5:11">
      <c r="E656" s="287"/>
      <c r="I656" s="499"/>
      <c r="K656" s="287"/>
    </row>
    <row r="657" spans="5:11">
      <c r="E657" s="287"/>
      <c r="I657" s="499"/>
      <c r="K657" s="287"/>
    </row>
    <row r="658" spans="5:11">
      <c r="E658" s="287"/>
      <c r="I658" s="499"/>
      <c r="K658" s="287"/>
    </row>
    <row r="659" spans="5:11">
      <c r="E659" s="287"/>
      <c r="I659" s="499"/>
      <c r="K659" s="287"/>
    </row>
    <row r="660" spans="5:11">
      <c r="E660" s="287"/>
      <c r="I660" s="499"/>
      <c r="K660" s="287"/>
    </row>
    <row r="661" spans="5:11">
      <c r="E661" s="287"/>
      <c r="I661" s="499"/>
      <c r="K661" s="287"/>
    </row>
    <row r="662" spans="5:11">
      <c r="E662" s="287"/>
      <c r="I662" s="499"/>
      <c r="K662" s="287"/>
    </row>
    <row r="663" spans="5:11">
      <c r="E663" s="287"/>
      <c r="I663" s="499"/>
      <c r="K663" s="287"/>
    </row>
    <row r="664" spans="5:11">
      <c r="E664" s="287"/>
      <c r="I664" s="499"/>
      <c r="K664" s="287"/>
    </row>
    <row r="665" spans="5:11">
      <c r="E665" s="287"/>
      <c r="I665" s="499"/>
      <c r="K665" s="287"/>
    </row>
    <row r="666" spans="5:11">
      <c r="E666" s="287"/>
      <c r="I666" s="499"/>
      <c r="K666" s="287"/>
    </row>
    <row r="667" spans="5:11">
      <c r="E667" s="287"/>
      <c r="I667" s="499"/>
      <c r="K667" s="287"/>
    </row>
    <row r="668" spans="5:11">
      <c r="E668" s="287"/>
      <c r="I668" s="499"/>
      <c r="K668" s="287"/>
    </row>
    <row r="669" spans="5:11">
      <c r="E669" s="287"/>
      <c r="I669" s="499"/>
      <c r="K669" s="287"/>
    </row>
    <row r="670" spans="5:11">
      <c r="E670" s="287"/>
      <c r="I670" s="499"/>
      <c r="K670" s="287"/>
    </row>
    <row r="671" spans="5:11">
      <c r="E671" s="287"/>
      <c r="I671" s="499"/>
      <c r="K671" s="287"/>
    </row>
    <row r="672" spans="5:11">
      <c r="E672" s="287"/>
      <c r="I672" s="499"/>
      <c r="K672" s="287"/>
    </row>
    <row r="673" spans="5:11">
      <c r="E673" s="287"/>
      <c r="I673" s="499"/>
      <c r="K673" s="287"/>
    </row>
    <row r="674" spans="5:11">
      <c r="E674" s="287"/>
      <c r="I674" s="499"/>
      <c r="K674" s="287"/>
    </row>
    <row r="675" spans="5:11">
      <c r="E675" s="287"/>
      <c r="I675" s="499"/>
      <c r="K675" s="287"/>
    </row>
    <row r="676" spans="5:11">
      <c r="E676" s="287"/>
      <c r="I676" s="499"/>
      <c r="K676" s="287"/>
    </row>
    <row r="677" spans="5:11">
      <c r="E677" s="287"/>
      <c r="I677" s="499"/>
      <c r="K677" s="287"/>
    </row>
    <row r="678" spans="5:11">
      <c r="E678" s="287"/>
      <c r="I678" s="499"/>
      <c r="K678" s="287"/>
    </row>
    <row r="679" spans="5:11">
      <c r="E679" s="287"/>
      <c r="I679" s="499"/>
      <c r="K679" s="287"/>
    </row>
    <row r="680" spans="5:11">
      <c r="E680" s="287"/>
      <c r="I680" s="499"/>
      <c r="K680" s="287"/>
    </row>
    <row r="681" spans="5:11">
      <c r="E681" s="287"/>
      <c r="I681" s="499"/>
      <c r="K681" s="287"/>
    </row>
    <row r="682" spans="5:11">
      <c r="E682" s="287"/>
      <c r="I682" s="499"/>
      <c r="K682" s="287"/>
    </row>
    <row r="683" spans="5:11">
      <c r="E683" s="287"/>
      <c r="I683" s="499"/>
      <c r="K683" s="287"/>
    </row>
    <row r="684" spans="5:11">
      <c r="E684" s="287"/>
      <c r="I684" s="499"/>
      <c r="K684" s="287"/>
    </row>
    <row r="685" spans="5:11">
      <c r="E685" s="287"/>
      <c r="I685" s="499"/>
      <c r="K685" s="287"/>
    </row>
    <row r="686" spans="5:11">
      <c r="E686" s="287"/>
      <c r="I686" s="499"/>
      <c r="K686" s="287"/>
    </row>
    <row r="687" spans="5:11">
      <c r="E687" s="287"/>
      <c r="I687" s="499"/>
      <c r="K687" s="287"/>
    </row>
    <row r="688" spans="5:11">
      <c r="E688" s="287"/>
      <c r="I688" s="499"/>
      <c r="K688" s="287"/>
    </row>
    <row r="689" spans="5:11">
      <c r="E689" s="287"/>
      <c r="I689" s="499"/>
      <c r="K689" s="287"/>
    </row>
    <row r="690" spans="5:11">
      <c r="E690" s="287"/>
      <c r="I690" s="499"/>
      <c r="K690" s="287"/>
    </row>
    <row r="691" spans="5:11">
      <c r="E691" s="287"/>
      <c r="I691" s="499"/>
      <c r="K691" s="287"/>
    </row>
    <row r="692" spans="5:11">
      <c r="E692" s="287"/>
      <c r="I692" s="499"/>
      <c r="K692" s="287"/>
    </row>
    <row r="693" spans="5:11">
      <c r="E693" s="287"/>
      <c r="I693" s="499"/>
      <c r="K693" s="287"/>
    </row>
    <row r="694" spans="5:11">
      <c r="E694" s="287"/>
      <c r="I694" s="499"/>
      <c r="K694" s="287"/>
    </row>
    <row r="695" spans="5:11">
      <c r="E695" s="287"/>
      <c r="I695" s="499"/>
      <c r="K695" s="287"/>
    </row>
    <row r="696" spans="5:11">
      <c r="E696" s="287"/>
      <c r="I696" s="499"/>
      <c r="K696" s="287"/>
    </row>
    <row r="697" spans="5:11">
      <c r="E697" s="287"/>
      <c r="I697" s="499"/>
      <c r="K697" s="287"/>
    </row>
    <row r="698" spans="5:11">
      <c r="E698" s="287"/>
      <c r="I698" s="499"/>
      <c r="K698" s="287"/>
    </row>
    <row r="699" spans="5:11">
      <c r="E699" s="287"/>
      <c r="I699" s="499"/>
      <c r="K699" s="287"/>
    </row>
    <row r="700" spans="5:11">
      <c r="E700" s="287"/>
      <c r="I700" s="499"/>
      <c r="K700" s="287"/>
    </row>
    <row r="701" spans="5:11">
      <c r="E701" s="287"/>
      <c r="I701" s="499"/>
      <c r="K701" s="287"/>
    </row>
    <row r="702" spans="5:11">
      <c r="E702" s="287"/>
      <c r="I702" s="499"/>
      <c r="K702" s="287"/>
    </row>
    <row r="703" spans="5:11">
      <c r="E703" s="287"/>
      <c r="I703" s="499"/>
      <c r="K703" s="287"/>
    </row>
    <row r="704" spans="5:11">
      <c r="E704" s="287"/>
      <c r="I704" s="499"/>
      <c r="K704" s="287"/>
    </row>
    <row r="705" spans="5:11">
      <c r="E705" s="287"/>
      <c r="I705" s="499"/>
      <c r="K705" s="287"/>
    </row>
    <row r="706" spans="5:11">
      <c r="E706" s="287"/>
      <c r="I706" s="499"/>
      <c r="K706" s="287"/>
    </row>
    <row r="707" spans="5:11">
      <c r="E707" s="287"/>
      <c r="I707" s="499"/>
      <c r="K707" s="287"/>
    </row>
    <row r="708" spans="5:11">
      <c r="E708" s="287"/>
      <c r="I708" s="499"/>
      <c r="K708" s="287"/>
    </row>
    <row r="709" spans="5:11">
      <c r="E709" s="287"/>
      <c r="I709" s="499"/>
      <c r="K709" s="287"/>
    </row>
    <row r="710" spans="5:11">
      <c r="E710" s="287"/>
      <c r="I710" s="499"/>
      <c r="K710" s="287"/>
    </row>
    <row r="711" spans="5:11">
      <c r="E711" s="287"/>
      <c r="I711" s="499"/>
      <c r="K711" s="287"/>
    </row>
    <row r="712" spans="5:11">
      <c r="E712" s="287"/>
      <c r="I712" s="499"/>
      <c r="K712" s="287"/>
    </row>
    <row r="713" spans="5:11">
      <c r="E713" s="287"/>
      <c r="I713" s="499"/>
      <c r="K713" s="287"/>
    </row>
    <row r="714" spans="5:11">
      <c r="E714" s="287"/>
      <c r="I714" s="499"/>
      <c r="K714" s="287"/>
    </row>
    <row r="715" spans="5:11">
      <c r="E715" s="287"/>
      <c r="I715" s="499"/>
      <c r="K715" s="287"/>
    </row>
    <row r="716" spans="5:11">
      <c r="E716" s="287"/>
      <c r="I716" s="499"/>
      <c r="K716" s="287"/>
    </row>
    <row r="717" spans="5:11">
      <c r="E717" s="287"/>
      <c r="I717" s="499"/>
      <c r="K717" s="287"/>
    </row>
    <row r="718" spans="5:11">
      <c r="E718" s="287"/>
      <c r="I718" s="499"/>
      <c r="K718" s="287"/>
    </row>
    <row r="719" spans="5:11">
      <c r="E719" s="287"/>
      <c r="I719" s="499"/>
      <c r="K719" s="287"/>
    </row>
    <row r="720" spans="5:11">
      <c r="E720" s="287"/>
      <c r="I720" s="499"/>
      <c r="K720" s="287"/>
    </row>
    <row r="721" spans="5:11">
      <c r="E721" s="287"/>
      <c r="I721" s="499"/>
      <c r="K721" s="287"/>
    </row>
    <row r="722" spans="5:11">
      <c r="E722" s="287"/>
      <c r="I722" s="499"/>
      <c r="K722" s="287"/>
    </row>
    <row r="723" spans="5:11">
      <c r="E723" s="287"/>
      <c r="I723" s="499"/>
      <c r="K723" s="287"/>
    </row>
    <row r="724" spans="5:11">
      <c r="E724" s="287"/>
      <c r="I724" s="499"/>
      <c r="K724" s="287"/>
    </row>
    <row r="725" spans="5:11">
      <c r="E725" s="287"/>
      <c r="I725" s="499"/>
      <c r="K725" s="287"/>
    </row>
    <row r="726" spans="5:11">
      <c r="E726" s="287"/>
      <c r="I726" s="499"/>
      <c r="K726" s="287"/>
    </row>
    <row r="727" spans="5:11">
      <c r="E727" s="287"/>
      <c r="I727" s="499"/>
      <c r="K727" s="287"/>
    </row>
    <row r="728" spans="5:11">
      <c r="E728" s="287"/>
      <c r="I728" s="499"/>
      <c r="K728" s="287"/>
    </row>
    <row r="729" spans="5:11">
      <c r="E729" s="287"/>
      <c r="I729" s="499"/>
      <c r="K729" s="287"/>
    </row>
    <row r="730" spans="5:11">
      <c r="E730" s="287"/>
      <c r="I730" s="499"/>
      <c r="K730" s="287"/>
    </row>
    <row r="731" spans="5:11">
      <c r="E731" s="287"/>
      <c r="I731" s="499"/>
      <c r="K731" s="287"/>
    </row>
    <row r="732" spans="5:11">
      <c r="E732" s="287"/>
      <c r="I732" s="499"/>
      <c r="K732" s="287"/>
    </row>
    <row r="733" spans="5:11">
      <c r="E733" s="287"/>
      <c r="I733" s="499"/>
      <c r="K733" s="287"/>
    </row>
    <row r="734" spans="5:11">
      <c r="E734" s="287"/>
      <c r="I734" s="499"/>
      <c r="K734" s="287"/>
    </row>
    <row r="735" spans="5:11">
      <c r="E735" s="287"/>
      <c r="I735" s="499"/>
      <c r="K735" s="287"/>
    </row>
    <row r="736" spans="5:11">
      <c r="E736" s="287"/>
      <c r="I736" s="499"/>
      <c r="K736" s="287"/>
    </row>
    <row r="737" spans="5:11">
      <c r="E737" s="287"/>
      <c r="I737" s="499"/>
      <c r="K737" s="287"/>
    </row>
    <row r="738" spans="5:11">
      <c r="E738" s="287"/>
      <c r="I738" s="499"/>
      <c r="K738" s="287"/>
    </row>
    <row r="739" spans="5:11">
      <c r="E739" s="287"/>
      <c r="I739" s="499"/>
      <c r="K739" s="287"/>
    </row>
    <row r="740" spans="5:11">
      <c r="E740" s="287"/>
      <c r="I740" s="499"/>
      <c r="K740" s="287"/>
    </row>
    <row r="741" spans="5:11">
      <c r="E741" s="287"/>
      <c r="I741" s="499"/>
      <c r="K741" s="287"/>
    </row>
    <row r="742" spans="5:11">
      <c r="E742" s="287"/>
      <c r="I742" s="499"/>
      <c r="K742" s="287"/>
    </row>
    <row r="743" spans="5:11">
      <c r="E743" s="287"/>
      <c r="I743" s="499"/>
      <c r="K743" s="287"/>
    </row>
    <row r="744" spans="5:11">
      <c r="E744" s="287"/>
      <c r="I744" s="499"/>
      <c r="K744" s="287"/>
    </row>
    <row r="745" spans="5:11">
      <c r="E745" s="287"/>
      <c r="I745" s="499"/>
      <c r="K745" s="287"/>
    </row>
    <row r="746" spans="5:11">
      <c r="E746" s="287"/>
      <c r="I746" s="499"/>
      <c r="K746" s="287"/>
    </row>
    <row r="747" spans="5:11">
      <c r="E747" s="287"/>
      <c r="I747" s="499"/>
      <c r="K747" s="287"/>
    </row>
    <row r="748" spans="5:11">
      <c r="E748" s="287"/>
      <c r="I748" s="499"/>
      <c r="K748" s="287"/>
    </row>
    <row r="749" spans="5:11">
      <c r="E749" s="287"/>
      <c r="I749" s="499"/>
      <c r="K749" s="287"/>
    </row>
    <row r="750" spans="5:11">
      <c r="E750" s="287"/>
      <c r="I750" s="499"/>
      <c r="K750" s="287"/>
    </row>
    <row r="751" spans="5:11">
      <c r="E751" s="287"/>
      <c r="I751" s="499"/>
      <c r="K751" s="287"/>
    </row>
    <row r="752" spans="5:11">
      <c r="E752" s="287"/>
      <c r="I752" s="499"/>
      <c r="K752" s="287"/>
    </row>
    <row r="753" spans="5:11">
      <c r="E753" s="287"/>
      <c r="I753" s="499"/>
      <c r="K753" s="287"/>
    </row>
    <row r="754" spans="5:11">
      <c r="E754" s="287"/>
      <c r="I754" s="499"/>
      <c r="K754" s="287"/>
    </row>
    <row r="755" spans="5:11">
      <c r="E755" s="287"/>
      <c r="I755" s="499"/>
      <c r="K755" s="287"/>
    </row>
    <row r="756" spans="5:11">
      <c r="E756" s="287"/>
      <c r="I756" s="499"/>
      <c r="K756" s="287"/>
    </row>
    <row r="757" spans="5:11">
      <c r="E757" s="287"/>
      <c r="I757" s="499"/>
      <c r="K757" s="287"/>
    </row>
    <row r="758" spans="5:11">
      <c r="E758" s="287"/>
      <c r="I758" s="499"/>
      <c r="K758" s="287"/>
    </row>
    <row r="759" spans="5:11">
      <c r="E759" s="287"/>
      <c r="I759" s="499"/>
      <c r="K759" s="287"/>
    </row>
    <row r="760" spans="5:11">
      <c r="E760" s="287"/>
      <c r="I760" s="499"/>
      <c r="K760" s="287"/>
    </row>
    <row r="761" spans="5:11">
      <c r="E761" s="287"/>
      <c r="I761" s="499"/>
      <c r="K761" s="287"/>
    </row>
    <row r="762" spans="5:11">
      <c r="E762" s="287"/>
      <c r="I762" s="499"/>
      <c r="K762" s="287"/>
    </row>
    <row r="763" spans="5:11">
      <c r="E763" s="287"/>
      <c r="I763" s="499"/>
      <c r="K763" s="287"/>
    </row>
    <row r="764" spans="5:11">
      <c r="E764" s="287"/>
      <c r="I764" s="499"/>
      <c r="K764" s="287"/>
    </row>
    <row r="765" spans="5:11">
      <c r="E765" s="287"/>
      <c r="I765" s="499"/>
      <c r="K765" s="287"/>
    </row>
    <row r="766" spans="5:11">
      <c r="E766" s="287"/>
      <c r="I766" s="499"/>
      <c r="K766" s="287"/>
    </row>
    <row r="767" spans="5:11">
      <c r="E767" s="287"/>
      <c r="I767" s="499"/>
      <c r="K767" s="287"/>
    </row>
    <row r="768" spans="5:11">
      <c r="E768" s="287"/>
      <c r="I768" s="499"/>
      <c r="K768" s="287"/>
    </row>
    <row r="769" spans="5:11">
      <c r="E769" s="287"/>
      <c r="I769" s="499"/>
      <c r="K769" s="287"/>
    </row>
    <row r="770" spans="5:11">
      <c r="E770" s="287"/>
      <c r="I770" s="499"/>
      <c r="K770" s="287"/>
    </row>
    <row r="771" spans="5:11">
      <c r="E771" s="287"/>
      <c r="I771" s="499"/>
      <c r="K771" s="287"/>
    </row>
    <row r="772" spans="5:11">
      <c r="E772" s="287"/>
      <c r="I772" s="499"/>
      <c r="K772" s="287"/>
    </row>
    <row r="773" spans="5:11">
      <c r="E773" s="287"/>
      <c r="I773" s="499"/>
      <c r="K773" s="287"/>
    </row>
    <row r="774" spans="5:11">
      <c r="E774" s="287"/>
      <c r="I774" s="499"/>
      <c r="K774" s="287"/>
    </row>
    <row r="775" spans="5:11">
      <c r="E775" s="287"/>
      <c r="I775" s="499"/>
      <c r="K775" s="287"/>
    </row>
    <row r="776" spans="5:11">
      <c r="E776" s="287"/>
      <c r="I776" s="499"/>
      <c r="K776" s="287"/>
    </row>
    <row r="777" spans="5:11">
      <c r="E777" s="287"/>
      <c r="I777" s="499"/>
      <c r="K777" s="287"/>
    </row>
    <row r="778" spans="5:11">
      <c r="E778" s="287"/>
      <c r="I778" s="499"/>
      <c r="K778" s="287"/>
    </row>
    <row r="779" spans="5:11">
      <c r="E779" s="287"/>
      <c r="I779" s="499"/>
      <c r="K779" s="287"/>
    </row>
    <row r="780" spans="5:11">
      <c r="E780" s="287"/>
      <c r="I780" s="499"/>
      <c r="K780" s="287"/>
    </row>
    <row r="781" spans="5:11">
      <c r="E781" s="287"/>
      <c r="I781" s="499"/>
      <c r="K781" s="287"/>
    </row>
    <row r="782" spans="5:11">
      <c r="E782" s="287"/>
      <c r="I782" s="499"/>
      <c r="K782" s="287"/>
    </row>
    <row r="783" spans="5:11">
      <c r="E783" s="287"/>
      <c r="I783" s="499"/>
      <c r="K783" s="287"/>
    </row>
    <row r="784" spans="5:11">
      <c r="E784" s="287"/>
      <c r="I784" s="499"/>
      <c r="K784" s="287"/>
    </row>
    <row r="785" spans="5:11">
      <c r="E785" s="287"/>
      <c r="I785" s="499"/>
      <c r="K785" s="287"/>
    </row>
    <row r="786" spans="5:11">
      <c r="E786" s="287"/>
      <c r="I786" s="499"/>
      <c r="K786" s="287"/>
    </row>
    <row r="787" spans="5:11">
      <c r="E787" s="287"/>
      <c r="I787" s="499"/>
      <c r="K787" s="287"/>
    </row>
    <row r="788" spans="5:11">
      <c r="E788" s="287"/>
      <c r="I788" s="499"/>
      <c r="K788" s="287"/>
    </row>
    <row r="789" spans="5:11">
      <c r="E789" s="287"/>
      <c r="I789" s="499"/>
      <c r="K789" s="287"/>
    </row>
    <row r="790" spans="5:11">
      <c r="E790" s="287"/>
      <c r="I790" s="499"/>
      <c r="K790" s="287"/>
    </row>
    <row r="791" spans="5:11">
      <c r="E791" s="287"/>
      <c r="I791" s="499"/>
      <c r="K791" s="287"/>
    </row>
    <row r="792" spans="5:11">
      <c r="E792" s="287"/>
      <c r="I792" s="499"/>
      <c r="K792" s="287"/>
    </row>
    <row r="793" spans="5:11">
      <c r="E793" s="287"/>
      <c r="I793" s="499"/>
      <c r="K793" s="287"/>
    </row>
    <row r="794" spans="5:11">
      <c r="E794" s="287"/>
      <c r="I794" s="499"/>
      <c r="K794" s="287"/>
    </row>
    <row r="795" spans="5:11">
      <c r="E795" s="287"/>
      <c r="I795" s="499"/>
      <c r="K795" s="287"/>
    </row>
    <row r="796" spans="5:11">
      <c r="E796" s="287"/>
      <c r="I796" s="499"/>
      <c r="K796" s="287"/>
    </row>
    <row r="797" spans="5:11">
      <c r="E797" s="287"/>
      <c r="I797" s="499"/>
      <c r="K797" s="287"/>
    </row>
    <row r="798" spans="5:11">
      <c r="E798" s="287"/>
      <c r="I798" s="499"/>
      <c r="K798" s="287"/>
    </row>
    <row r="799" spans="5:11">
      <c r="E799" s="287"/>
      <c r="I799" s="499"/>
      <c r="K799" s="287"/>
    </row>
    <row r="800" spans="5:11">
      <c r="E800" s="287"/>
      <c r="I800" s="499"/>
      <c r="K800" s="287"/>
    </row>
    <row r="801" spans="5:11">
      <c r="E801" s="287"/>
      <c r="I801" s="499"/>
      <c r="K801" s="287"/>
    </row>
    <row r="802" spans="5:11">
      <c r="E802" s="287"/>
      <c r="I802" s="499"/>
      <c r="K802" s="287"/>
    </row>
    <row r="803" spans="5:11">
      <c r="E803" s="287"/>
      <c r="I803" s="499"/>
      <c r="K803" s="287"/>
    </row>
    <row r="804" spans="5:11">
      <c r="E804" s="287"/>
      <c r="I804" s="499"/>
      <c r="K804" s="287"/>
    </row>
    <row r="805" spans="5:11">
      <c r="E805" s="287"/>
      <c r="I805" s="499"/>
      <c r="K805" s="287"/>
    </row>
    <row r="806" spans="5:11">
      <c r="E806" s="287"/>
      <c r="I806" s="499"/>
      <c r="K806" s="287"/>
    </row>
    <row r="807" spans="5:11">
      <c r="E807" s="287"/>
      <c r="I807" s="499"/>
      <c r="K807" s="287"/>
    </row>
    <row r="808" spans="5:11">
      <c r="E808" s="287"/>
      <c r="I808" s="499"/>
      <c r="K808" s="287"/>
    </row>
    <row r="809" spans="5:11">
      <c r="E809" s="287"/>
      <c r="I809" s="499"/>
      <c r="K809" s="287"/>
    </row>
    <row r="810" spans="5:11">
      <c r="E810" s="287"/>
      <c r="I810" s="499"/>
      <c r="K810" s="287"/>
    </row>
    <row r="811" spans="5:11">
      <c r="E811" s="287"/>
      <c r="I811" s="499"/>
      <c r="K811" s="287"/>
    </row>
    <row r="812" spans="5:11">
      <c r="E812" s="287"/>
      <c r="I812" s="499"/>
      <c r="K812" s="287"/>
    </row>
    <row r="813" spans="5:11">
      <c r="E813" s="287"/>
      <c r="I813" s="499"/>
      <c r="K813" s="287"/>
    </row>
    <row r="814" spans="5:11">
      <c r="E814" s="287"/>
      <c r="I814" s="499"/>
      <c r="K814" s="287"/>
    </row>
    <row r="815" spans="5:11">
      <c r="E815" s="287"/>
      <c r="I815" s="499"/>
      <c r="K815" s="287"/>
    </row>
    <row r="816" spans="5:11">
      <c r="E816" s="287"/>
      <c r="I816" s="499"/>
      <c r="K816" s="287"/>
    </row>
    <row r="817" spans="5:11">
      <c r="E817" s="287"/>
      <c r="I817" s="499"/>
      <c r="K817" s="287"/>
    </row>
    <row r="818" spans="5:11">
      <c r="E818" s="287"/>
      <c r="I818" s="499"/>
      <c r="K818" s="287"/>
    </row>
    <row r="819" spans="5:11">
      <c r="E819" s="287"/>
      <c r="I819" s="499"/>
      <c r="K819" s="287"/>
    </row>
    <row r="820" spans="5:11">
      <c r="E820" s="287"/>
      <c r="I820" s="499"/>
      <c r="K820" s="287"/>
    </row>
    <row r="821" spans="5:11">
      <c r="E821" s="287"/>
      <c r="I821" s="499"/>
      <c r="K821" s="287"/>
    </row>
    <row r="822" spans="5:11">
      <c r="E822" s="287"/>
      <c r="I822" s="499"/>
      <c r="K822" s="287"/>
    </row>
    <row r="823" spans="5:11">
      <c r="E823" s="287"/>
      <c r="I823" s="499"/>
      <c r="K823" s="287"/>
    </row>
    <row r="824" spans="5:11">
      <c r="E824" s="287"/>
      <c r="I824" s="499"/>
      <c r="K824" s="287"/>
    </row>
    <row r="825" spans="5:11">
      <c r="E825" s="287"/>
      <c r="I825" s="499"/>
      <c r="K825" s="287"/>
    </row>
    <row r="826" spans="5:11">
      <c r="E826" s="287"/>
      <c r="I826" s="499"/>
      <c r="K826" s="287"/>
    </row>
    <row r="827" spans="5:11">
      <c r="E827" s="287"/>
      <c r="I827" s="499"/>
      <c r="K827" s="287"/>
    </row>
    <row r="828" spans="5:11">
      <c r="E828" s="287"/>
      <c r="I828" s="499"/>
      <c r="K828" s="287"/>
    </row>
    <row r="829" spans="5:11">
      <c r="E829" s="287"/>
      <c r="I829" s="499"/>
      <c r="K829" s="287"/>
    </row>
    <row r="830" spans="5:11">
      <c r="E830" s="287"/>
      <c r="I830" s="499"/>
      <c r="K830" s="287"/>
    </row>
    <row r="831" spans="5:11">
      <c r="E831" s="287"/>
      <c r="I831" s="499"/>
      <c r="K831" s="287"/>
    </row>
    <row r="832" spans="5:11">
      <c r="E832" s="287"/>
      <c r="I832" s="499"/>
      <c r="K832" s="287"/>
    </row>
    <row r="833" spans="5:11">
      <c r="E833" s="287"/>
      <c r="I833" s="499"/>
      <c r="K833" s="287"/>
    </row>
    <row r="834" spans="5:11">
      <c r="E834" s="287"/>
      <c r="I834" s="499"/>
      <c r="K834" s="287"/>
    </row>
    <row r="835" spans="5:11">
      <c r="E835" s="287"/>
      <c r="I835" s="499"/>
      <c r="K835" s="287"/>
    </row>
    <row r="836" spans="5:11">
      <c r="E836" s="287"/>
      <c r="I836" s="499"/>
      <c r="K836" s="287"/>
    </row>
    <row r="837" spans="5:11">
      <c r="E837" s="287"/>
      <c r="I837" s="499"/>
      <c r="K837" s="287"/>
    </row>
    <row r="838" spans="5:11">
      <c r="E838" s="287"/>
      <c r="I838" s="499"/>
      <c r="K838" s="287"/>
    </row>
    <row r="839" spans="5:11">
      <c r="E839" s="287"/>
      <c r="I839" s="499"/>
      <c r="K839" s="287"/>
    </row>
    <row r="840" spans="5:11">
      <c r="E840" s="287"/>
      <c r="I840" s="499"/>
      <c r="K840" s="287"/>
    </row>
    <row r="841" spans="5:11">
      <c r="E841" s="287"/>
      <c r="I841" s="499"/>
      <c r="K841" s="287"/>
    </row>
    <row r="842" spans="5:11">
      <c r="E842" s="287"/>
      <c r="I842" s="499"/>
      <c r="K842" s="287"/>
    </row>
    <row r="843" spans="5:11">
      <c r="E843" s="287"/>
      <c r="I843" s="499"/>
      <c r="K843" s="287"/>
    </row>
    <row r="844" spans="5:11">
      <c r="E844" s="287"/>
      <c r="I844" s="499"/>
      <c r="K844" s="287"/>
    </row>
    <row r="845" spans="5:11">
      <c r="E845" s="287"/>
      <c r="I845" s="499"/>
      <c r="K845" s="287"/>
    </row>
    <row r="846" spans="5:11">
      <c r="E846" s="287"/>
      <c r="I846" s="499"/>
      <c r="K846" s="287"/>
    </row>
    <row r="847" spans="5:11">
      <c r="E847" s="287"/>
      <c r="I847" s="499"/>
      <c r="K847" s="287"/>
    </row>
    <row r="848" spans="5:11">
      <c r="E848" s="287"/>
      <c r="I848" s="499"/>
      <c r="K848" s="287"/>
    </row>
    <row r="849" spans="5:11">
      <c r="E849" s="287"/>
      <c r="I849" s="499"/>
      <c r="K849" s="287"/>
    </row>
    <row r="850" spans="5:11">
      <c r="E850" s="287"/>
      <c r="I850" s="499"/>
      <c r="K850" s="287"/>
    </row>
    <row r="851" spans="5:11">
      <c r="E851" s="287"/>
      <c r="I851" s="499"/>
      <c r="K851" s="287"/>
    </row>
    <row r="852" spans="5:11">
      <c r="E852" s="287"/>
      <c r="I852" s="499"/>
      <c r="K852" s="287"/>
    </row>
    <row r="853" spans="5:11">
      <c r="E853" s="287"/>
      <c r="I853" s="499"/>
      <c r="K853" s="287"/>
    </row>
    <row r="854" spans="5:11">
      <c r="E854" s="287"/>
      <c r="I854" s="499"/>
      <c r="K854" s="287"/>
    </row>
    <row r="855" spans="5:11">
      <c r="E855" s="287"/>
      <c r="I855" s="499"/>
      <c r="K855" s="287"/>
    </row>
    <row r="856" spans="5:11">
      <c r="E856" s="287"/>
      <c r="I856" s="499"/>
      <c r="K856" s="287"/>
    </row>
    <row r="857" spans="5:11">
      <c r="E857" s="287"/>
      <c r="I857" s="499"/>
      <c r="K857" s="287"/>
    </row>
    <row r="858" spans="5:11">
      <c r="E858" s="287"/>
      <c r="I858" s="499"/>
      <c r="K858" s="287"/>
    </row>
    <row r="859" spans="5:11">
      <c r="E859" s="287"/>
      <c r="I859" s="499"/>
      <c r="K859" s="287"/>
    </row>
    <row r="860" spans="5:11">
      <c r="E860" s="287"/>
      <c r="I860" s="499"/>
      <c r="K860" s="287"/>
    </row>
    <row r="861" spans="5:11">
      <c r="E861" s="287"/>
      <c r="I861" s="499"/>
      <c r="K861" s="287"/>
    </row>
    <row r="862" spans="5:11">
      <c r="E862" s="287"/>
      <c r="I862" s="499"/>
      <c r="K862" s="287"/>
    </row>
    <row r="863" spans="5:11">
      <c r="E863" s="287"/>
      <c r="I863" s="499"/>
      <c r="K863" s="287"/>
    </row>
    <row r="864" spans="5:11">
      <c r="E864" s="287"/>
      <c r="I864" s="499"/>
      <c r="K864" s="287"/>
    </row>
    <row r="865" spans="5:11">
      <c r="E865" s="287"/>
      <c r="I865" s="499"/>
      <c r="K865" s="287"/>
    </row>
    <row r="866" spans="5:11">
      <c r="E866" s="287"/>
      <c r="I866" s="499"/>
      <c r="K866" s="287"/>
    </row>
    <row r="867" spans="5:11">
      <c r="E867" s="287"/>
      <c r="I867" s="499"/>
      <c r="K867" s="287"/>
    </row>
    <row r="868" spans="5:11">
      <c r="E868" s="287"/>
      <c r="I868" s="499"/>
      <c r="K868" s="287"/>
    </row>
    <row r="869" spans="5:11">
      <c r="E869" s="287"/>
      <c r="I869" s="499"/>
      <c r="K869" s="287"/>
    </row>
    <row r="870" spans="5:11">
      <c r="E870" s="287"/>
      <c r="I870" s="499"/>
      <c r="K870" s="287"/>
    </row>
    <row r="871" spans="5:11">
      <c r="E871" s="287"/>
      <c r="I871" s="499"/>
      <c r="K871" s="287"/>
    </row>
    <row r="872" spans="5:11">
      <c r="E872" s="287"/>
      <c r="I872" s="499"/>
      <c r="K872" s="287"/>
    </row>
    <row r="873" spans="5:11">
      <c r="E873" s="287"/>
      <c r="I873" s="499"/>
      <c r="K873" s="287"/>
    </row>
    <row r="874" spans="5:11">
      <c r="E874" s="287"/>
      <c r="I874" s="499"/>
      <c r="K874" s="287"/>
    </row>
    <row r="875" spans="5:11">
      <c r="E875" s="287"/>
      <c r="I875" s="499"/>
      <c r="K875" s="287"/>
    </row>
    <row r="876" spans="5:11">
      <c r="E876" s="287"/>
      <c r="I876" s="499"/>
      <c r="K876" s="287"/>
    </row>
    <row r="877" spans="5:11">
      <c r="E877" s="287"/>
      <c r="I877" s="499"/>
      <c r="K877" s="287"/>
    </row>
    <row r="878" spans="5:11">
      <c r="E878" s="287"/>
      <c r="I878" s="499"/>
      <c r="K878" s="287"/>
    </row>
    <row r="879" spans="5:11">
      <c r="E879" s="287"/>
      <c r="I879" s="499"/>
      <c r="K879" s="287"/>
    </row>
    <row r="880" spans="5:11">
      <c r="E880" s="287"/>
      <c r="I880" s="499"/>
      <c r="K880" s="287"/>
    </row>
    <row r="881" spans="5:11">
      <c r="E881" s="287"/>
      <c r="I881" s="499"/>
      <c r="K881" s="287"/>
    </row>
    <row r="882" spans="5:11">
      <c r="E882" s="287"/>
      <c r="I882" s="499"/>
      <c r="K882" s="287"/>
    </row>
    <row r="883" spans="5:11">
      <c r="E883" s="287"/>
      <c r="I883" s="499"/>
      <c r="K883" s="287"/>
    </row>
    <row r="884" spans="5:11">
      <c r="E884" s="287"/>
      <c r="I884" s="499"/>
      <c r="K884" s="287"/>
    </row>
    <row r="885" spans="5:11">
      <c r="E885" s="287"/>
      <c r="I885" s="499"/>
      <c r="K885" s="287"/>
    </row>
    <row r="886" spans="5:11">
      <c r="E886" s="287"/>
      <c r="I886" s="499"/>
      <c r="K886" s="287"/>
    </row>
    <row r="887" spans="5:11">
      <c r="E887" s="287"/>
      <c r="I887" s="499"/>
      <c r="K887" s="287"/>
    </row>
    <row r="888" spans="5:11">
      <c r="E888" s="287"/>
      <c r="I888" s="499"/>
      <c r="K888" s="287"/>
    </row>
    <row r="889" spans="5:11">
      <c r="E889" s="287"/>
      <c r="I889" s="499"/>
      <c r="K889" s="287"/>
    </row>
    <row r="890" spans="5:11">
      <c r="E890" s="287"/>
      <c r="I890" s="499"/>
      <c r="K890" s="287"/>
    </row>
    <row r="891" spans="5:11">
      <c r="E891" s="287"/>
      <c r="I891" s="499"/>
      <c r="K891" s="287"/>
    </row>
    <row r="892" spans="5:11">
      <c r="E892" s="287"/>
      <c r="I892" s="499"/>
      <c r="K892" s="287"/>
    </row>
    <row r="893" spans="5:11">
      <c r="E893" s="287"/>
      <c r="I893" s="499"/>
      <c r="K893" s="287"/>
    </row>
    <row r="894" spans="5:11">
      <c r="E894" s="287"/>
      <c r="I894" s="499"/>
      <c r="K894" s="287"/>
    </row>
    <row r="895" spans="5:11">
      <c r="E895" s="287"/>
      <c r="I895" s="499"/>
      <c r="K895" s="287"/>
    </row>
    <row r="896" spans="5:11">
      <c r="E896" s="287"/>
      <c r="I896" s="499"/>
      <c r="K896" s="287"/>
    </row>
    <row r="897" spans="5:11">
      <c r="E897" s="287"/>
      <c r="I897" s="499"/>
      <c r="K897" s="287"/>
    </row>
    <row r="898" spans="5:11">
      <c r="E898" s="287"/>
      <c r="I898" s="499"/>
      <c r="K898" s="287"/>
    </row>
    <row r="899" spans="5:11">
      <c r="E899" s="287"/>
      <c r="I899" s="499"/>
      <c r="K899" s="287"/>
    </row>
    <row r="900" spans="5:11">
      <c r="E900" s="287"/>
      <c r="I900" s="499"/>
      <c r="K900" s="287"/>
    </row>
    <row r="901" spans="5:11">
      <c r="E901" s="287"/>
      <c r="I901" s="499"/>
      <c r="K901" s="287"/>
    </row>
    <row r="902" spans="5:11">
      <c r="E902" s="287"/>
      <c r="I902" s="499"/>
      <c r="K902" s="287"/>
    </row>
    <row r="903" spans="5:11">
      <c r="E903" s="287"/>
      <c r="I903" s="499"/>
      <c r="K903" s="287"/>
    </row>
    <row r="904" spans="5:11">
      <c r="E904" s="287"/>
      <c r="I904" s="499"/>
      <c r="K904" s="287"/>
    </row>
    <row r="905" spans="5:11">
      <c r="E905" s="287"/>
      <c r="I905" s="499"/>
      <c r="K905" s="287"/>
    </row>
    <row r="906" spans="5:11">
      <c r="E906" s="287"/>
      <c r="I906" s="499"/>
      <c r="K906" s="287"/>
    </row>
    <row r="907" spans="5:11">
      <c r="E907" s="287"/>
      <c r="I907" s="499"/>
      <c r="K907" s="287"/>
    </row>
    <row r="908" spans="5:11">
      <c r="E908" s="287"/>
      <c r="I908" s="499"/>
      <c r="K908" s="287"/>
    </row>
    <row r="909" spans="5:11">
      <c r="E909" s="287"/>
      <c r="I909" s="499"/>
      <c r="K909" s="287"/>
    </row>
    <row r="910" spans="5:11">
      <c r="E910" s="287"/>
      <c r="I910" s="499"/>
      <c r="K910" s="287"/>
    </row>
    <row r="911" spans="5:11">
      <c r="E911" s="287"/>
      <c r="I911" s="499"/>
      <c r="K911" s="287"/>
    </row>
    <row r="912" spans="5:11">
      <c r="E912" s="287"/>
      <c r="I912" s="499"/>
      <c r="K912" s="287"/>
    </row>
    <row r="913" spans="5:11">
      <c r="E913" s="287"/>
      <c r="I913" s="499"/>
      <c r="K913" s="287"/>
    </row>
    <row r="914" spans="5:11">
      <c r="E914" s="287"/>
      <c r="I914" s="499"/>
      <c r="K914" s="287"/>
    </row>
    <row r="915" spans="5:11">
      <c r="E915" s="287"/>
      <c r="I915" s="499"/>
      <c r="K915" s="287"/>
    </row>
    <row r="916" spans="5:11">
      <c r="E916" s="287"/>
      <c r="I916" s="499"/>
      <c r="K916" s="287"/>
    </row>
    <row r="917" spans="5:11">
      <c r="E917" s="287"/>
      <c r="I917" s="499"/>
      <c r="K917" s="287"/>
    </row>
    <row r="918" spans="5:11">
      <c r="E918" s="287"/>
      <c r="I918" s="499"/>
      <c r="K918" s="287"/>
    </row>
    <row r="919" spans="5:11">
      <c r="E919" s="287"/>
      <c r="I919" s="499"/>
      <c r="K919" s="287"/>
    </row>
    <row r="920" spans="5:11">
      <c r="E920" s="287"/>
      <c r="I920" s="499"/>
      <c r="K920" s="287"/>
    </row>
    <row r="921" spans="5:11">
      <c r="E921" s="287"/>
      <c r="I921" s="499"/>
      <c r="K921" s="287"/>
    </row>
    <row r="922" spans="5:11">
      <c r="E922" s="287"/>
      <c r="I922" s="499"/>
      <c r="K922" s="287"/>
    </row>
    <row r="923" spans="5:11">
      <c r="E923" s="287"/>
      <c r="I923" s="499"/>
      <c r="K923" s="287"/>
    </row>
    <row r="924" spans="5:11">
      <c r="E924" s="287"/>
      <c r="I924" s="499"/>
      <c r="K924" s="287"/>
    </row>
    <row r="925" spans="5:11">
      <c r="E925" s="287"/>
      <c r="I925" s="499"/>
      <c r="K925" s="287"/>
    </row>
    <row r="926" spans="5:11">
      <c r="E926" s="287"/>
      <c r="I926" s="499"/>
      <c r="K926" s="287"/>
    </row>
    <row r="927" spans="5:11">
      <c r="E927" s="287"/>
      <c r="I927" s="499"/>
      <c r="K927" s="287"/>
    </row>
    <row r="928" spans="5:11">
      <c r="E928" s="287"/>
      <c r="I928" s="499"/>
      <c r="K928" s="287"/>
    </row>
    <row r="929" spans="5:11">
      <c r="E929" s="287"/>
      <c r="I929" s="499"/>
      <c r="K929" s="287"/>
    </row>
    <row r="930" spans="5:11">
      <c r="E930" s="287"/>
      <c r="I930" s="499"/>
      <c r="K930" s="287"/>
    </row>
    <row r="931" spans="5:11">
      <c r="E931" s="287"/>
      <c r="I931" s="499"/>
      <c r="K931" s="287"/>
    </row>
    <row r="932" spans="5:11">
      <c r="E932" s="287"/>
      <c r="I932" s="499"/>
      <c r="K932" s="287"/>
    </row>
    <row r="933" spans="5:11">
      <c r="E933" s="287"/>
      <c r="I933" s="499"/>
      <c r="K933" s="287"/>
    </row>
    <row r="934" spans="5:11">
      <c r="E934" s="287"/>
      <c r="I934" s="499"/>
      <c r="K934" s="287"/>
    </row>
    <row r="935" spans="5:11">
      <c r="E935" s="287"/>
      <c r="I935" s="499"/>
      <c r="K935" s="287"/>
    </row>
    <row r="936" spans="5:11">
      <c r="E936" s="287"/>
      <c r="I936" s="499"/>
      <c r="K936" s="287"/>
    </row>
    <row r="937" spans="5:11">
      <c r="E937" s="287"/>
      <c r="I937" s="499"/>
      <c r="K937" s="287"/>
    </row>
    <row r="938" spans="5:11">
      <c r="E938" s="287"/>
      <c r="I938" s="499"/>
      <c r="K938" s="287"/>
    </row>
    <row r="939" spans="5:11">
      <c r="E939" s="287"/>
      <c r="I939" s="499"/>
      <c r="K939" s="287"/>
    </row>
    <row r="940" spans="5:11">
      <c r="E940" s="287"/>
      <c r="I940" s="499"/>
      <c r="K940" s="287"/>
    </row>
    <row r="941" spans="5:11">
      <c r="E941" s="287"/>
      <c r="I941" s="499"/>
      <c r="K941" s="287"/>
    </row>
    <row r="942" spans="5:11">
      <c r="E942" s="287"/>
      <c r="I942" s="499"/>
      <c r="K942" s="287"/>
    </row>
    <row r="943" spans="5:11">
      <c r="E943" s="287"/>
      <c r="I943" s="499"/>
      <c r="K943" s="287"/>
    </row>
    <row r="944" spans="5:11">
      <c r="E944" s="287"/>
      <c r="I944" s="499"/>
      <c r="K944" s="287"/>
    </row>
    <row r="945" spans="5:11">
      <c r="E945" s="287"/>
      <c r="I945" s="499"/>
      <c r="K945" s="287"/>
    </row>
    <row r="946" spans="5:11">
      <c r="E946" s="287"/>
      <c r="I946" s="499"/>
      <c r="K946" s="287"/>
    </row>
    <row r="947" spans="5:11">
      <c r="E947" s="287"/>
      <c r="I947" s="499"/>
      <c r="K947" s="287"/>
    </row>
    <row r="948" spans="5:11">
      <c r="E948" s="287"/>
      <c r="I948" s="499"/>
      <c r="K948" s="287"/>
    </row>
    <row r="949" spans="5:11">
      <c r="E949" s="287"/>
      <c r="I949" s="499"/>
      <c r="K949" s="287"/>
    </row>
    <row r="950" spans="5:11">
      <c r="E950" s="287"/>
      <c r="I950" s="499"/>
      <c r="K950" s="287"/>
    </row>
    <row r="951" spans="5:11">
      <c r="E951" s="287"/>
      <c r="I951" s="499"/>
      <c r="K951" s="287"/>
    </row>
    <row r="952" spans="5:11">
      <c r="E952" s="287"/>
      <c r="I952" s="499"/>
      <c r="K952" s="287"/>
    </row>
    <row r="953" spans="5:11">
      <c r="E953" s="287"/>
      <c r="I953" s="499"/>
      <c r="K953" s="287"/>
    </row>
    <row r="954" spans="5:11">
      <c r="E954" s="287"/>
      <c r="I954" s="499"/>
      <c r="K954" s="287"/>
    </row>
    <row r="955" spans="5:11">
      <c r="E955" s="287"/>
      <c r="I955" s="499"/>
      <c r="K955" s="287"/>
    </row>
    <row r="956" spans="5:11">
      <c r="E956" s="287"/>
      <c r="I956" s="499"/>
      <c r="K956" s="287"/>
    </row>
    <row r="957" spans="5:11">
      <c r="E957" s="287"/>
      <c r="I957" s="499"/>
      <c r="K957" s="287"/>
    </row>
    <row r="958" spans="5:11">
      <c r="E958" s="287"/>
      <c r="I958" s="499"/>
      <c r="K958" s="287"/>
    </row>
    <row r="959" spans="5:11">
      <c r="E959" s="287"/>
      <c r="I959" s="499"/>
      <c r="K959" s="287"/>
    </row>
    <row r="960" spans="5:11">
      <c r="E960" s="287"/>
      <c r="I960" s="499"/>
      <c r="K960" s="287"/>
    </row>
    <row r="961" spans="5:11">
      <c r="E961" s="287"/>
      <c r="I961" s="499"/>
      <c r="K961" s="287"/>
    </row>
    <row r="962" spans="5:11">
      <c r="E962" s="287"/>
      <c r="I962" s="499"/>
      <c r="K962" s="287"/>
    </row>
    <row r="963" spans="5:11">
      <c r="E963" s="287"/>
      <c r="I963" s="499"/>
      <c r="K963" s="287"/>
    </row>
    <row r="964" spans="5:11">
      <c r="E964" s="287"/>
      <c r="I964" s="499"/>
      <c r="K964" s="287"/>
    </row>
    <row r="965" spans="5:11">
      <c r="E965" s="287"/>
      <c r="I965" s="499"/>
      <c r="K965" s="287"/>
    </row>
    <row r="966" spans="5:11">
      <c r="E966" s="287"/>
      <c r="I966" s="499"/>
      <c r="K966" s="287"/>
    </row>
    <row r="967" spans="5:11">
      <c r="E967" s="287"/>
      <c r="I967" s="499"/>
      <c r="K967" s="287"/>
    </row>
    <row r="968" spans="5:11">
      <c r="E968" s="287"/>
      <c r="I968" s="499"/>
      <c r="K968" s="287"/>
    </row>
    <row r="969" spans="5:11">
      <c r="E969" s="287"/>
      <c r="I969" s="499"/>
      <c r="K969" s="287"/>
    </row>
    <row r="970" spans="5:11">
      <c r="E970" s="287"/>
      <c r="I970" s="499"/>
      <c r="K970" s="287"/>
    </row>
    <row r="971" spans="5:11">
      <c r="E971" s="287"/>
      <c r="I971" s="499"/>
      <c r="K971" s="287"/>
    </row>
    <row r="972" spans="5:11">
      <c r="E972" s="287"/>
      <c r="I972" s="499"/>
      <c r="K972" s="287"/>
    </row>
    <row r="973" spans="5:11">
      <c r="E973" s="287"/>
      <c r="I973" s="499"/>
      <c r="K973" s="287"/>
    </row>
    <row r="974" spans="5:11">
      <c r="E974" s="287"/>
      <c r="I974" s="499"/>
      <c r="K974" s="287"/>
    </row>
    <row r="975" spans="5:11">
      <c r="E975" s="287"/>
      <c r="I975" s="499"/>
      <c r="K975" s="287"/>
    </row>
    <row r="976" spans="5:11">
      <c r="E976" s="287"/>
      <c r="I976" s="499"/>
      <c r="K976" s="287"/>
    </row>
    <row r="977" spans="5:11">
      <c r="E977" s="287"/>
      <c r="I977" s="499"/>
      <c r="K977" s="287"/>
    </row>
    <row r="978" spans="5:11">
      <c r="E978" s="287"/>
      <c r="I978" s="499"/>
      <c r="K978" s="287"/>
    </row>
    <row r="979" spans="5:11">
      <c r="E979" s="287"/>
      <c r="I979" s="499"/>
      <c r="K979" s="287"/>
    </row>
    <row r="980" spans="5:11">
      <c r="E980" s="287"/>
      <c r="I980" s="499"/>
      <c r="K980" s="287"/>
    </row>
    <row r="981" spans="5:11">
      <c r="E981" s="287"/>
      <c r="I981" s="499"/>
      <c r="K981" s="287"/>
    </row>
    <row r="982" spans="5:11">
      <c r="E982" s="287"/>
      <c r="I982" s="499"/>
      <c r="K982" s="287"/>
    </row>
    <row r="983" spans="5:11">
      <c r="E983" s="287"/>
      <c r="I983" s="499"/>
      <c r="K983" s="287"/>
    </row>
    <row r="984" spans="5:11">
      <c r="E984" s="287"/>
      <c r="I984" s="499"/>
      <c r="K984" s="287"/>
    </row>
    <row r="985" spans="5:11">
      <c r="E985" s="287"/>
      <c r="I985" s="499"/>
      <c r="K985" s="287"/>
    </row>
    <row r="986" spans="5:11">
      <c r="E986" s="287"/>
      <c r="I986" s="499"/>
      <c r="K986" s="287"/>
    </row>
    <row r="987" spans="5:11">
      <c r="E987" s="287"/>
      <c r="I987" s="499"/>
      <c r="K987" s="287"/>
    </row>
    <row r="988" spans="5:11">
      <c r="E988" s="287"/>
      <c r="I988" s="499"/>
      <c r="K988" s="287"/>
    </row>
    <row r="989" spans="5:11">
      <c r="E989" s="287"/>
      <c r="I989" s="499"/>
      <c r="K989" s="287"/>
    </row>
    <row r="990" spans="5:11">
      <c r="E990" s="287"/>
      <c r="I990" s="499"/>
      <c r="K990" s="287"/>
    </row>
    <row r="991" spans="5:11">
      <c r="E991" s="287"/>
      <c r="I991" s="499"/>
      <c r="K991" s="287"/>
    </row>
    <row r="992" spans="5:11">
      <c r="E992" s="287"/>
      <c r="I992" s="499"/>
      <c r="K992" s="287"/>
    </row>
    <row r="993" spans="5:11">
      <c r="E993" s="287"/>
      <c r="I993" s="499"/>
      <c r="K993" s="287"/>
    </row>
    <row r="994" spans="5:11">
      <c r="E994" s="287"/>
      <c r="I994" s="499"/>
      <c r="K994" s="287"/>
    </row>
    <row r="995" spans="5:11">
      <c r="E995" s="287"/>
      <c r="I995" s="499"/>
      <c r="K995" s="287"/>
    </row>
    <row r="996" spans="5:11">
      <c r="E996" s="287"/>
      <c r="I996" s="499"/>
      <c r="K996" s="287"/>
    </row>
    <row r="997" spans="5:11">
      <c r="E997" s="287"/>
      <c r="I997" s="499"/>
      <c r="K997" s="287"/>
    </row>
    <row r="998" spans="5:11">
      <c r="E998" s="287"/>
      <c r="I998" s="499"/>
      <c r="K998" s="287"/>
    </row>
    <row r="999" spans="5:11">
      <c r="E999" s="287"/>
      <c r="I999" s="499"/>
      <c r="K999" s="287"/>
    </row>
    <row r="1000" spans="5:11">
      <c r="E1000" s="287"/>
      <c r="I1000" s="499"/>
      <c r="K1000" s="287"/>
    </row>
  </sheetData>
  <mergeCells count="2">
    <mergeCell ref="L61:M61"/>
    <mergeCell ref="L140:L141"/>
  </mergeCells>
  <printOptions horizontalCentered="1" gridLines="1"/>
  <pageMargins left="0.25" right="0.25" top="0.75" bottom="0.75" header="0" footer="0"/>
  <pageSetup paperSize="9" pageOrder="overThenDown" orientation="landscape" cellComments="atEnd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  <pageSetUpPr fitToPage="1"/>
  </sheetPr>
  <dimension ref="A1:AA1000"/>
  <sheetViews>
    <sheetView workbookViewId="0"/>
  </sheetViews>
  <sheetFormatPr defaultColWidth="12.5703125" defaultRowHeight="15.75" customHeight="1"/>
  <cols>
    <col min="2" max="2" width="45" customWidth="1"/>
    <col min="3" max="3" width="11.5703125" customWidth="1"/>
    <col min="4" max="4" width="20" customWidth="1"/>
    <col min="11" max="11" width="18.5703125" customWidth="1"/>
    <col min="12" max="12" width="20.42578125" customWidth="1"/>
    <col min="13" max="13" width="21.28515625" customWidth="1"/>
    <col min="14" max="14" width="27.28515625" customWidth="1"/>
  </cols>
  <sheetData>
    <row r="1" spans="1:27">
      <c r="A1" s="1">
        <v>3</v>
      </c>
      <c r="C1" s="499"/>
      <c r="E1" s="287"/>
      <c r="I1" s="499"/>
      <c r="K1" s="287"/>
    </row>
    <row r="2" spans="1:27">
      <c r="C2" s="499"/>
      <c r="E2" s="287"/>
      <c r="I2" s="499"/>
      <c r="K2" s="287"/>
    </row>
    <row r="3" spans="1:27">
      <c r="A3" s="523" t="s">
        <v>5</v>
      </c>
      <c r="B3" s="524" t="s">
        <v>7</v>
      </c>
      <c r="C3" s="525" t="s">
        <v>159</v>
      </c>
      <c r="D3" s="526" t="s">
        <v>10</v>
      </c>
      <c r="E3" s="527" t="s">
        <v>243</v>
      </c>
      <c r="F3" s="528" t="s">
        <v>244</v>
      </c>
      <c r="G3" s="528" t="s">
        <v>245</v>
      </c>
      <c r="H3" s="529" t="s">
        <v>246</v>
      </c>
      <c r="I3" s="525" t="s">
        <v>532</v>
      </c>
      <c r="J3" s="530" t="s">
        <v>13</v>
      </c>
      <c r="K3" s="531" t="s">
        <v>162</v>
      </c>
      <c r="L3" s="14"/>
    </row>
    <row r="4" spans="1:27">
      <c r="A4" s="219"/>
      <c r="B4" s="4"/>
      <c r="C4" s="59"/>
      <c r="D4" s="45"/>
      <c r="E4" s="532"/>
      <c r="F4" s="220"/>
      <c r="G4" s="533"/>
      <c r="H4" s="533"/>
      <c r="I4" s="223"/>
      <c r="J4" s="223"/>
      <c r="K4" s="534"/>
      <c r="L4" s="33"/>
    </row>
    <row r="5" spans="1:27">
      <c r="A5" s="269">
        <v>1</v>
      </c>
      <c r="B5" s="650" t="s">
        <v>29</v>
      </c>
      <c r="C5" s="619">
        <v>7</v>
      </c>
      <c r="D5" s="621" t="s">
        <v>580</v>
      </c>
      <c r="E5" s="622" t="s">
        <v>534</v>
      </c>
      <c r="F5" s="619">
        <v>28</v>
      </c>
      <c r="G5" s="623"/>
      <c r="H5" s="623">
        <v>32000</v>
      </c>
      <c r="I5" s="619">
        <v>32000</v>
      </c>
      <c r="J5" s="619"/>
      <c r="K5" s="622" t="s">
        <v>535</v>
      </c>
      <c r="L5" s="14"/>
    </row>
    <row r="6" spans="1:27">
      <c r="A6" s="269">
        <v>2</v>
      </c>
      <c r="B6" s="625" t="s">
        <v>20</v>
      </c>
      <c r="C6" s="619"/>
      <c r="D6" s="627"/>
      <c r="E6" s="622"/>
      <c r="F6" s="619"/>
      <c r="G6" s="623"/>
      <c r="H6" s="623"/>
      <c r="I6" s="619"/>
      <c r="J6" s="619"/>
      <c r="K6" s="622" t="s">
        <v>118</v>
      </c>
      <c r="L6" s="324"/>
    </row>
    <row r="7" spans="1:27">
      <c r="A7" s="269">
        <v>3</v>
      </c>
      <c r="B7" s="617" t="s">
        <v>340</v>
      </c>
      <c r="C7" s="621">
        <v>5</v>
      </c>
      <c r="D7" s="621" t="s">
        <v>585</v>
      </c>
      <c r="E7" s="629" t="s">
        <v>534</v>
      </c>
      <c r="F7" s="621">
        <v>30</v>
      </c>
      <c r="G7" s="623">
        <v>210000</v>
      </c>
      <c r="H7" s="623">
        <v>17500</v>
      </c>
      <c r="I7" s="621">
        <v>17500</v>
      </c>
      <c r="J7" s="621"/>
      <c r="K7" s="629" t="s">
        <v>535</v>
      </c>
      <c r="L7" s="539"/>
      <c r="M7" s="509"/>
      <c r="N7" s="509"/>
      <c r="O7" s="509"/>
      <c r="P7" s="509"/>
      <c r="Q7" s="509"/>
      <c r="R7" s="509"/>
      <c r="S7" s="509"/>
      <c r="T7" s="509"/>
      <c r="U7" s="509"/>
      <c r="V7" s="509"/>
      <c r="W7" s="509"/>
      <c r="X7" s="509"/>
      <c r="Y7" s="509"/>
      <c r="Z7" s="509"/>
      <c r="AA7" s="509"/>
    </row>
    <row r="8" spans="1:27">
      <c r="A8" s="269">
        <v>4</v>
      </c>
      <c r="B8" s="625" t="s">
        <v>536</v>
      </c>
      <c r="C8" s="619">
        <v>5</v>
      </c>
      <c r="D8" s="619" t="s">
        <v>18</v>
      </c>
      <c r="E8" s="622"/>
      <c r="F8" s="619"/>
      <c r="G8" s="623"/>
      <c r="H8" s="623"/>
      <c r="I8" s="619"/>
      <c r="J8" s="619"/>
      <c r="K8" s="622" t="s">
        <v>118</v>
      </c>
      <c r="L8" s="324"/>
    </row>
    <row r="9" spans="1:27">
      <c r="A9" s="269">
        <v>5</v>
      </c>
      <c r="B9" s="625" t="s">
        <v>538</v>
      </c>
      <c r="C9" s="619">
        <v>5</v>
      </c>
      <c r="D9" s="619" t="s">
        <v>586</v>
      </c>
      <c r="E9" s="622">
        <v>60</v>
      </c>
      <c r="F9" s="619">
        <v>27</v>
      </c>
      <c r="G9" s="623">
        <v>59200</v>
      </c>
      <c r="H9" s="623">
        <v>29600</v>
      </c>
      <c r="I9" s="619">
        <v>29600</v>
      </c>
      <c r="J9" s="619"/>
      <c r="K9" s="622"/>
      <c r="L9" s="324"/>
    </row>
    <row r="10" spans="1:27">
      <c r="A10" s="269">
        <v>6</v>
      </c>
      <c r="B10" s="667" t="s">
        <v>572</v>
      </c>
      <c r="C10" s="619">
        <v>5</v>
      </c>
      <c r="D10" s="621" t="s">
        <v>587</v>
      </c>
      <c r="E10" s="622">
        <v>40</v>
      </c>
      <c r="F10" s="619"/>
      <c r="G10" s="623"/>
      <c r="H10" s="623"/>
      <c r="I10" s="619"/>
      <c r="J10" s="619"/>
      <c r="K10" s="622" t="s">
        <v>118</v>
      </c>
      <c r="L10" s="14"/>
    </row>
    <row r="11" spans="1:27">
      <c r="A11" s="269">
        <v>7</v>
      </c>
      <c r="B11" s="617"/>
      <c r="C11" s="621"/>
      <c r="D11" s="619"/>
      <c r="E11" s="629"/>
      <c r="F11" s="621"/>
      <c r="G11" s="623"/>
      <c r="H11" s="623"/>
      <c r="I11" s="621"/>
      <c r="J11" s="621"/>
      <c r="K11" s="629" t="s">
        <v>331</v>
      </c>
      <c r="L11" s="451"/>
      <c r="M11" s="509"/>
      <c r="N11" s="509"/>
      <c r="O11" s="509"/>
      <c r="P11" s="509"/>
      <c r="Q11" s="509"/>
      <c r="R11" s="509"/>
      <c r="S11" s="509"/>
      <c r="T11" s="509"/>
      <c r="U11" s="509"/>
      <c r="V11" s="509"/>
      <c r="W11" s="509"/>
      <c r="X11" s="509"/>
      <c r="Y11" s="509"/>
      <c r="Z11" s="509"/>
      <c r="AA11" s="509"/>
    </row>
    <row r="12" spans="1:27">
      <c r="A12" s="269">
        <v>8</v>
      </c>
      <c r="B12" s="625" t="s">
        <v>574</v>
      </c>
      <c r="C12" s="619">
        <v>5</v>
      </c>
      <c r="D12" s="621" t="s">
        <v>588</v>
      </c>
      <c r="E12" s="622">
        <v>180</v>
      </c>
      <c r="F12" s="619">
        <v>18</v>
      </c>
      <c r="G12" s="623" t="s">
        <v>576</v>
      </c>
      <c r="H12" s="623">
        <v>25900</v>
      </c>
      <c r="I12" s="619">
        <v>25900</v>
      </c>
      <c r="J12" s="619"/>
      <c r="K12" s="622" t="s">
        <v>331</v>
      </c>
      <c r="L12" s="33" t="s">
        <v>520</v>
      </c>
      <c r="M12" s="1" t="s">
        <v>199</v>
      </c>
    </row>
    <row r="13" spans="1:27">
      <c r="A13" s="269">
        <v>9</v>
      </c>
      <c r="B13" s="650" t="s">
        <v>410</v>
      </c>
      <c r="C13" s="619">
        <v>5</v>
      </c>
      <c r="D13" s="619" t="s">
        <v>589</v>
      </c>
      <c r="E13" s="622">
        <v>90</v>
      </c>
      <c r="F13" s="619">
        <v>31</v>
      </c>
      <c r="G13" s="623">
        <v>88800</v>
      </c>
      <c r="H13" s="623">
        <v>29600</v>
      </c>
      <c r="I13" s="619">
        <v>29600</v>
      </c>
      <c r="J13" s="619"/>
      <c r="K13" s="622"/>
      <c r="L13" s="474"/>
    </row>
    <row r="14" spans="1:27">
      <c r="A14" s="269">
        <v>10</v>
      </c>
      <c r="B14" s="650" t="s">
        <v>577</v>
      </c>
      <c r="C14" s="619">
        <v>5</v>
      </c>
      <c r="D14" s="619" t="s">
        <v>591</v>
      </c>
      <c r="E14" s="622">
        <v>180</v>
      </c>
      <c r="F14" s="619"/>
      <c r="G14" s="623">
        <v>150000</v>
      </c>
      <c r="H14" s="623">
        <v>25000</v>
      </c>
      <c r="I14" s="619">
        <v>25000</v>
      </c>
      <c r="J14" s="619"/>
      <c r="K14" s="622" t="s">
        <v>579</v>
      </c>
      <c r="L14" s="303"/>
    </row>
    <row r="15" spans="1:27">
      <c r="A15" s="269">
        <v>11</v>
      </c>
      <c r="B15" s="650" t="s">
        <v>332</v>
      </c>
      <c r="C15" s="619">
        <v>5</v>
      </c>
      <c r="D15" s="619" t="s">
        <v>580</v>
      </c>
      <c r="E15" s="622">
        <v>30</v>
      </c>
      <c r="F15" s="619">
        <v>28</v>
      </c>
      <c r="G15" s="623">
        <v>20000</v>
      </c>
      <c r="H15" s="623">
        <v>20000</v>
      </c>
      <c r="I15" s="619">
        <v>20000</v>
      </c>
      <c r="J15" s="619"/>
      <c r="K15" s="622" t="s">
        <v>331</v>
      </c>
      <c r="L15" s="33"/>
    </row>
    <row r="16" spans="1:27">
      <c r="A16" s="269">
        <v>12</v>
      </c>
      <c r="B16" s="625" t="s">
        <v>23</v>
      </c>
      <c r="C16" s="619">
        <v>5</v>
      </c>
      <c r="D16" s="619" t="s">
        <v>580</v>
      </c>
      <c r="E16" s="622" t="s">
        <v>534</v>
      </c>
      <c r="F16" s="619">
        <v>31</v>
      </c>
      <c r="G16" s="623">
        <v>33000</v>
      </c>
      <c r="H16" s="623">
        <v>33000</v>
      </c>
      <c r="I16" s="619">
        <v>33000</v>
      </c>
      <c r="J16" s="619"/>
      <c r="K16" s="622"/>
      <c r="L16" s="341" t="s">
        <v>581</v>
      </c>
    </row>
    <row r="17" spans="1:16">
      <c r="A17" s="269">
        <v>13</v>
      </c>
      <c r="B17" s="4" t="s">
        <v>582</v>
      </c>
      <c r="C17" s="59">
        <v>5</v>
      </c>
      <c r="D17" s="59" t="s">
        <v>583</v>
      </c>
      <c r="E17" s="622">
        <v>180</v>
      </c>
      <c r="F17" s="59">
        <v>6</v>
      </c>
      <c r="G17" s="59">
        <v>37000</v>
      </c>
      <c r="H17" s="59">
        <v>37000</v>
      </c>
      <c r="I17" s="59">
        <v>37000</v>
      </c>
      <c r="J17" s="59"/>
      <c r="K17" s="537" t="s">
        <v>535</v>
      </c>
      <c r="L17" s="14"/>
    </row>
    <row r="18" spans="1:16">
      <c r="A18" s="269">
        <v>14</v>
      </c>
      <c r="B18" s="481" t="s">
        <v>418</v>
      </c>
      <c r="C18" s="454">
        <v>5</v>
      </c>
      <c r="D18" s="477" t="s">
        <v>592</v>
      </c>
      <c r="E18" s="543">
        <v>30</v>
      </c>
      <c r="F18" s="478">
        <v>4</v>
      </c>
      <c r="G18" s="478">
        <v>37000</v>
      </c>
      <c r="H18" s="478"/>
      <c r="I18" s="498"/>
      <c r="J18" s="498"/>
      <c r="K18" s="503" t="s">
        <v>275</v>
      </c>
      <c r="L18" s="501" t="s">
        <v>594</v>
      </c>
      <c r="N18" s="544"/>
      <c r="O18" s="544"/>
    </row>
    <row r="19" spans="1:16">
      <c r="A19" s="269">
        <v>15</v>
      </c>
      <c r="B19" s="4" t="s">
        <v>448</v>
      </c>
      <c r="C19" s="59">
        <v>10</v>
      </c>
      <c r="D19" s="45" t="s">
        <v>595</v>
      </c>
      <c r="E19" s="545"/>
      <c r="F19" s="223"/>
      <c r="G19" s="223"/>
      <c r="H19" s="221"/>
      <c r="I19" s="220"/>
      <c r="J19" s="220"/>
      <c r="K19" s="230" t="s">
        <v>118</v>
      </c>
      <c r="L19" s="14"/>
      <c r="N19" s="546">
        <v>360</v>
      </c>
      <c r="O19" s="544"/>
    </row>
    <row r="20" spans="1:16">
      <c r="A20" s="269"/>
      <c r="B20" s="253"/>
      <c r="C20" s="59"/>
      <c r="D20" s="45"/>
      <c r="E20" s="545"/>
      <c r="F20" s="223"/>
      <c r="G20" s="223"/>
      <c r="H20" s="223"/>
      <c r="I20" s="233"/>
      <c r="J20" s="233"/>
      <c r="K20" s="230"/>
      <c r="L20" s="14"/>
      <c r="N20" s="546">
        <v>216</v>
      </c>
      <c r="O20" s="544"/>
    </row>
    <row r="21" spans="1:16">
      <c r="A21" s="269"/>
      <c r="B21" s="453"/>
      <c r="C21" s="454"/>
      <c r="D21" s="455"/>
      <c r="E21" s="543"/>
      <c r="F21" s="458"/>
      <c r="G21" s="458"/>
      <c r="H21" s="458"/>
      <c r="I21" s="548"/>
      <c r="J21" s="548"/>
      <c r="K21" s="503"/>
      <c r="L21" s="451"/>
      <c r="N21" s="544"/>
      <c r="O21" s="544"/>
    </row>
    <row r="22" spans="1:16">
      <c r="A22" s="269"/>
      <c r="B22" s="253"/>
      <c r="C22" s="59"/>
      <c r="D22" s="251"/>
      <c r="E22" s="550"/>
      <c r="F22" s="401"/>
      <c r="G22" s="402"/>
      <c r="H22" s="222"/>
      <c r="I22" s="551"/>
      <c r="J22" s="395"/>
      <c r="K22" s="309"/>
      <c r="L22" s="682" t="s">
        <v>590</v>
      </c>
      <c r="N22" s="546" t="s">
        <v>551</v>
      </c>
      <c r="O22" s="544"/>
    </row>
    <row r="23" spans="1:16">
      <c r="A23" s="114"/>
      <c r="B23" s="236" t="s">
        <v>177</v>
      </c>
      <c r="C23" s="6">
        <f>SUM(C3:C22)</f>
        <v>72</v>
      </c>
      <c r="D23" s="109"/>
      <c r="E23" s="552"/>
      <c r="F23" s="237"/>
      <c r="G23" s="237">
        <f t="shared" ref="G23:H23" si="0">SUM(G4:G22)</f>
        <v>635000</v>
      </c>
      <c r="H23" s="553">
        <f t="shared" si="0"/>
        <v>249600</v>
      </c>
      <c r="I23" s="554">
        <f>SUM(I5:I22)</f>
        <v>249600</v>
      </c>
      <c r="J23" s="555">
        <f>SUM(J4:J22)</f>
        <v>0</v>
      </c>
      <c r="K23" s="556">
        <f>H23+J23</f>
        <v>249600</v>
      </c>
      <c r="L23" s="696">
        <f>K23/G23*100</f>
        <v>39.307086614173222</v>
      </c>
      <c r="N23" s="546" t="s">
        <v>553</v>
      </c>
      <c r="O23" s="544"/>
    </row>
    <row r="24" spans="1:16">
      <c r="A24" s="265"/>
      <c r="B24" s="206"/>
      <c r="C24" s="697"/>
      <c r="D24" s="185"/>
      <c r="E24" s="557"/>
      <c r="F24" s="558"/>
      <c r="G24" s="558"/>
      <c r="H24" s="265"/>
      <c r="I24" s="265"/>
      <c r="J24" s="265"/>
      <c r="K24" s="559"/>
      <c r="L24" s="14"/>
      <c r="N24" s="546" t="s">
        <v>554</v>
      </c>
      <c r="O24" s="544"/>
    </row>
    <row r="25" spans="1:16">
      <c r="A25" s="560"/>
      <c r="B25" s="561"/>
      <c r="C25" s="562"/>
      <c r="D25" s="561"/>
      <c r="E25" s="563"/>
      <c r="F25" s="561"/>
      <c r="G25" s="565"/>
      <c r="H25" s="565"/>
      <c r="I25" s="566"/>
      <c r="J25" s="566"/>
      <c r="K25" s="567"/>
      <c r="L25" s="33"/>
      <c r="N25" s="546" t="s">
        <v>555</v>
      </c>
      <c r="O25" s="544"/>
    </row>
    <row r="26" spans="1:16">
      <c r="A26" s="568"/>
      <c r="B26" s="569"/>
      <c r="C26" s="338"/>
      <c r="D26" s="570"/>
      <c r="E26" s="571"/>
      <c r="F26" s="572"/>
      <c r="G26" s="572"/>
      <c r="H26" s="573"/>
      <c r="I26" s="574"/>
      <c r="J26" s="574"/>
      <c r="K26" s="575"/>
      <c r="L26" s="33"/>
      <c r="N26" s="546" t="s">
        <v>556</v>
      </c>
      <c r="O26" s="544"/>
    </row>
    <row r="27" spans="1:16">
      <c r="A27" s="568"/>
      <c r="B27" s="576"/>
      <c r="C27" s="340"/>
      <c r="D27" s="577"/>
      <c r="E27" s="578"/>
      <c r="F27" s="319"/>
      <c r="G27" s="319"/>
      <c r="H27" s="320"/>
      <c r="I27" s="320"/>
      <c r="J27" s="320"/>
      <c r="K27" s="579"/>
      <c r="L27" s="33"/>
      <c r="N27" s="546" t="s">
        <v>557</v>
      </c>
      <c r="O27" s="544"/>
    </row>
    <row r="28" spans="1:16">
      <c r="A28" s="580"/>
      <c r="B28" s="581"/>
      <c r="C28" s="260"/>
      <c r="D28" s="260"/>
      <c r="E28" s="578"/>
      <c r="F28" s="582"/>
      <c r="G28" s="572"/>
      <c r="H28" s="270"/>
      <c r="I28" s="583"/>
      <c r="J28" s="584"/>
      <c r="K28" s="585"/>
      <c r="L28" s="303"/>
      <c r="N28" s="546" t="s">
        <v>558</v>
      </c>
      <c r="O28" s="544"/>
    </row>
    <row r="29" spans="1:16">
      <c r="A29" s="568"/>
      <c r="B29" s="586"/>
      <c r="C29" s="340"/>
      <c r="D29" s="577"/>
      <c r="E29" s="587"/>
      <c r="F29" s="582"/>
      <c r="G29" s="582"/>
      <c r="H29" s="237"/>
      <c r="I29" s="582"/>
      <c r="J29" s="582"/>
      <c r="K29" s="588"/>
      <c r="L29" s="33"/>
      <c r="N29" s="546" t="s">
        <v>559</v>
      </c>
      <c r="O29" s="544"/>
    </row>
    <row r="30" spans="1:16">
      <c r="A30" s="589"/>
      <c r="B30" s="590"/>
      <c r="C30" s="591"/>
      <c r="D30" s="590"/>
      <c r="E30" s="592"/>
      <c r="F30" s="590"/>
      <c r="G30" s="590"/>
      <c r="H30" s="590"/>
      <c r="I30" s="591"/>
      <c r="J30" s="590"/>
      <c r="K30" s="593"/>
      <c r="N30" s="544"/>
      <c r="O30" s="544"/>
    </row>
    <row r="31" spans="1:16">
      <c r="A31" s="2"/>
      <c r="B31" s="4"/>
      <c r="C31" s="6"/>
      <c r="D31" s="8"/>
      <c r="E31" s="532"/>
      <c r="F31" s="220"/>
      <c r="G31" s="220"/>
      <c r="H31" s="6"/>
      <c r="I31" s="6"/>
      <c r="J31" s="6"/>
      <c r="K31" s="594"/>
      <c r="L31" s="14"/>
      <c r="N31" s="546" t="s">
        <v>560</v>
      </c>
      <c r="O31" s="546">
        <v>1482000</v>
      </c>
    </row>
    <row r="32" spans="1:16">
      <c r="A32" s="595" t="s">
        <v>5</v>
      </c>
      <c r="B32" s="596" t="s">
        <v>74</v>
      </c>
      <c r="C32" s="597" t="s">
        <v>159</v>
      </c>
      <c r="D32" s="598" t="s">
        <v>10</v>
      </c>
      <c r="E32" s="599" t="s">
        <v>243</v>
      </c>
      <c r="F32" s="600" t="s">
        <v>244</v>
      </c>
      <c r="G32" s="600" t="s">
        <v>245</v>
      </c>
      <c r="H32" s="601" t="s">
        <v>246</v>
      </c>
      <c r="I32" s="597" t="s">
        <v>532</v>
      </c>
      <c r="J32" s="602" t="s">
        <v>13</v>
      </c>
      <c r="K32" s="603" t="s">
        <v>162</v>
      </c>
      <c r="L32" s="14"/>
      <c r="N32" s="604">
        <v>0.8</v>
      </c>
      <c r="O32" s="546">
        <v>1185000</v>
      </c>
      <c r="P32" s="286">
        <f>O32-I152</f>
        <v>301919.45999999996</v>
      </c>
    </row>
    <row r="33" spans="1:16">
      <c r="A33" s="269">
        <v>1</v>
      </c>
      <c r="B33" s="443" t="s">
        <v>135</v>
      </c>
      <c r="C33" s="144">
        <v>5</v>
      </c>
      <c r="D33" s="715" t="s">
        <v>580</v>
      </c>
      <c r="E33" s="606"/>
      <c r="F33" s="144">
        <v>28</v>
      </c>
      <c r="G33" s="608"/>
      <c r="H33" s="608">
        <v>32000</v>
      </c>
      <c r="I33" s="608">
        <v>32000</v>
      </c>
      <c r="J33" s="609"/>
      <c r="K33" s="503"/>
      <c r="L33" s="491"/>
      <c r="N33" s="604">
        <v>0.9</v>
      </c>
      <c r="O33" s="546">
        <v>1333800</v>
      </c>
      <c r="P33" s="286">
        <f>O33-I152</f>
        <v>450719.45999999996</v>
      </c>
    </row>
    <row r="34" spans="1:16">
      <c r="A34" s="269">
        <v>2</v>
      </c>
      <c r="B34" s="443" t="s">
        <v>20</v>
      </c>
      <c r="C34" s="144">
        <v>5</v>
      </c>
      <c r="D34" s="234"/>
      <c r="E34" s="610"/>
      <c r="F34" s="611"/>
      <c r="G34" s="612"/>
      <c r="H34" s="612"/>
      <c r="I34" s="613"/>
      <c r="J34" s="612"/>
      <c r="K34" s="503" t="s">
        <v>118</v>
      </c>
      <c r="L34" s="14"/>
    </row>
    <row r="35" spans="1:16">
      <c r="A35" s="269">
        <v>3</v>
      </c>
      <c r="B35" s="443" t="s">
        <v>615</v>
      </c>
      <c r="C35" s="144">
        <v>5</v>
      </c>
      <c r="D35" s="203" t="s">
        <v>616</v>
      </c>
      <c r="E35" s="230"/>
      <c r="F35" s="144"/>
      <c r="G35" s="608"/>
      <c r="H35" s="608">
        <v>30830.54</v>
      </c>
      <c r="I35" s="609"/>
      <c r="J35" s="609"/>
      <c r="K35" s="503"/>
      <c r="L35" s="14"/>
    </row>
    <row r="36" spans="1:16">
      <c r="A36" s="269">
        <v>4</v>
      </c>
      <c r="B36" s="443" t="s">
        <v>23</v>
      </c>
      <c r="C36" s="144">
        <v>5</v>
      </c>
      <c r="D36" s="715" t="s">
        <v>580</v>
      </c>
      <c r="E36" s="230" t="s">
        <v>534</v>
      </c>
      <c r="F36" s="144">
        <v>22</v>
      </c>
      <c r="G36" s="538" t="s">
        <v>612</v>
      </c>
      <c r="H36" s="538" t="s">
        <v>613</v>
      </c>
      <c r="I36" s="608">
        <v>33000</v>
      </c>
      <c r="J36" s="609"/>
      <c r="K36" s="503" t="s">
        <v>535</v>
      </c>
      <c r="L36" s="33" t="s">
        <v>581</v>
      </c>
    </row>
    <row r="37" spans="1:16">
      <c r="A37" s="269">
        <v>5</v>
      </c>
      <c r="B37" s="724" t="s">
        <v>617</v>
      </c>
      <c r="C37" s="473">
        <v>5</v>
      </c>
      <c r="D37" s="725" t="s">
        <v>618</v>
      </c>
      <c r="E37" s="230"/>
      <c r="F37" s="144"/>
      <c r="G37" s="608"/>
      <c r="H37" s="608"/>
      <c r="I37" s="609"/>
      <c r="J37" s="609"/>
      <c r="K37" s="503" t="s">
        <v>619</v>
      </c>
      <c r="L37" s="33" t="s">
        <v>620</v>
      </c>
    </row>
    <row r="38" spans="1:16">
      <c r="A38" s="269">
        <v>6</v>
      </c>
      <c r="B38" s="443" t="s">
        <v>568</v>
      </c>
      <c r="C38" s="144">
        <v>5</v>
      </c>
      <c r="D38" s="203" t="s">
        <v>589</v>
      </c>
      <c r="E38" s="230">
        <v>180</v>
      </c>
      <c r="F38" s="144">
        <v>9</v>
      </c>
      <c r="G38" s="608">
        <v>147000</v>
      </c>
      <c r="H38" s="608">
        <v>24500</v>
      </c>
      <c r="I38" s="608">
        <v>24500</v>
      </c>
      <c r="J38" s="609"/>
      <c r="K38" s="503" t="s">
        <v>571</v>
      </c>
      <c r="L38" s="324"/>
    </row>
    <row r="39" spans="1:16">
      <c r="A39" s="269">
        <v>7</v>
      </c>
      <c r="B39" s="443" t="s">
        <v>536</v>
      </c>
      <c r="C39" s="144">
        <v>5</v>
      </c>
      <c r="D39" s="203"/>
      <c r="E39" s="606"/>
      <c r="F39" s="607"/>
      <c r="G39" s="609"/>
      <c r="H39" s="609"/>
      <c r="I39" s="609"/>
      <c r="J39" s="609"/>
      <c r="K39" s="503" t="s">
        <v>118</v>
      </c>
      <c r="L39" s="491"/>
    </row>
    <row r="40" spans="1:16">
      <c r="A40" s="269">
        <v>8</v>
      </c>
      <c r="B40" s="443" t="s">
        <v>366</v>
      </c>
      <c r="C40" s="144">
        <v>5</v>
      </c>
      <c r="D40" s="203" t="s">
        <v>623</v>
      </c>
      <c r="E40" s="230">
        <v>31</v>
      </c>
      <c r="F40" s="144">
        <v>31</v>
      </c>
      <c r="G40" s="609">
        <v>17500</v>
      </c>
      <c r="H40" s="608">
        <v>17500</v>
      </c>
      <c r="I40" s="608">
        <v>17500</v>
      </c>
      <c r="J40" s="609"/>
      <c r="K40" s="503" t="s">
        <v>331</v>
      </c>
      <c r="L40" s="491"/>
    </row>
    <row r="41" spans="1:16">
      <c r="A41" s="269">
        <v>9</v>
      </c>
      <c r="B41" s="443" t="s">
        <v>572</v>
      </c>
      <c r="C41" s="144">
        <v>5</v>
      </c>
      <c r="D41" s="203" t="s">
        <v>573</v>
      </c>
      <c r="E41" s="230">
        <v>40</v>
      </c>
      <c r="F41" s="607"/>
      <c r="G41" s="609"/>
      <c r="H41" s="608"/>
      <c r="I41" s="609"/>
      <c r="J41" s="609"/>
      <c r="K41" s="503" t="s">
        <v>118</v>
      </c>
      <c r="L41" s="14"/>
    </row>
    <row r="42" spans="1:16">
      <c r="A42" s="269">
        <v>10</v>
      </c>
      <c r="B42" s="615" t="s">
        <v>332</v>
      </c>
      <c r="C42" s="144">
        <v>5</v>
      </c>
      <c r="D42" s="203" t="s">
        <v>580</v>
      </c>
      <c r="E42" s="230">
        <v>90</v>
      </c>
      <c r="F42" s="144">
        <v>28</v>
      </c>
      <c r="G42" s="609">
        <v>20000</v>
      </c>
      <c r="H42" s="608">
        <v>20000</v>
      </c>
      <c r="I42" s="608">
        <v>20000</v>
      </c>
      <c r="J42" s="609"/>
      <c r="K42" s="503" t="s">
        <v>331</v>
      </c>
      <c r="L42" s="324"/>
    </row>
    <row r="43" spans="1:16">
      <c r="A43" s="269">
        <v>11</v>
      </c>
      <c r="B43" s="481" t="s">
        <v>418</v>
      </c>
      <c r="C43" s="454">
        <v>5</v>
      </c>
      <c r="D43" s="477" t="s">
        <v>584</v>
      </c>
      <c r="E43" s="543">
        <v>30</v>
      </c>
      <c r="F43" s="478">
        <v>4</v>
      </c>
      <c r="G43" s="478">
        <v>35000</v>
      </c>
      <c r="H43" s="478">
        <v>35000</v>
      </c>
      <c r="I43" s="498"/>
      <c r="J43" s="498"/>
      <c r="K43" s="503" t="s">
        <v>275</v>
      </c>
      <c r="L43" s="324"/>
    </row>
    <row r="44" spans="1:16">
      <c r="A44" s="269">
        <v>12</v>
      </c>
      <c r="B44" s="443" t="s">
        <v>624</v>
      </c>
      <c r="C44" s="144">
        <v>5</v>
      </c>
      <c r="D44" s="203" t="s">
        <v>625</v>
      </c>
      <c r="E44" s="606"/>
      <c r="F44" s="609"/>
      <c r="G44" s="609"/>
      <c r="H44" s="609"/>
      <c r="I44" s="609"/>
      <c r="J44" s="609"/>
      <c r="K44" s="503" t="s">
        <v>118</v>
      </c>
      <c r="L44" s="324"/>
    </row>
    <row r="45" spans="1:16">
      <c r="A45" s="269">
        <v>13</v>
      </c>
      <c r="B45" s="443" t="s">
        <v>448</v>
      </c>
      <c r="C45" s="144">
        <v>10</v>
      </c>
      <c r="D45" s="203" t="s">
        <v>626</v>
      </c>
      <c r="E45" s="606"/>
      <c r="F45" s="609"/>
      <c r="G45" s="609"/>
      <c r="H45" s="609"/>
      <c r="I45" s="609"/>
      <c r="J45" s="609"/>
      <c r="K45" s="503" t="s">
        <v>118</v>
      </c>
      <c r="L45" s="496"/>
    </row>
    <row r="46" spans="1:16">
      <c r="A46" s="269">
        <v>14</v>
      </c>
      <c r="B46" s="443"/>
      <c r="C46" s="100"/>
      <c r="D46" s="109"/>
      <c r="E46" s="606"/>
      <c r="F46" s="609"/>
      <c r="G46" s="609"/>
      <c r="H46" s="609"/>
      <c r="I46" s="616"/>
      <c r="J46" s="609"/>
      <c r="K46" s="503"/>
      <c r="L46" s="682" t="s">
        <v>590</v>
      </c>
    </row>
    <row r="47" spans="1:16">
      <c r="A47" s="2"/>
      <c r="B47" s="236" t="s">
        <v>177</v>
      </c>
      <c r="C47" s="6">
        <f>SUM(C33:C46)</f>
        <v>70</v>
      </c>
      <c r="D47" s="8"/>
      <c r="E47" s="618">
        <f>SUM(E33:E46)</f>
        <v>371</v>
      </c>
      <c r="F47" s="620"/>
      <c r="G47" s="620">
        <f t="shared" ref="G47:J47" si="1">SUM(G33:G46)</f>
        <v>219500</v>
      </c>
      <c r="H47" s="624">
        <f t="shared" si="1"/>
        <v>159830.54</v>
      </c>
      <c r="I47" s="626">
        <f t="shared" si="1"/>
        <v>127000</v>
      </c>
      <c r="J47" s="620">
        <f t="shared" si="1"/>
        <v>0</v>
      </c>
      <c r="K47" s="628">
        <f>H47+J47</f>
        <v>159830.54</v>
      </c>
      <c r="L47" s="696">
        <f>K47/G47*100</f>
        <v>72.815735763097962</v>
      </c>
    </row>
    <row r="48" spans="1:16">
      <c r="A48" s="14"/>
      <c r="B48" s="206"/>
      <c r="C48" s="198"/>
      <c r="D48" s="185"/>
      <c r="E48" s="557"/>
      <c r="F48" s="209"/>
      <c r="G48" s="209"/>
      <c r="H48" s="14"/>
      <c r="I48" s="14"/>
      <c r="J48" s="14"/>
      <c r="K48" s="559"/>
      <c r="L48" s="14"/>
    </row>
    <row r="49" spans="1:27">
      <c r="A49" s="630"/>
      <c r="B49" s="631"/>
      <c r="C49" s="632"/>
      <c r="D49" s="633"/>
      <c r="E49" s="634"/>
      <c r="F49" s="631"/>
      <c r="G49" s="635"/>
      <c r="H49" s="635"/>
      <c r="I49" s="636"/>
      <c r="J49" s="636"/>
      <c r="K49" s="637"/>
      <c r="L49" s="14"/>
    </row>
    <row r="50" spans="1:27">
      <c r="A50" s="638"/>
      <c r="B50" s="639"/>
      <c r="C50" s="150"/>
      <c r="D50" s="641"/>
      <c r="E50" s="642"/>
      <c r="F50" s="237"/>
      <c r="G50" s="150"/>
      <c r="H50" s="270"/>
      <c r="I50" s="237"/>
      <c r="J50" s="237"/>
      <c r="K50" s="643"/>
      <c r="L50" s="451"/>
    </row>
    <row r="51" spans="1:27">
      <c r="A51" s="638"/>
      <c r="B51" s="644"/>
      <c r="C51" s="260"/>
      <c r="D51" s="645"/>
      <c r="E51" s="642"/>
      <c r="F51" s="237"/>
      <c r="G51" s="150"/>
      <c r="H51" s="237"/>
      <c r="I51" s="237"/>
      <c r="J51" s="237"/>
      <c r="K51" s="646"/>
      <c r="L51" s="14"/>
    </row>
    <row r="52" spans="1:27">
      <c r="A52" s="638"/>
      <c r="B52" s="647"/>
      <c r="C52" s="649"/>
      <c r="D52" s="651"/>
      <c r="E52" s="652"/>
      <c r="F52" s="653"/>
      <c r="G52" s="653"/>
      <c r="H52" s="653"/>
      <c r="I52" s="654"/>
      <c r="J52" s="653"/>
      <c r="K52" s="655"/>
      <c r="L52" s="14"/>
    </row>
    <row r="53" spans="1:27">
      <c r="A53" s="638"/>
      <c r="B53" s="644"/>
      <c r="C53" s="260"/>
      <c r="D53" s="645"/>
      <c r="E53" s="642"/>
      <c r="F53" s="237"/>
      <c r="G53" s="270"/>
      <c r="H53" s="270"/>
      <c r="I53" s="237"/>
      <c r="J53" s="237"/>
      <c r="K53" s="646"/>
      <c r="L53" s="14"/>
    </row>
    <row r="54" spans="1:27">
      <c r="A54" s="638"/>
      <c r="B54" s="639"/>
      <c r="C54" s="260"/>
      <c r="D54" s="645"/>
      <c r="E54" s="587"/>
      <c r="F54" s="270"/>
      <c r="G54" s="270"/>
      <c r="H54" s="237"/>
      <c r="I54" s="150"/>
      <c r="J54" s="150"/>
      <c r="K54" s="646"/>
      <c r="L54" s="14"/>
    </row>
    <row r="55" spans="1:27">
      <c r="A55" s="656"/>
      <c r="B55" s="639"/>
      <c r="C55" s="309"/>
      <c r="D55" s="657"/>
      <c r="E55" s="587"/>
      <c r="F55" s="658"/>
      <c r="G55" s="659"/>
      <c r="H55" s="660"/>
      <c r="I55" s="642"/>
      <c r="J55" s="642"/>
      <c r="K55" s="661"/>
      <c r="L55" s="14"/>
    </row>
    <row r="56" spans="1:27">
      <c r="A56" s="662"/>
      <c r="B56" s="663"/>
      <c r="C56" s="664"/>
      <c r="D56" s="665"/>
      <c r="E56" s="666"/>
      <c r="F56" s="668"/>
      <c r="G56" s="669"/>
      <c r="H56" s="670"/>
      <c r="I56" s="671"/>
      <c r="J56" s="671"/>
      <c r="K56" s="672"/>
      <c r="L56" s="14"/>
    </row>
    <row r="57" spans="1:27">
      <c r="A57" s="114"/>
      <c r="B57" s="283"/>
      <c r="C57" s="673"/>
      <c r="D57" s="674"/>
      <c r="E57" s="675"/>
      <c r="F57" s="676"/>
      <c r="G57" s="677"/>
      <c r="H57" s="678"/>
      <c r="I57" s="679"/>
      <c r="J57" s="679"/>
      <c r="K57" s="680"/>
      <c r="L57" s="265"/>
      <c r="M57" s="681"/>
      <c r="N57" s="681"/>
      <c r="O57" s="681"/>
      <c r="P57" s="681"/>
      <c r="Q57" s="681"/>
      <c r="R57" s="681"/>
      <c r="S57" s="681"/>
      <c r="T57" s="681"/>
      <c r="U57" s="681"/>
      <c r="V57" s="681"/>
      <c r="W57" s="681"/>
      <c r="X57" s="681"/>
      <c r="Y57" s="681"/>
      <c r="Z57" s="681"/>
      <c r="AA57" s="681"/>
    </row>
    <row r="58" spans="1:27">
      <c r="A58" s="683" t="s">
        <v>5</v>
      </c>
      <c r="B58" s="684" t="s">
        <v>315</v>
      </c>
      <c r="C58" s="685" t="s">
        <v>159</v>
      </c>
      <c r="D58" s="686" t="s">
        <v>10</v>
      </c>
      <c r="E58" s="687" t="s">
        <v>243</v>
      </c>
      <c r="F58" s="688" t="s">
        <v>244</v>
      </c>
      <c r="G58" s="688" t="s">
        <v>245</v>
      </c>
      <c r="H58" s="689" t="s">
        <v>246</v>
      </c>
      <c r="I58" s="525" t="s">
        <v>532</v>
      </c>
      <c r="J58" s="690" t="s">
        <v>13</v>
      </c>
      <c r="K58" s="691" t="s">
        <v>162</v>
      </c>
      <c r="L58" s="14"/>
    </row>
    <row r="59" spans="1:27">
      <c r="A59" s="139">
        <v>1</v>
      </c>
      <c r="B59" s="692" t="s">
        <v>631</v>
      </c>
      <c r="C59" s="144">
        <v>5</v>
      </c>
      <c r="D59" s="757" t="s">
        <v>633</v>
      </c>
      <c r="E59" s="693"/>
      <c r="F59" s="103"/>
      <c r="G59" s="608"/>
      <c r="H59" s="694"/>
      <c r="I59" s="100"/>
      <c r="J59" s="100"/>
      <c r="K59" s="230" t="s">
        <v>118</v>
      </c>
      <c r="L59" s="14"/>
    </row>
    <row r="60" spans="1:27">
      <c r="A60" s="139">
        <v>2</v>
      </c>
      <c r="B60" s="692" t="s">
        <v>596</v>
      </c>
      <c r="C60" s="144">
        <v>5</v>
      </c>
      <c r="D60" s="144" t="s">
        <v>634</v>
      </c>
      <c r="E60" s="693">
        <v>120</v>
      </c>
      <c r="F60" s="103">
        <v>30</v>
      </c>
      <c r="G60" s="608">
        <v>120000</v>
      </c>
      <c r="H60" s="694">
        <v>30000</v>
      </c>
      <c r="I60" s="144"/>
      <c r="J60" s="144" t="s">
        <v>275</v>
      </c>
      <c r="K60" s="230" t="s">
        <v>598</v>
      </c>
      <c r="L60" s="14"/>
    </row>
    <row r="61" spans="1:27">
      <c r="A61" s="134" t="s">
        <v>635</v>
      </c>
      <c r="B61" s="692" t="s">
        <v>617</v>
      </c>
      <c r="C61" s="144">
        <v>5</v>
      </c>
      <c r="D61" s="144" t="s">
        <v>636</v>
      </c>
      <c r="E61" s="693"/>
      <c r="F61" s="103"/>
      <c r="G61" s="608"/>
      <c r="H61" s="695"/>
      <c r="I61" s="100"/>
      <c r="J61" s="100"/>
      <c r="K61" s="295" t="s">
        <v>619</v>
      </c>
      <c r="L61" s="1207" t="s">
        <v>637</v>
      </c>
      <c r="M61" s="1203"/>
    </row>
    <row r="62" spans="1:27">
      <c r="A62" s="139">
        <v>4</v>
      </c>
      <c r="B62" s="692" t="s">
        <v>600</v>
      </c>
      <c r="C62" s="144">
        <v>5</v>
      </c>
      <c r="D62" s="144" t="s">
        <v>638</v>
      </c>
      <c r="E62" s="693">
        <v>180</v>
      </c>
      <c r="F62" s="103">
        <v>28</v>
      </c>
      <c r="G62" s="608">
        <v>14000</v>
      </c>
      <c r="H62" s="694">
        <v>14000</v>
      </c>
      <c r="I62" s="144">
        <v>14000</v>
      </c>
      <c r="J62" s="100"/>
      <c r="K62" s="520"/>
      <c r="L62" s="33" t="s">
        <v>602</v>
      </c>
    </row>
    <row r="63" spans="1:27">
      <c r="A63" s="139">
        <v>5</v>
      </c>
      <c r="B63" s="692" t="s">
        <v>639</v>
      </c>
      <c r="C63" s="144">
        <v>5.03</v>
      </c>
      <c r="D63" s="144" t="s">
        <v>467</v>
      </c>
      <c r="E63" s="693"/>
      <c r="F63" s="103"/>
      <c r="G63" s="608"/>
      <c r="H63" s="695"/>
      <c r="I63" s="100"/>
      <c r="J63" s="100"/>
      <c r="K63" s="230" t="s">
        <v>118</v>
      </c>
      <c r="L63" s="14"/>
    </row>
    <row r="64" spans="1:27">
      <c r="A64" s="139">
        <v>6</v>
      </c>
      <c r="B64" s="692" t="s">
        <v>461</v>
      </c>
      <c r="C64" s="144">
        <v>5</v>
      </c>
      <c r="D64" s="144" t="s">
        <v>640</v>
      </c>
      <c r="E64" s="693">
        <v>365</v>
      </c>
      <c r="F64" s="103">
        <v>28</v>
      </c>
      <c r="G64" s="608">
        <v>14000</v>
      </c>
      <c r="H64" s="694">
        <v>14000</v>
      </c>
      <c r="I64" s="144">
        <v>14000</v>
      </c>
      <c r="J64" s="100"/>
      <c r="K64" s="230"/>
      <c r="L64" s="33" t="s">
        <v>605</v>
      </c>
    </row>
    <row r="65" spans="1:27">
      <c r="A65" s="139">
        <v>7</v>
      </c>
      <c r="B65" s="692" t="s">
        <v>448</v>
      </c>
      <c r="C65" s="144">
        <v>10</v>
      </c>
      <c r="D65" s="144" t="s">
        <v>467</v>
      </c>
      <c r="E65" s="552"/>
      <c r="F65" s="233"/>
      <c r="G65" s="609"/>
      <c r="H65" s="609"/>
      <c r="I65" s="100"/>
      <c r="J65" s="100"/>
      <c r="K65" s="230" t="s">
        <v>118</v>
      </c>
      <c r="L65" s="14"/>
    </row>
    <row r="66" spans="1:27">
      <c r="A66" s="139">
        <v>8</v>
      </c>
      <c r="B66" s="692" t="s">
        <v>134</v>
      </c>
      <c r="C66" s="144">
        <v>5</v>
      </c>
      <c r="D66" s="715" t="s">
        <v>611</v>
      </c>
      <c r="E66" s="693" t="s">
        <v>534</v>
      </c>
      <c r="F66" s="144">
        <v>22</v>
      </c>
      <c r="G66" s="538" t="s">
        <v>612</v>
      </c>
      <c r="H66" s="538" t="s">
        <v>613</v>
      </c>
      <c r="I66" s="144">
        <v>33000</v>
      </c>
      <c r="J66" s="100"/>
      <c r="K66" s="230" t="s">
        <v>535</v>
      </c>
      <c r="L66" s="33" t="s">
        <v>581</v>
      </c>
    </row>
    <row r="67" spans="1:27">
      <c r="A67" s="139">
        <v>9</v>
      </c>
      <c r="B67" s="692" t="s">
        <v>606</v>
      </c>
      <c r="C67" s="144">
        <v>5</v>
      </c>
      <c r="D67" s="699" t="s">
        <v>607</v>
      </c>
      <c r="E67" s="587"/>
      <c r="F67" s="270"/>
      <c r="G67" s="700"/>
      <c r="H67" s="620"/>
      <c r="I67" s="59"/>
      <c r="J67" s="144"/>
      <c r="K67" s="309" t="s">
        <v>118</v>
      </c>
      <c r="L67" s="33" t="s">
        <v>608</v>
      </c>
    </row>
    <row r="68" spans="1:27">
      <c r="A68" s="139"/>
      <c r="B68" s="236" t="s">
        <v>641</v>
      </c>
      <c r="C68" s="59">
        <v>5</v>
      </c>
      <c r="D68" s="45" t="s">
        <v>642</v>
      </c>
      <c r="E68" s="537">
        <v>30</v>
      </c>
      <c r="F68" s="220"/>
      <c r="G68" s="533">
        <v>20000</v>
      </c>
      <c r="H68" s="533">
        <v>20000</v>
      </c>
      <c r="I68" s="558"/>
      <c r="J68" s="220"/>
      <c r="K68" s="594"/>
      <c r="L68" s="682" t="s">
        <v>590</v>
      </c>
    </row>
    <row r="69" spans="1:27">
      <c r="A69" s="132"/>
      <c r="B69" s="236" t="s">
        <v>177</v>
      </c>
      <c r="C69" s="769">
        <f>SUM(C54:C68)</f>
        <v>55.03</v>
      </c>
      <c r="D69" s="8"/>
      <c r="E69" s="532">
        <f>SUM(E54:E68)</f>
        <v>695</v>
      </c>
      <c r="F69" s="220"/>
      <c r="G69" s="620">
        <f t="shared" ref="G69:J69" si="2">SUM(G59:G68)</f>
        <v>168000</v>
      </c>
      <c r="H69" s="701">
        <f t="shared" si="2"/>
        <v>78000</v>
      </c>
      <c r="I69" s="554">
        <f t="shared" si="2"/>
        <v>61000</v>
      </c>
      <c r="J69" s="220">
        <f t="shared" si="2"/>
        <v>0</v>
      </c>
      <c r="K69" s="628">
        <f>H69+J69</f>
        <v>78000</v>
      </c>
      <c r="L69" s="696">
        <f>K69/G69*100</f>
        <v>46.428571428571431</v>
      </c>
    </row>
    <row r="70" spans="1:27">
      <c r="A70" s="702"/>
      <c r="B70" s="283"/>
      <c r="C70" s="673"/>
      <c r="D70" s="674"/>
      <c r="E70" s="675"/>
      <c r="F70" s="676"/>
      <c r="G70" s="677"/>
      <c r="H70" s="703"/>
      <c r="I70" s="704"/>
      <c r="J70" s="220"/>
      <c r="K70" s="309"/>
      <c r="L70" s="265"/>
      <c r="M70" s="681"/>
      <c r="N70" s="681"/>
      <c r="O70" s="681"/>
      <c r="P70" s="681"/>
      <c r="Q70" s="681"/>
      <c r="R70" s="681"/>
      <c r="S70" s="681"/>
      <c r="T70" s="681"/>
      <c r="U70" s="681"/>
      <c r="V70" s="681"/>
      <c r="W70" s="681"/>
      <c r="X70" s="681"/>
      <c r="Y70" s="681"/>
      <c r="Z70" s="681"/>
      <c r="AA70" s="681"/>
    </row>
    <row r="71" spans="1:27">
      <c r="A71" s="630"/>
      <c r="B71" s="631"/>
      <c r="C71" s="632"/>
      <c r="D71" s="633"/>
      <c r="E71" s="634"/>
      <c r="F71" s="631"/>
      <c r="G71" s="635"/>
      <c r="H71" s="635"/>
      <c r="I71" s="636"/>
      <c r="J71" s="636"/>
      <c r="K71" s="637"/>
      <c r="L71" s="14"/>
    </row>
    <row r="72" spans="1:27">
      <c r="A72" s="638"/>
      <c r="B72" s="639"/>
      <c r="C72" s="150"/>
      <c r="D72" s="641"/>
      <c r="E72" s="642"/>
      <c r="F72" s="237"/>
      <c r="G72" s="150"/>
      <c r="H72" s="270"/>
      <c r="I72" s="237"/>
      <c r="J72" s="237"/>
      <c r="K72" s="643"/>
      <c r="L72" s="14"/>
    </row>
    <row r="73" spans="1:27">
      <c r="A73" s="638"/>
      <c r="B73" s="644"/>
      <c r="C73" s="260"/>
      <c r="D73" s="645"/>
      <c r="E73" s="642"/>
      <c r="F73" s="237"/>
      <c r="G73" s="150"/>
      <c r="H73" s="237"/>
      <c r="I73" s="237"/>
      <c r="J73" s="237"/>
      <c r="K73" s="646"/>
      <c r="L73" s="14"/>
    </row>
    <row r="74" spans="1:27">
      <c r="A74" s="638"/>
      <c r="B74" s="647"/>
      <c r="C74" s="649"/>
      <c r="D74" s="651"/>
      <c r="E74" s="652"/>
      <c r="F74" s="653"/>
      <c r="G74" s="653"/>
      <c r="H74" s="653"/>
      <c r="I74" s="654"/>
      <c r="J74" s="653"/>
      <c r="K74" s="655"/>
      <c r="L74" s="14"/>
    </row>
    <row r="75" spans="1:27">
      <c r="A75" s="638"/>
      <c r="B75" s="644"/>
      <c r="C75" s="260"/>
      <c r="D75" s="645"/>
      <c r="E75" s="642"/>
      <c r="F75" s="237"/>
      <c r="G75" s="270"/>
      <c r="H75" s="270"/>
      <c r="I75" s="237"/>
      <c r="J75" s="237"/>
      <c r="K75" s="646"/>
      <c r="L75" s="14"/>
    </row>
    <row r="76" spans="1:27">
      <c r="A76" s="638"/>
      <c r="B76" s="639"/>
      <c r="C76" s="260"/>
      <c r="D76" s="645"/>
      <c r="E76" s="587"/>
      <c r="F76" s="270"/>
      <c r="G76" s="270"/>
      <c r="H76" s="237"/>
      <c r="I76" s="150"/>
      <c r="J76" s="150"/>
      <c r="K76" s="646"/>
      <c r="L76" s="14"/>
    </row>
    <row r="77" spans="1:27">
      <c r="A77" s="656"/>
      <c r="B77" s="639"/>
      <c r="C77" s="309"/>
      <c r="D77" s="657"/>
      <c r="E77" s="587"/>
      <c r="F77" s="658"/>
      <c r="G77" s="659"/>
      <c r="H77" s="660"/>
      <c r="I77" s="642"/>
      <c r="J77" s="642"/>
      <c r="K77" s="661"/>
      <c r="L77" s="14"/>
    </row>
    <row r="78" spans="1:27">
      <c r="A78" s="662"/>
      <c r="B78" s="663"/>
      <c r="C78" s="664"/>
      <c r="D78" s="665"/>
      <c r="E78" s="666"/>
      <c r="F78" s="668"/>
      <c r="G78" s="669"/>
      <c r="H78" s="670"/>
      <c r="I78" s="671"/>
      <c r="J78" s="671"/>
      <c r="K78" s="672"/>
      <c r="L78" s="14"/>
    </row>
    <row r="79" spans="1:27">
      <c r="A79" s="705"/>
      <c r="B79" s="706"/>
      <c r="C79" s="707"/>
      <c r="D79" s="708"/>
      <c r="E79" s="709"/>
      <c r="F79" s="710"/>
      <c r="G79" s="711"/>
      <c r="H79" s="712"/>
      <c r="I79" s="707"/>
      <c r="J79" s="713"/>
      <c r="K79" s="714"/>
      <c r="L79" s="265"/>
      <c r="M79" s="681"/>
      <c r="N79" s="681"/>
      <c r="O79" s="681"/>
      <c r="P79" s="681"/>
      <c r="Q79" s="681"/>
      <c r="R79" s="681"/>
      <c r="S79" s="681"/>
      <c r="T79" s="681"/>
      <c r="U79" s="681"/>
      <c r="V79" s="681"/>
      <c r="W79" s="681"/>
      <c r="X79" s="681"/>
      <c r="Y79" s="681"/>
      <c r="Z79" s="681"/>
      <c r="AA79" s="681"/>
    </row>
    <row r="80" spans="1:27">
      <c r="A80" s="269"/>
      <c r="B80" s="335" t="s">
        <v>375</v>
      </c>
      <c r="C80" s="217"/>
      <c r="D80" s="129" t="s">
        <v>10</v>
      </c>
      <c r="E80" s="288" t="s">
        <v>243</v>
      </c>
      <c r="F80" s="289" t="s">
        <v>244</v>
      </c>
      <c r="G80" s="290" t="s">
        <v>245</v>
      </c>
      <c r="H80" s="291" t="s">
        <v>246</v>
      </c>
      <c r="I80" s="716" t="s">
        <v>532</v>
      </c>
      <c r="J80" s="22" t="s">
        <v>13</v>
      </c>
      <c r="K80" s="717" t="s">
        <v>162</v>
      </c>
      <c r="L80" s="14"/>
    </row>
    <row r="81" spans="1:12">
      <c r="A81" s="2">
        <v>1</v>
      </c>
      <c r="B81" s="4" t="s">
        <v>101</v>
      </c>
      <c r="C81" s="59"/>
      <c r="D81" s="45" t="s">
        <v>148</v>
      </c>
      <c r="E81" s="545">
        <v>31</v>
      </c>
      <c r="F81" s="59">
        <v>31</v>
      </c>
      <c r="G81" s="223">
        <v>27000</v>
      </c>
      <c r="H81" s="718">
        <v>27000</v>
      </c>
      <c r="I81" s="59"/>
      <c r="J81" s="6"/>
      <c r="K81" s="230" t="s">
        <v>331</v>
      </c>
      <c r="L81" s="340" t="s">
        <v>492</v>
      </c>
    </row>
    <row r="82" spans="1:12">
      <c r="A82" s="116"/>
      <c r="B82" s="172"/>
      <c r="C82" s="116"/>
      <c r="D82" s="118"/>
      <c r="E82" s="719"/>
      <c r="F82" s="255"/>
      <c r="G82" s="323" t="s">
        <v>177</v>
      </c>
      <c r="H82" s="238">
        <f>H81</f>
        <v>27000</v>
      </c>
      <c r="I82" s="720">
        <f>SUM(I81)</f>
        <v>0</v>
      </c>
      <c r="J82" s="116"/>
      <c r="K82" s="606"/>
      <c r="L82" s="14"/>
    </row>
    <row r="83" spans="1:12">
      <c r="A83" s="219" t="s">
        <v>5</v>
      </c>
      <c r="B83" s="177" t="s">
        <v>106</v>
      </c>
      <c r="C83" s="217"/>
      <c r="D83" s="129" t="s">
        <v>10</v>
      </c>
      <c r="E83" s="288" t="s">
        <v>243</v>
      </c>
      <c r="F83" s="289" t="s">
        <v>244</v>
      </c>
      <c r="G83" s="290" t="s">
        <v>245</v>
      </c>
      <c r="H83" s="291" t="s">
        <v>246</v>
      </c>
      <c r="I83" s="716" t="s">
        <v>532</v>
      </c>
      <c r="J83" s="22" t="s">
        <v>13</v>
      </c>
      <c r="K83" s="717" t="s">
        <v>162</v>
      </c>
      <c r="L83" s="14"/>
    </row>
    <row r="84" spans="1:12">
      <c r="A84" s="100">
        <v>1</v>
      </c>
      <c r="B84" s="181" t="s">
        <v>101</v>
      </c>
      <c r="C84" s="144"/>
      <c r="D84" s="203" t="s">
        <v>148</v>
      </c>
      <c r="E84" s="693">
        <v>31</v>
      </c>
      <c r="F84" s="144">
        <v>31</v>
      </c>
      <c r="G84" s="258">
        <v>25000</v>
      </c>
      <c r="H84" s="722">
        <v>25000</v>
      </c>
      <c r="I84" s="59"/>
      <c r="J84" s="723"/>
      <c r="K84" s="230" t="s">
        <v>331</v>
      </c>
      <c r="L84" s="340" t="s">
        <v>492</v>
      </c>
    </row>
    <row r="85" spans="1:12">
      <c r="A85" s="14"/>
      <c r="B85" s="183"/>
      <c r="C85" s="14"/>
      <c r="D85" s="185"/>
      <c r="E85" s="557"/>
      <c r="F85" s="209"/>
      <c r="G85" s="323" t="s">
        <v>177</v>
      </c>
      <c r="H85" s="238">
        <f>H84</f>
        <v>25000</v>
      </c>
      <c r="I85" s="720">
        <f>SUM(I84)</f>
        <v>0</v>
      </c>
      <c r="J85" s="14"/>
      <c r="K85" s="606"/>
      <c r="L85" s="14"/>
    </row>
    <row r="86" spans="1:12">
      <c r="A86" s="219" t="s">
        <v>5</v>
      </c>
      <c r="B86" s="191" t="s">
        <v>122</v>
      </c>
      <c r="C86" s="189"/>
      <c r="D86" s="129" t="s">
        <v>10</v>
      </c>
      <c r="E86" s="288" t="s">
        <v>243</v>
      </c>
      <c r="F86" s="289" t="s">
        <v>244</v>
      </c>
      <c r="G86" s="290" t="s">
        <v>245</v>
      </c>
      <c r="H86" s="291" t="s">
        <v>246</v>
      </c>
      <c r="I86" s="217" t="s">
        <v>532</v>
      </c>
      <c r="J86" s="22" t="s">
        <v>13</v>
      </c>
      <c r="K86" s="717" t="s">
        <v>162</v>
      </c>
      <c r="L86" s="33" t="s">
        <v>470</v>
      </c>
    </row>
    <row r="87" spans="1:12">
      <c r="A87" s="2" t="s">
        <v>114</v>
      </c>
      <c r="B87" s="4" t="s">
        <v>128</v>
      </c>
      <c r="C87" s="59"/>
      <c r="D87" s="45" t="s">
        <v>148</v>
      </c>
      <c r="E87" s="545">
        <v>31</v>
      </c>
      <c r="F87" s="47">
        <v>31</v>
      </c>
      <c r="G87" s="223">
        <v>29000</v>
      </c>
      <c r="H87" s="221">
        <f>G87/E87*F87</f>
        <v>29000</v>
      </c>
      <c r="I87" s="59">
        <v>29000</v>
      </c>
      <c r="J87" s="6"/>
      <c r="K87" s="230"/>
      <c r="L87" s="14"/>
    </row>
    <row r="88" spans="1:12">
      <c r="A88" s="59" t="s">
        <v>151</v>
      </c>
      <c r="B88" s="4" t="s">
        <v>536</v>
      </c>
      <c r="C88" s="59"/>
      <c r="D88" s="45" t="s">
        <v>621</v>
      </c>
      <c r="E88" s="545"/>
      <c r="F88" s="47"/>
      <c r="G88" s="223"/>
      <c r="H88" s="221"/>
      <c r="I88" s="6"/>
      <c r="J88" s="6"/>
      <c r="K88" s="726" t="s">
        <v>118</v>
      </c>
      <c r="L88" s="14"/>
    </row>
    <row r="89" spans="1:12">
      <c r="A89" s="59" t="s">
        <v>152</v>
      </c>
      <c r="B89" s="253" t="s">
        <v>622</v>
      </c>
      <c r="C89" s="59"/>
      <c r="D89" s="45" t="s">
        <v>652</v>
      </c>
      <c r="E89" s="545">
        <v>180</v>
      </c>
      <c r="F89" s="47"/>
      <c r="G89" s="223">
        <v>127500</v>
      </c>
      <c r="H89" s="222">
        <v>21250</v>
      </c>
      <c r="I89" s="59">
        <v>21250</v>
      </c>
      <c r="J89" s="6"/>
      <c r="K89" s="309"/>
      <c r="L89" s="33" t="s">
        <v>655</v>
      </c>
    </row>
    <row r="90" spans="1:12">
      <c r="A90" s="454" t="s">
        <v>132</v>
      </c>
      <c r="B90" s="481" t="s">
        <v>536</v>
      </c>
      <c r="C90" s="454"/>
      <c r="D90" s="477" t="s">
        <v>621</v>
      </c>
      <c r="E90" s="543"/>
      <c r="F90" s="456"/>
      <c r="G90" s="478"/>
      <c r="H90" s="498"/>
      <c r="I90" s="479"/>
      <c r="J90" s="479"/>
      <c r="K90" s="503" t="s">
        <v>118</v>
      </c>
      <c r="L90" s="501"/>
    </row>
    <row r="91" spans="1:12">
      <c r="A91" s="454" t="s">
        <v>132</v>
      </c>
      <c r="B91" s="453" t="s">
        <v>660</v>
      </c>
      <c r="C91" s="454"/>
      <c r="D91" s="477" t="s">
        <v>588</v>
      </c>
      <c r="E91" s="543">
        <v>90</v>
      </c>
      <c r="F91" s="456"/>
      <c r="G91" s="478"/>
      <c r="H91" s="478">
        <v>16200</v>
      </c>
      <c r="I91" s="783" t="s">
        <v>662</v>
      </c>
      <c r="J91" s="479"/>
      <c r="K91" s="503"/>
      <c r="L91" s="501"/>
    </row>
    <row r="92" spans="1:12">
      <c r="A92" s="14"/>
      <c r="B92" s="183"/>
      <c r="C92" s="14"/>
      <c r="D92" s="185"/>
      <c r="E92" s="557"/>
      <c r="F92" s="209"/>
      <c r="G92" s="236" t="s">
        <v>177</v>
      </c>
      <c r="H92" s="728">
        <f t="shared" ref="H92:I92" si="3">SUM(H87:H91)</f>
        <v>66450</v>
      </c>
      <c r="I92" s="729">
        <f t="shared" si="3"/>
        <v>50250</v>
      </c>
      <c r="J92" s="14"/>
      <c r="K92" s="606"/>
      <c r="L92" s="14"/>
    </row>
    <row r="93" spans="1:12">
      <c r="A93" s="265"/>
      <c r="B93" s="730"/>
      <c r="C93" s="265"/>
      <c r="D93" s="731"/>
      <c r="E93" s="732"/>
      <c r="F93" s="733"/>
      <c r="G93" s="732"/>
      <c r="H93" s="732"/>
      <c r="I93" s="734"/>
      <c r="J93" s="704"/>
      <c r="K93" s="309"/>
      <c r="L93" s="14"/>
    </row>
    <row r="94" spans="1:12">
      <c r="A94" s="265"/>
      <c r="B94" s="730"/>
      <c r="C94" s="265"/>
      <c r="D94" s="731"/>
      <c r="E94" s="732"/>
      <c r="F94" s="733"/>
      <c r="G94" s="732"/>
      <c r="H94" s="732"/>
      <c r="I94" s="734"/>
      <c r="J94" s="704"/>
      <c r="K94" s="309"/>
      <c r="L94" s="14"/>
    </row>
    <row r="95" spans="1:12">
      <c r="A95" s="219" t="s">
        <v>5</v>
      </c>
      <c r="B95" s="342" t="s">
        <v>316</v>
      </c>
      <c r="C95" s="217"/>
      <c r="D95" s="129" t="s">
        <v>10</v>
      </c>
      <c r="E95" s="288" t="s">
        <v>243</v>
      </c>
      <c r="F95" s="289" t="s">
        <v>244</v>
      </c>
      <c r="G95" s="290" t="s">
        <v>245</v>
      </c>
      <c r="H95" s="291" t="s">
        <v>246</v>
      </c>
      <c r="I95" s="217" t="s">
        <v>532</v>
      </c>
      <c r="J95" s="22" t="s">
        <v>13</v>
      </c>
      <c r="K95" s="717" t="s">
        <v>162</v>
      </c>
      <c r="L95" s="287"/>
    </row>
    <row r="96" spans="1:12">
      <c r="A96" s="132" t="s">
        <v>458</v>
      </c>
      <c r="B96" s="284" t="s">
        <v>317</v>
      </c>
      <c r="C96" s="144"/>
      <c r="D96" s="645" t="s">
        <v>669</v>
      </c>
      <c r="E96" s="693">
        <v>90</v>
      </c>
      <c r="F96" s="103">
        <v>28</v>
      </c>
      <c r="G96" s="353">
        <v>28000</v>
      </c>
      <c r="H96" s="353">
        <v>28000</v>
      </c>
      <c r="I96" s="144">
        <v>28000</v>
      </c>
      <c r="J96" s="100"/>
      <c r="K96" s="230"/>
      <c r="L96" s="287"/>
    </row>
    <row r="97" spans="1:12">
      <c r="A97" s="132" t="s">
        <v>459</v>
      </c>
      <c r="B97" s="284" t="s">
        <v>568</v>
      </c>
      <c r="C97" s="100"/>
      <c r="D97" s="203" t="s">
        <v>670</v>
      </c>
      <c r="E97" s="587">
        <v>180</v>
      </c>
      <c r="F97" s="237"/>
      <c r="G97" s="449"/>
      <c r="H97" s="353">
        <v>21250</v>
      </c>
      <c r="I97" s="144">
        <v>21250</v>
      </c>
      <c r="J97" s="144"/>
      <c r="K97" s="309"/>
      <c r="L97" s="325"/>
    </row>
    <row r="98" spans="1:12">
      <c r="A98" s="132" t="s">
        <v>460</v>
      </c>
      <c r="B98" s="284"/>
      <c r="C98" s="100"/>
      <c r="D98" s="203"/>
      <c r="E98" s="587"/>
      <c r="F98" s="237"/>
      <c r="G98" s="355"/>
      <c r="H98" s="473"/>
      <c r="I98" s="144"/>
      <c r="J98" s="144"/>
      <c r="K98" s="309"/>
      <c r="L98" s="325"/>
    </row>
    <row r="99" spans="1:12">
      <c r="A99" s="132"/>
      <c r="B99" s="181"/>
      <c r="C99" s="100"/>
      <c r="D99" s="109"/>
      <c r="E99" s="587"/>
      <c r="F99" s="237"/>
      <c r="G99" s="323" t="s">
        <v>177</v>
      </c>
      <c r="H99" s="238">
        <f t="shared" ref="H99:I99" si="4">SUM(H96:H98)</f>
        <v>49250</v>
      </c>
      <c r="I99" s="736">
        <f t="shared" si="4"/>
        <v>49250</v>
      </c>
      <c r="J99" s="144"/>
      <c r="K99" s="309"/>
      <c r="L99" s="287"/>
    </row>
    <row r="100" spans="1:12">
      <c r="A100" s="265"/>
      <c r="B100" s="730"/>
      <c r="C100" s="265"/>
      <c r="D100" s="731"/>
      <c r="E100" s="732"/>
      <c r="F100" s="733"/>
      <c r="G100" s="737"/>
      <c r="H100" s="703"/>
      <c r="I100" s="734"/>
      <c r="J100" s="704"/>
      <c r="K100" s="734"/>
      <c r="L100" s="14"/>
    </row>
    <row r="101" spans="1:12">
      <c r="A101" s="265"/>
      <c r="B101" s="730"/>
      <c r="C101" s="265"/>
      <c r="D101" s="731"/>
      <c r="E101" s="732"/>
      <c r="F101" s="733"/>
      <c r="G101" s="737"/>
      <c r="H101" s="703"/>
      <c r="I101" s="734"/>
      <c r="J101" s="704"/>
      <c r="K101" s="734"/>
      <c r="L101" s="14"/>
    </row>
    <row r="102" spans="1:12">
      <c r="A102" s="219" t="s">
        <v>5</v>
      </c>
      <c r="B102" s="196" t="s">
        <v>111</v>
      </c>
      <c r="C102" s="189"/>
      <c r="D102" s="514" t="s">
        <v>10</v>
      </c>
      <c r="E102" s="515" t="s">
        <v>243</v>
      </c>
      <c r="F102" s="516" t="s">
        <v>244</v>
      </c>
      <c r="G102" s="738" t="s">
        <v>245</v>
      </c>
      <c r="H102" s="739" t="s">
        <v>246</v>
      </c>
      <c r="I102" s="217" t="s">
        <v>532</v>
      </c>
      <c r="J102" s="740" t="s">
        <v>13</v>
      </c>
      <c r="K102" s="741" t="s">
        <v>162</v>
      </c>
      <c r="L102" s="14"/>
    </row>
    <row r="103" spans="1:12">
      <c r="A103" s="2" t="s">
        <v>114</v>
      </c>
      <c r="B103" s="742" t="s">
        <v>628</v>
      </c>
      <c r="C103" s="59"/>
      <c r="D103" s="45" t="s">
        <v>580</v>
      </c>
      <c r="E103" s="545">
        <v>180</v>
      </c>
      <c r="F103" s="47">
        <v>28</v>
      </c>
      <c r="G103" s="223">
        <v>37800</v>
      </c>
      <c r="H103" s="223">
        <v>6300</v>
      </c>
      <c r="I103" s="59">
        <v>6300</v>
      </c>
      <c r="J103" s="6"/>
      <c r="K103" s="230"/>
      <c r="L103" s="33" t="s">
        <v>629</v>
      </c>
    </row>
    <row r="104" spans="1:12">
      <c r="A104" s="6" t="s">
        <v>119</v>
      </c>
      <c r="B104" s="742" t="s">
        <v>673</v>
      </c>
      <c r="C104" s="59"/>
      <c r="D104" s="45" t="s">
        <v>674</v>
      </c>
      <c r="E104" s="545">
        <v>90</v>
      </c>
      <c r="F104" s="47"/>
      <c r="G104" s="223"/>
      <c r="H104" s="223">
        <v>5400</v>
      </c>
      <c r="I104" s="697">
        <v>5400</v>
      </c>
      <c r="J104" s="6"/>
      <c r="K104" s="230" t="s">
        <v>331</v>
      </c>
      <c r="L104" s="33" t="s">
        <v>675</v>
      </c>
    </row>
    <row r="105" spans="1:12">
      <c r="A105" s="116"/>
      <c r="B105" s="443"/>
      <c r="C105" s="116"/>
      <c r="D105" s="118"/>
      <c r="E105" s="719"/>
      <c r="F105" s="255"/>
      <c r="G105" s="236" t="s">
        <v>177</v>
      </c>
      <c r="H105" s="522">
        <f t="shared" ref="H105:I105" si="5">SUM(H103:H104)</f>
        <v>11700</v>
      </c>
      <c r="I105" s="729">
        <f t="shared" si="5"/>
        <v>11700</v>
      </c>
      <c r="J105" s="116"/>
      <c r="K105" s="642"/>
      <c r="L105" s="33"/>
    </row>
    <row r="106" spans="1:12">
      <c r="A106" s="14"/>
      <c r="B106" s="183"/>
      <c r="C106" s="14"/>
      <c r="D106" s="185"/>
      <c r="E106" s="557"/>
      <c r="F106" s="209"/>
      <c r="G106" s="209"/>
      <c r="H106" s="14"/>
      <c r="I106" s="14"/>
      <c r="J106" s="14"/>
      <c r="K106" s="743"/>
      <c r="L106" s="14"/>
    </row>
    <row r="107" spans="1:12">
      <c r="C107" s="499"/>
      <c r="E107" s="287"/>
      <c r="I107" s="499"/>
      <c r="K107" s="287"/>
      <c r="L107" s="287"/>
    </row>
    <row r="108" spans="1:12">
      <c r="A108" s="357" t="s">
        <v>5</v>
      </c>
      <c r="B108" s="358" t="s">
        <v>319</v>
      </c>
      <c r="C108" s="510"/>
      <c r="D108" s="360" t="s">
        <v>10</v>
      </c>
      <c r="E108" s="361" t="s">
        <v>243</v>
      </c>
      <c r="F108" s="362" t="s">
        <v>244</v>
      </c>
      <c r="G108" s="362" t="s">
        <v>245</v>
      </c>
      <c r="H108" s="363" t="s">
        <v>246</v>
      </c>
      <c r="I108" s="744" t="s">
        <v>532</v>
      </c>
      <c r="J108" s="363" t="s">
        <v>13</v>
      </c>
      <c r="K108" s="745" t="s">
        <v>162</v>
      </c>
      <c r="L108" s="287"/>
    </row>
    <row r="109" spans="1:12">
      <c r="A109" s="365" t="s">
        <v>676</v>
      </c>
      <c r="B109" s="371" t="s">
        <v>317</v>
      </c>
      <c r="C109" s="511"/>
      <c r="D109" s="457" t="s">
        <v>580</v>
      </c>
      <c r="E109" s="746">
        <v>90</v>
      </c>
      <c r="F109" s="747">
        <v>28</v>
      </c>
      <c r="G109" s="547">
        <v>25000</v>
      </c>
      <c r="H109" s="547">
        <v>25000</v>
      </c>
      <c r="I109" s="748">
        <v>25000</v>
      </c>
      <c r="J109" s="7"/>
      <c r="K109" s="230"/>
      <c r="L109" s="325"/>
    </row>
    <row r="110" spans="1:12">
      <c r="A110" s="370"/>
      <c r="B110" s="371"/>
      <c r="C110" s="511"/>
      <c r="D110" s="371"/>
      <c r="E110" s="749"/>
      <c r="F110" s="368"/>
      <c r="G110" s="549"/>
      <c r="H110" s="547"/>
      <c r="I110" s="750"/>
      <c r="J110" s="7"/>
      <c r="K110" s="752"/>
      <c r="L110" s="287"/>
    </row>
    <row r="111" spans="1:12">
      <c r="A111" s="365" t="s">
        <v>677</v>
      </c>
      <c r="B111" s="790" t="s">
        <v>660</v>
      </c>
      <c r="C111" s="755"/>
      <c r="D111" s="756" t="s">
        <v>588</v>
      </c>
      <c r="E111" s="758">
        <v>90</v>
      </c>
      <c r="F111" s="759"/>
      <c r="G111" s="761"/>
      <c r="H111" s="762">
        <v>27000</v>
      </c>
      <c r="I111" s="753">
        <v>27000</v>
      </c>
      <c r="J111" s="369"/>
      <c r="K111" s="230"/>
      <c r="L111" s="325" t="s">
        <v>675</v>
      </c>
    </row>
    <row r="112" spans="1:12">
      <c r="A112" s="753"/>
      <c r="B112" s="235"/>
      <c r="C112" s="755"/>
      <c r="D112" s="235"/>
      <c r="E112" s="652"/>
      <c r="F112" s="653"/>
      <c r="G112" s="764" t="s">
        <v>177</v>
      </c>
      <c r="H112" s="765">
        <f t="shared" ref="H112:I112" si="6">SUM(H109:H111)</f>
        <v>52000</v>
      </c>
      <c r="I112" s="766">
        <f t="shared" si="6"/>
        <v>52000</v>
      </c>
      <c r="J112" s="369"/>
      <c r="K112" s="767"/>
    </row>
    <row r="113" spans="1:12">
      <c r="C113" s="499"/>
      <c r="E113" s="287"/>
      <c r="I113" s="499"/>
      <c r="K113" s="287"/>
      <c r="L113" s="768"/>
    </row>
    <row r="114" spans="1:12">
      <c r="C114" s="499"/>
      <c r="E114" s="287"/>
      <c r="I114" s="499"/>
      <c r="K114" s="287"/>
    </row>
    <row r="115" spans="1:12">
      <c r="A115" s="219" t="s">
        <v>5</v>
      </c>
      <c r="B115" s="342" t="s">
        <v>323</v>
      </c>
      <c r="C115" s="187"/>
      <c r="D115" s="129" t="s">
        <v>10</v>
      </c>
      <c r="E115" s="288" t="s">
        <v>243</v>
      </c>
      <c r="F115" s="289" t="s">
        <v>244</v>
      </c>
      <c r="G115" s="290" t="s">
        <v>245</v>
      </c>
      <c r="H115" s="291" t="s">
        <v>246</v>
      </c>
      <c r="I115" s="217" t="s">
        <v>532</v>
      </c>
      <c r="J115" s="22" t="s">
        <v>13</v>
      </c>
      <c r="K115" s="717" t="s">
        <v>162</v>
      </c>
    </row>
    <row r="116" spans="1:12">
      <c r="A116" s="132" t="s">
        <v>114</v>
      </c>
      <c r="B116" s="4" t="s">
        <v>681</v>
      </c>
      <c r="C116" s="59"/>
      <c r="D116" s="51" t="s">
        <v>682</v>
      </c>
      <c r="E116" s="545">
        <v>90</v>
      </c>
      <c r="F116" s="47"/>
      <c r="G116" s="223" t="s">
        <v>683</v>
      </c>
      <c r="H116" s="222">
        <v>19000</v>
      </c>
      <c r="I116" s="59">
        <v>19000</v>
      </c>
      <c r="J116" s="6"/>
      <c r="K116" s="230" t="s">
        <v>331</v>
      </c>
      <c r="L116" s="1" t="s">
        <v>684</v>
      </c>
    </row>
    <row r="117" spans="1:12">
      <c r="A117" s="482" t="s">
        <v>119</v>
      </c>
      <c r="B117" s="481"/>
      <c r="C117" s="454"/>
      <c r="D117" s="454"/>
      <c r="E117" s="543"/>
      <c r="F117" s="456"/>
      <c r="G117" s="478"/>
      <c r="H117" s="498"/>
      <c r="I117" s="727"/>
      <c r="J117" s="479"/>
      <c r="K117" s="503"/>
      <c r="L117" s="521"/>
    </row>
    <row r="118" spans="1:12">
      <c r="A118" s="132"/>
      <c r="B118" s="29"/>
      <c r="C118" s="6"/>
      <c r="D118" s="8"/>
      <c r="E118" s="675"/>
      <c r="F118" s="221"/>
      <c r="G118" s="236" t="s">
        <v>177</v>
      </c>
      <c r="H118" s="264">
        <f t="shared" ref="H118:I118" si="7">SUM(H116:H117)</f>
        <v>19000</v>
      </c>
      <c r="I118" s="770">
        <f t="shared" si="7"/>
        <v>19000</v>
      </c>
      <c r="J118" s="59"/>
      <c r="K118" s="309"/>
    </row>
    <row r="119" spans="1:12">
      <c r="C119" s="499"/>
      <c r="E119" s="287"/>
      <c r="I119" s="499"/>
      <c r="K119" s="287"/>
    </row>
    <row r="120" spans="1:12">
      <c r="C120" s="499"/>
      <c r="E120" s="287"/>
      <c r="I120" s="499"/>
      <c r="K120" s="287"/>
    </row>
    <row r="121" spans="1:12">
      <c r="A121" s="219" t="s">
        <v>5</v>
      </c>
      <c r="B121" s="342" t="s">
        <v>325</v>
      </c>
      <c r="C121" s="187"/>
      <c r="D121" s="129" t="s">
        <v>10</v>
      </c>
      <c r="E121" s="288" t="s">
        <v>243</v>
      </c>
      <c r="F121" s="289" t="s">
        <v>244</v>
      </c>
      <c r="G121" s="290" t="s">
        <v>245</v>
      </c>
      <c r="H121" s="291" t="s">
        <v>246</v>
      </c>
      <c r="I121" s="217" t="s">
        <v>532</v>
      </c>
      <c r="J121" s="22" t="s">
        <v>13</v>
      </c>
      <c r="K121" s="717" t="s">
        <v>162</v>
      </c>
    </row>
    <row r="122" spans="1:12">
      <c r="A122" s="452" t="s">
        <v>114</v>
      </c>
      <c r="B122" s="481" t="s">
        <v>134</v>
      </c>
      <c r="C122" s="454"/>
      <c r="D122" s="477" t="s">
        <v>148</v>
      </c>
      <c r="E122" s="543">
        <v>30</v>
      </c>
      <c r="F122" s="456">
        <v>30</v>
      </c>
      <c r="G122" s="478">
        <v>17500</v>
      </c>
      <c r="H122" s="478">
        <v>17500</v>
      </c>
      <c r="I122" s="454">
        <v>17500</v>
      </c>
      <c r="J122" s="454"/>
      <c r="K122" s="503" t="s">
        <v>210</v>
      </c>
      <c r="L122" s="509"/>
    </row>
    <row r="123" spans="1:12">
      <c r="A123" s="2" t="s">
        <v>119</v>
      </c>
      <c r="B123" s="4" t="s">
        <v>134</v>
      </c>
      <c r="C123" s="59"/>
      <c r="D123" s="59" t="s">
        <v>148</v>
      </c>
      <c r="E123" s="545">
        <v>30</v>
      </c>
      <c r="F123" s="47">
        <v>30</v>
      </c>
      <c r="G123" s="223">
        <v>17500</v>
      </c>
      <c r="H123" s="222">
        <v>17500</v>
      </c>
      <c r="I123" s="697">
        <v>17500</v>
      </c>
      <c r="J123" s="59"/>
      <c r="K123" s="230" t="s">
        <v>210</v>
      </c>
    </row>
    <row r="124" spans="1:12">
      <c r="A124" s="132"/>
      <c r="B124" s="29"/>
      <c r="C124" s="6"/>
      <c r="D124" s="8"/>
      <c r="E124" s="675"/>
      <c r="F124" s="221"/>
      <c r="G124" s="236" t="s">
        <v>177</v>
      </c>
      <c r="H124" s="264">
        <f t="shared" ref="H124:I124" si="8">SUM(H122:H123)</f>
        <v>35000</v>
      </c>
      <c r="I124" s="770">
        <f t="shared" si="8"/>
        <v>35000</v>
      </c>
      <c r="J124" s="59"/>
      <c r="K124" s="309"/>
    </row>
    <row r="125" spans="1:12">
      <c r="C125" s="499"/>
      <c r="E125" s="287"/>
      <c r="I125" s="499"/>
      <c r="K125" s="287"/>
    </row>
    <row r="126" spans="1:12">
      <c r="C126" s="499"/>
      <c r="E126" s="287"/>
      <c r="I126" s="499"/>
      <c r="K126" s="287"/>
    </row>
    <row r="127" spans="1:12">
      <c r="A127" s="219" t="s">
        <v>5</v>
      </c>
      <c r="B127" s="342" t="s">
        <v>326</v>
      </c>
      <c r="C127" s="187"/>
      <c r="D127" s="129" t="s">
        <v>10</v>
      </c>
      <c r="E127" s="288" t="s">
        <v>243</v>
      </c>
      <c r="F127" s="289" t="s">
        <v>244</v>
      </c>
      <c r="G127" s="290" t="s">
        <v>245</v>
      </c>
      <c r="H127" s="291" t="s">
        <v>246</v>
      </c>
      <c r="I127" s="217" t="s">
        <v>532</v>
      </c>
      <c r="J127" s="22" t="s">
        <v>13</v>
      </c>
      <c r="K127" s="717" t="s">
        <v>162</v>
      </c>
    </row>
    <row r="128" spans="1:12">
      <c r="A128" s="2" t="s">
        <v>114</v>
      </c>
      <c r="B128" s="4" t="s">
        <v>407</v>
      </c>
      <c r="C128" s="59"/>
      <c r="D128" s="51" t="s">
        <v>148</v>
      </c>
      <c r="E128" s="545">
        <v>30</v>
      </c>
      <c r="F128" s="47">
        <v>30</v>
      </c>
      <c r="G128" s="223">
        <v>21250</v>
      </c>
      <c r="H128" s="223">
        <v>21250</v>
      </c>
      <c r="I128" s="59">
        <v>21250</v>
      </c>
      <c r="J128" s="6"/>
      <c r="K128" s="230"/>
    </row>
    <row r="129" spans="1:12">
      <c r="A129" s="132" t="s">
        <v>119</v>
      </c>
      <c r="B129" s="4" t="s">
        <v>644</v>
      </c>
      <c r="C129" s="6"/>
      <c r="D129" s="45" t="s">
        <v>585</v>
      </c>
      <c r="E129" s="675">
        <v>30</v>
      </c>
      <c r="F129" s="222">
        <v>10</v>
      </c>
      <c r="G129" s="564">
        <v>10000</v>
      </c>
      <c r="H129" s="260">
        <v>10000</v>
      </c>
      <c r="I129" s="697">
        <v>10000</v>
      </c>
      <c r="J129" s="59"/>
      <c r="K129" s="309" t="s">
        <v>686</v>
      </c>
    </row>
    <row r="130" spans="1:12">
      <c r="A130" s="235"/>
      <c r="B130" s="235"/>
      <c r="C130" s="771"/>
      <c r="D130" s="235"/>
      <c r="E130" s="610"/>
      <c r="F130" s="235"/>
      <c r="G130" s="323" t="s">
        <v>177</v>
      </c>
      <c r="H130" s="772">
        <f t="shared" ref="H130:I130" si="9">SUM(H128:H129)</f>
        <v>31250</v>
      </c>
      <c r="I130" s="773">
        <f t="shared" si="9"/>
        <v>31250</v>
      </c>
      <c r="J130" s="774"/>
      <c r="K130" s="610"/>
    </row>
    <row r="131" spans="1:12">
      <c r="C131" s="499"/>
      <c r="E131" s="287"/>
      <c r="I131" s="499"/>
      <c r="K131" s="287"/>
    </row>
    <row r="132" spans="1:12">
      <c r="E132" s="287"/>
      <c r="I132" s="499"/>
      <c r="K132" s="287"/>
    </row>
    <row r="133" spans="1:12">
      <c r="A133" s="219" t="s">
        <v>5</v>
      </c>
      <c r="B133" s="342" t="s">
        <v>437</v>
      </c>
      <c r="C133" s="187"/>
      <c r="D133" s="129" t="s">
        <v>10</v>
      </c>
      <c r="E133" s="288" t="s">
        <v>243</v>
      </c>
      <c r="F133" s="289" t="s">
        <v>244</v>
      </c>
      <c r="G133" s="290" t="s">
        <v>245</v>
      </c>
      <c r="H133" s="291" t="s">
        <v>246</v>
      </c>
      <c r="I133" s="217" t="s">
        <v>532</v>
      </c>
      <c r="J133" s="22" t="s">
        <v>13</v>
      </c>
      <c r="K133" s="717" t="s">
        <v>162</v>
      </c>
      <c r="L133" s="14"/>
    </row>
    <row r="134" spans="1:12">
      <c r="A134" s="463" t="s">
        <v>114</v>
      </c>
      <c r="B134" s="775"/>
      <c r="C134" s="463"/>
      <c r="D134" s="614"/>
      <c r="E134" s="776"/>
      <c r="F134" s="777"/>
      <c r="G134" s="778"/>
      <c r="H134" s="778"/>
      <c r="I134" s="779"/>
      <c r="J134" s="779"/>
      <c r="K134" s="503"/>
      <c r="L134" s="504"/>
    </row>
    <row r="135" spans="1:12">
      <c r="A135" s="260" t="s">
        <v>114</v>
      </c>
      <c r="B135" s="639" t="s">
        <v>646</v>
      </c>
      <c r="C135" s="260"/>
      <c r="D135" s="260" t="s">
        <v>642</v>
      </c>
      <c r="E135" s="587">
        <v>90</v>
      </c>
      <c r="F135" s="262"/>
      <c r="G135" s="270">
        <v>67500</v>
      </c>
      <c r="H135" s="270">
        <v>22500</v>
      </c>
      <c r="I135" s="794">
        <v>22500</v>
      </c>
      <c r="J135" s="150"/>
      <c r="K135" s="309"/>
      <c r="L135" s="781" t="s">
        <v>691</v>
      </c>
    </row>
    <row r="136" spans="1:12">
      <c r="A136" s="150" t="s">
        <v>119</v>
      </c>
      <c r="B136" s="639"/>
      <c r="C136" s="260"/>
      <c r="D136" s="260"/>
      <c r="E136" s="587">
        <v>31</v>
      </c>
      <c r="F136" s="262">
        <v>31</v>
      </c>
      <c r="G136" s="270"/>
      <c r="H136" s="237"/>
      <c r="I136" s="780"/>
      <c r="J136" s="150"/>
      <c r="K136" s="309"/>
      <c r="L136" s="482"/>
    </row>
    <row r="137" spans="1:12">
      <c r="A137" s="235"/>
      <c r="B137" s="4"/>
      <c r="C137" s="6"/>
      <c r="D137" s="45"/>
      <c r="E137" s="675"/>
      <c r="F137" s="221"/>
      <c r="G137" s="236" t="s">
        <v>177</v>
      </c>
      <c r="H137" s="264">
        <f t="shared" ref="H137:I137" si="10">SUM(H134:H136)</f>
        <v>22500</v>
      </c>
      <c r="I137" s="770">
        <f t="shared" si="10"/>
        <v>22500</v>
      </c>
      <c r="J137" s="59"/>
      <c r="K137" s="309"/>
      <c r="L137" s="341"/>
    </row>
    <row r="138" spans="1:12">
      <c r="A138" s="14"/>
      <c r="C138" s="499"/>
      <c r="E138" s="287"/>
      <c r="F138" s="286"/>
      <c r="G138" s="286"/>
      <c r="I138" s="499"/>
      <c r="K138" s="287"/>
    </row>
    <row r="139" spans="1:12">
      <c r="A139" s="219" t="s">
        <v>5</v>
      </c>
      <c r="B139" s="342" t="s">
        <v>441</v>
      </c>
      <c r="C139" s="187"/>
      <c r="D139" s="129" t="s">
        <v>10</v>
      </c>
      <c r="E139" s="288" t="s">
        <v>243</v>
      </c>
      <c r="F139" s="289" t="s">
        <v>244</v>
      </c>
      <c r="G139" s="290" t="s">
        <v>245</v>
      </c>
      <c r="H139" s="291" t="s">
        <v>246</v>
      </c>
      <c r="I139" s="217" t="s">
        <v>532</v>
      </c>
      <c r="J139" s="22" t="s">
        <v>13</v>
      </c>
      <c r="K139" s="717" t="s">
        <v>162</v>
      </c>
      <c r="L139" s="14"/>
    </row>
    <row r="140" spans="1:12">
      <c r="A140" s="132" t="s">
        <v>114</v>
      </c>
      <c r="B140" s="4" t="s">
        <v>649</v>
      </c>
      <c r="C140" s="59"/>
      <c r="D140" s="51" t="s">
        <v>589</v>
      </c>
      <c r="E140" s="545">
        <v>180</v>
      </c>
      <c r="F140" s="47">
        <v>7</v>
      </c>
      <c r="G140" s="223">
        <v>90000</v>
      </c>
      <c r="H140" s="222">
        <v>15000</v>
      </c>
      <c r="I140" s="59">
        <v>15000</v>
      </c>
      <c r="J140" s="6"/>
      <c r="K140" s="230" t="s">
        <v>614</v>
      </c>
      <c r="L140" s="1204"/>
    </row>
    <row r="141" spans="1:12">
      <c r="A141" s="452" t="s">
        <v>119</v>
      </c>
      <c r="B141" s="481" t="s">
        <v>444</v>
      </c>
      <c r="C141" s="454"/>
      <c r="D141" s="454" t="s">
        <v>148</v>
      </c>
      <c r="E141" s="543">
        <v>365</v>
      </c>
      <c r="F141" s="456">
        <v>30</v>
      </c>
      <c r="G141" s="478">
        <v>19000</v>
      </c>
      <c r="H141" s="478">
        <v>19000</v>
      </c>
      <c r="I141" s="783">
        <v>19000</v>
      </c>
      <c r="J141" s="479"/>
      <c r="K141" s="503"/>
      <c r="L141" s="1205"/>
    </row>
    <row r="142" spans="1:12">
      <c r="A142" s="132"/>
      <c r="B142" s="4"/>
      <c r="C142" s="6"/>
      <c r="D142" s="45"/>
      <c r="E142" s="675"/>
      <c r="F142" s="221"/>
      <c r="G142" s="236" t="s">
        <v>177</v>
      </c>
      <c r="H142" s="264">
        <f t="shared" ref="H142:I142" si="11">SUM(H140:H141)</f>
        <v>34000</v>
      </c>
      <c r="I142" s="770">
        <f t="shared" si="11"/>
        <v>34000</v>
      </c>
      <c r="J142" s="59"/>
      <c r="K142" s="309"/>
      <c r="L142" s="341"/>
    </row>
    <row r="143" spans="1:12">
      <c r="A143" s="14"/>
      <c r="C143" s="499"/>
      <c r="E143" s="287"/>
      <c r="F143" s="286"/>
      <c r="G143" s="286"/>
      <c r="I143" s="499"/>
      <c r="K143" s="287"/>
    </row>
    <row r="144" spans="1:12">
      <c r="A144" s="219" t="s">
        <v>5</v>
      </c>
      <c r="B144" s="342" t="s">
        <v>445</v>
      </c>
      <c r="C144" s="187"/>
      <c r="D144" s="129" t="s">
        <v>10</v>
      </c>
      <c r="E144" s="288" t="s">
        <v>243</v>
      </c>
      <c r="F144" s="289" t="s">
        <v>244</v>
      </c>
      <c r="G144" s="290" t="s">
        <v>245</v>
      </c>
      <c r="H144" s="291" t="s">
        <v>246</v>
      </c>
      <c r="I144" s="217" t="s">
        <v>532</v>
      </c>
      <c r="J144" s="22" t="s">
        <v>13</v>
      </c>
      <c r="K144" s="717" t="s">
        <v>162</v>
      </c>
      <c r="L144" s="14"/>
    </row>
    <row r="145" spans="1:12">
      <c r="A145" s="2" t="s">
        <v>114</v>
      </c>
      <c r="B145" s="4" t="s">
        <v>446</v>
      </c>
      <c r="C145" s="59"/>
      <c r="D145" s="51" t="s">
        <v>674</v>
      </c>
      <c r="E145" s="545">
        <v>30</v>
      </c>
      <c r="F145" s="47">
        <v>28</v>
      </c>
      <c r="G145" s="223">
        <v>22500</v>
      </c>
      <c r="H145" s="222">
        <v>22500</v>
      </c>
      <c r="I145" s="59">
        <v>22500</v>
      </c>
      <c r="J145" s="6"/>
      <c r="K145" s="230"/>
      <c r="L145" s="795" t="s">
        <v>694</v>
      </c>
    </row>
    <row r="146" spans="1:12">
      <c r="A146" s="452" t="s">
        <v>119</v>
      </c>
      <c r="B146" s="481" t="s">
        <v>695</v>
      </c>
      <c r="C146" s="454"/>
      <c r="D146" s="454" t="s">
        <v>696</v>
      </c>
      <c r="E146" s="543">
        <v>30</v>
      </c>
      <c r="F146" s="456"/>
      <c r="G146" s="478">
        <v>22500</v>
      </c>
      <c r="H146" s="478"/>
      <c r="I146" s="783">
        <v>22500</v>
      </c>
      <c r="J146" s="479"/>
      <c r="K146" s="503"/>
      <c r="L146" s="132" t="s">
        <v>697</v>
      </c>
    </row>
    <row r="147" spans="1:12">
      <c r="A147" s="132" t="s">
        <v>119</v>
      </c>
      <c r="B147" s="4"/>
      <c r="C147" s="6"/>
      <c r="D147" s="45"/>
      <c r="E147" s="675"/>
      <c r="F147" s="221"/>
      <c r="G147" s="236" t="s">
        <v>177</v>
      </c>
      <c r="H147" s="264">
        <f t="shared" ref="H147:I147" si="12">SUM(H145:H146)</f>
        <v>22500</v>
      </c>
      <c r="I147" s="785">
        <f t="shared" si="12"/>
        <v>45000</v>
      </c>
      <c r="J147" s="59"/>
      <c r="K147" s="309"/>
      <c r="L147" s="341"/>
    </row>
    <row r="148" spans="1:12">
      <c r="A148" s="14"/>
      <c r="C148" s="499"/>
      <c r="E148" s="287"/>
      <c r="F148" s="286"/>
      <c r="G148" s="286"/>
      <c r="I148" s="499"/>
      <c r="K148" s="287"/>
    </row>
    <row r="149" spans="1:12">
      <c r="E149" s="287"/>
      <c r="I149" s="499"/>
      <c r="K149" s="287"/>
    </row>
    <row r="150" spans="1:12">
      <c r="E150" s="287"/>
      <c r="H150" s="786" t="s">
        <v>668</v>
      </c>
      <c r="I150" s="787">
        <f>SUM(I147+I142+I137+I130+I124+I118+I112+I105+I99+I92+I85+I82+I69+I47+I23)</f>
        <v>787550</v>
      </c>
      <c r="K150" s="287"/>
    </row>
    <row r="151" spans="1:12">
      <c r="E151" s="287"/>
      <c r="I151" s="499"/>
      <c r="K151" s="287"/>
    </row>
    <row r="152" spans="1:12">
      <c r="E152" s="287"/>
      <c r="H152" s="788" t="s">
        <v>671</v>
      </c>
      <c r="I152" s="789">
        <f>SUM(H147+H142+H137+H130+H124+H118+H112+H105+H99+H92+H85+H82+H69+H47+H23)</f>
        <v>883080.54</v>
      </c>
      <c r="K152" s="287"/>
    </row>
    <row r="153" spans="1:12">
      <c r="E153" s="287"/>
      <c r="I153" s="499"/>
      <c r="K153" s="287"/>
    </row>
    <row r="154" spans="1:12">
      <c r="E154" s="287"/>
      <c r="I154" s="499"/>
      <c r="J154" s="1" t="s">
        <v>199</v>
      </c>
      <c r="K154" s="287"/>
    </row>
    <row r="155" spans="1:12">
      <c r="E155" s="287"/>
      <c r="I155" s="499"/>
      <c r="K155" s="287"/>
    </row>
    <row r="156" spans="1:12">
      <c r="E156" s="287"/>
      <c r="I156" s="499"/>
      <c r="K156" s="287"/>
    </row>
    <row r="157" spans="1:12">
      <c r="E157" s="287"/>
      <c r="I157" s="499"/>
      <c r="K157" s="287"/>
    </row>
    <row r="158" spans="1:12">
      <c r="E158" s="287"/>
      <c r="I158" s="499"/>
      <c r="K158" s="287"/>
    </row>
    <row r="159" spans="1:12">
      <c r="E159" s="287"/>
      <c r="I159" s="499"/>
      <c r="K159" s="287"/>
    </row>
    <row r="160" spans="1:12">
      <c r="E160" s="287"/>
      <c r="I160" s="499"/>
      <c r="K160" s="287"/>
    </row>
    <row r="161" spans="5:11">
      <c r="E161" s="287"/>
      <c r="I161" s="499"/>
      <c r="K161" s="287"/>
    </row>
    <row r="162" spans="5:11">
      <c r="E162" s="287"/>
      <c r="I162" s="499"/>
      <c r="K162" s="287"/>
    </row>
    <row r="163" spans="5:11">
      <c r="E163" s="287"/>
      <c r="I163" s="499"/>
      <c r="K163" s="287"/>
    </row>
    <row r="164" spans="5:11">
      <c r="E164" s="287"/>
      <c r="I164" s="499"/>
      <c r="K164" s="287"/>
    </row>
    <row r="165" spans="5:11">
      <c r="E165" s="287"/>
      <c r="I165" s="499"/>
      <c r="K165" s="287"/>
    </row>
    <row r="166" spans="5:11">
      <c r="E166" s="287"/>
      <c r="I166" s="499"/>
      <c r="K166" s="287"/>
    </row>
    <row r="167" spans="5:11">
      <c r="E167" s="287"/>
      <c r="I167" s="499"/>
      <c r="K167" s="287"/>
    </row>
    <row r="168" spans="5:11">
      <c r="E168" s="287"/>
      <c r="I168" s="499"/>
      <c r="K168" s="287"/>
    </row>
    <row r="169" spans="5:11">
      <c r="E169" s="287"/>
      <c r="I169" s="499"/>
      <c r="K169" s="287"/>
    </row>
    <row r="170" spans="5:11">
      <c r="E170" s="287"/>
      <c r="I170" s="499"/>
      <c r="K170" s="287"/>
    </row>
    <row r="171" spans="5:11">
      <c r="E171" s="287"/>
      <c r="I171" s="499"/>
      <c r="K171" s="287"/>
    </row>
    <row r="172" spans="5:11">
      <c r="E172" s="287"/>
      <c r="I172" s="499"/>
      <c r="K172" s="287"/>
    </row>
    <row r="173" spans="5:11">
      <c r="E173" s="287"/>
      <c r="I173" s="499"/>
      <c r="K173" s="287"/>
    </row>
    <row r="174" spans="5:11">
      <c r="E174" s="287"/>
      <c r="I174" s="499"/>
      <c r="K174" s="287"/>
    </row>
    <row r="175" spans="5:11">
      <c r="E175" s="287"/>
      <c r="I175" s="499"/>
      <c r="K175" s="287"/>
    </row>
    <row r="176" spans="5:11">
      <c r="E176" s="287"/>
      <c r="I176" s="499"/>
      <c r="K176" s="287"/>
    </row>
    <row r="177" spans="5:11">
      <c r="E177" s="287"/>
      <c r="I177" s="499"/>
      <c r="K177" s="287"/>
    </row>
    <row r="178" spans="5:11">
      <c r="E178" s="287"/>
      <c r="I178" s="499"/>
      <c r="K178" s="287"/>
    </row>
    <row r="179" spans="5:11">
      <c r="E179" s="287"/>
      <c r="I179" s="499"/>
      <c r="K179" s="287"/>
    </row>
    <row r="180" spans="5:11">
      <c r="E180" s="287"/>
      <c r="I180" s="499"/>
      <c r="K180" s="287"/>
    </row>
    <row r="181" spans="5:11">
      <c r="E181" s="287"/>
      <c r="I181" s="499"/>
      <c r="K181" s="287"/>
    </row>
    <row r="182" spans="5:11">
      <c r="E182" s="287"/>
      <c r="I182" s="499"/>
      <c r="K182" s="287"/>
    </row>
    <row r="183" spans="5:11">
      <c r="E183" s="287"/>
      <c r="I183" s="499"/>
      <c r="K183" s="287"/>
    </row>
    <row r="184" spans="5:11">
      <c r="E184" s="287"/>
      <c r="I184" s="499"/>
      <c r="K184" s="287"/>
    </row>
    <row r="185" spans="5:11">
      <c r="E185" s="287"/>
      <c r="I185" s="499"/>
      <c r="K185" s="287"/>
    </row>
    <row r="186" spans="5:11">
      <c r="E186" s="287"/>
      <c r="I186" s="499"/>
      <c r="K186" s="287"/>
    </row>
    <row r="187" spans="5:11">
      <c r="E187" s="287"/>
      <c r="I187" s="499"/>
      <c r="K187" s="287"/>
    </row>
    <row r="188" spans="5:11">
      <c r="E188" s="287"/>
      <c r="I188" s="499"/>
      <c r="K188" s="287"/>
    </row>
    <row r="189" spans="5:11">
      <c r="E189" s="287"/>
      <c r="I189" s="499"/>
      <c r="K189" s="287"/>
    </row>
    <row r="190" spans="5:11">
      <c r="E190" s="287"/>
      <c r="I190" s="499"/>
      <c r="K190" s="287"/>
    </row>
    <row r="191" spans="5:11">
      <c r="E191" s="287"/>
      <c r="I191" s="499"/>
      <c r="K191" s="287"/>
    </row>
    <row r="192" spans="5:11">
      <c r="E192" s="287"/>
      <c r="I192" s="499"/>
      <c r="K192" s="287"/>
    </row>
    <row r="193" spans="5:11">
      <c r="E193" s="287"/>
      <c r="I193" s="499"/>
      <c r="K193" s="287"/>
    </row>
    <row r="194" spans="5:11">
      <c r="E194" s="287"/>
      <c r="I194" s="499"/>
      <c r="K194" s="287"/>
    </row>
    <row r="195" spans="5:11">
      <c r="E195" s="287"/>
      <c r="I195" s="499"/>
      <c r="K195" s="287"/>
    </row>
    <row r="196" spans="5:11">
      <c r="E196" s="287"/>
      <c r="I196" s="499"/>
      <c r="K196" s="287"/>
    </row>
    <row r="197" spans="5:11">
      <c r="E197" s="287"/>
      <c r="I197" s="499"/>
      <c r="K197" s="287"/>
    </row>
    <row r="198" spans="5:11">
      <c r="E198" s="287"/>
      <c r="I198" s="499"/>
      <c r="K198" s="287"/>
    </row>
    <row r="199" spans="5:11">
      <c r="E199" s="287"/>
      <c r="I199" s="499"/>
      <c r="K199" s="287"/>
    </row>
    <row r="200" spans="5:11">
      <c r="E200" s="287"/>
      <c r="I200" s="499"/>
      <c r="K200" s="287"/>
    </row>
    <row r="201" spans="5:11">
      <c r="E201" s="287"/>
      <c r="I201" s="499"/>
      <c r="K201" s="287"/>
    </row>
    <row r="202" spans="5:11">
      <c r="E202" s="287"/>
      <c r="I202" s="499"/>
      <c r="K202" s="287"/>
    </row>
    <row r="203" spans="5:11">
      <c r="E203" s="287"/>
      <c r="I203" s="499"/>
      <c r="K203" s="287"/>
    </row>
    <row r="204" spans="5:11">
      <c r="E204" s="287"/>
      <c r="I204" s="499"/>
      <c r="K204" s="287"/>
    </row>
    <row r="205" spans="5:11">
      <c r="E205" s="287"/>
      <c r="I205" s="499"/>
      <c r="K205" s="287"/>
    </row>
    <row r="206" spans="5:11">
      <c r="E206" s="287"/>
      <c r="I206" s="499"/>
      <c r="K206" s="287"/>
    </row>
    <row r="207" spans="5:11">
      <c r="E207" s="287"/>
      <c r="I207" s="499"/>
      <c r="K207" s="287"/>
    </row>
    <row r="208" spans="5:11">
      <c r="E208" s="287"/>
      <c r="I208" s="499"/>
      <c r="K208" s="287"/>
    </row>
    <row r="209" spans="5:11">
      <c r="E209" s="287"/>
      <c r="I209" s="499"/>
      <c r="K209" s="287"/>
    </row>
    <row r="210" spans="5:11">
      <c r="E210" s="287"/>
      <c r="I210" s="499"/>
      <c r="K210" s="287"/>
    </row>
    <row r="211" spans="5:11">
      <c r="E211" s="287"/>
      <c r="I211" s="499"/>
      <c r="K211" s="287"/>
    </row>
    <row r="212" spans="5:11">
      <c r="E212" s="287"/>
      <c r="I212" s="499"/>
      <c r="K212" s="287"/>
    </row>
    <row r="213" spans="5:11">
      <c r="E213" s="287"/>
      <c r="I213" s="499"/>
      <c r="K213" s="287"/>
    </row>
    <row r="214" spans="5:11">
      <c r="E214" s="287"/>
      <c r="I214" s="499"/>
      <c r="K214" s="287"/>
    </row>
    <row r="215" spans="5:11">
      <c r="E215" s="287"/>
      <c r="I215" s="499"/>
      <c r="K215" s="287"/>
    </row>
    <row r="216" spans="5:11">
      <c r="E216" s="287"/>
      <c r="I216" s="499"/>
      <c r="K216" s="287"/>
    </row>
    <row r="217" spans="5:11">
      <c r="E217" s="287"/>
      <c r="I217" s="499"/>
      <c r="K217" s="287"/>
    </row>
    <row r="218" spans="5:11">
      <c r="E218" s="287"/>
      <c r="I218" s="499"/>
      <c r="K218" s="287"/>
    </row>
    <row r="219" spans="5:11">
      <c r="E219" s="287"/>
      <c r="I219" s="499"/>
      <c r="K219" s="287"/>
    </row>
    <row r="220" spans="5:11">
      <c r="E220" s="287"/>
      <c r="I220" s="499"/>
      <c r="K220" s="287"/>
    </row>
    <row r="221" spans="5:11">
      <c r="E221" s="287"/>
      <c r="I221" s="499"/>
      <c r="K221" s="287"/>
    </row>
    <row r="222" spans="5:11">
      <c r="E222" s="287"/>
      <c r="I222" s="499"/>
      <c r="K222" s="287"/>
    </row>
    <row r="223" spans="5:11">
      <c r="E223" s="287"/>
      <c r="I223" s="499"/>
      <c r="K223" s="287"/>
    </row>
    <row r="224" spans="5:11">
      <c r="E224" s="287"/>
      <c r="I224" s="499"/>
      <c r="K224" s="287"/>
    </row>
    <row r="225" spans="5:11">
      <c r="E225" s="287"/>
      <c r="I225" s="499"/>
      <c r="K225" s="287"/>
    </row>
    <row r="226" spans="5:11">
      <c r="E226" s="287"/>
      <c r="I226" s="499"/>
      <c r="K226" s="287"/>
    </row>
    <row r="227" spans="5:11">
      <c r="E227" s="287"/>
      <c r="I227" s="499"/>
      <c r="K227" s="287"/>
    </row>
    <row r="228" spans="5:11">
      <c r="E228" s="287"/>
      <c r="I228" s="499"/>
      <c r="K228" s="287"/>
    </row>
    <row r="229" spans="5:11">
      <c r="E229" s="287"/>
      <c r="I229" s="499"/>
      <c r="K229" s="287"/>
    </row>
    <row r="230" spans="5:11">
      <c r="E230" s="287"/>
      <c r="I230" s="499"/>
      <c r="K230" s="287"/>
    </row>
    <row r="231" spans="5:11">
      <c r="E231" s="287"/>
      <c r="I231" s="499"/>
      <c r="K231" s="287"/>
    </row>
    <row r="232" spans="5:11">
      <c r="E232" s="287"/>
      <c r="I232" s="499"/>
      <c r="K232" s="287"/>
    </row>
    <row r="233" spans="5:11">
      <c r="E233" s="287"/>
      <c r="I233" s="499"/>
      <c r="K233" s="287"/>
    </row>
    <row r="234" spans="5:11">
      <c r="E234" s="287"/>
      <c r="I234" s="499"/>
      <c r="K234" s="287"/>
    </row>
    <row r="235" spans="5:11">
      <c r="E235" s="287"/>
      <c r="I235" s="499"/>
      <c r="K235" s="287"/>
    </row>
    <row r="236" spans="5:11">
      <c r="E236" s="287"/>
      <c r="I236" s="499"/>
      <c r="K236" s="287"/>
    </row>
    <row r="237" spans="5:11">
      <c r="E237" s="287"/>
      <c r="I237" s="499"/>
      <c r="K237" s="287"/>
    </row>
    <row r="238" spans="5:11">
      <c r="E238" s="287"/>
      <c r="I238" s="499"/>
      <c r="K238" s="287"/>
    </row>
    <row r="239" spans="5:11">
      <c r="E239" s="287"/>
      <c r="I239" s="499"/>
      <c r="K239" s="287"/>
    </row>
    <row r="240" spans="5:11">
      <c r="E240" s="287"/>
      <c r="I240" s="499"/>
      <c r="K240" s="287"/>
    </row>
    <row r="241" spans="5:11">
      <c r="E241" s="287"/>
      <c r="I241" s="499"/>
      <c r="K241" s="287"/>
    </row>
    <row r="242" spans="5:11">
      <c r="E242" s="287"/>
      <c r="I242" s="499"/>
      <c r="K242" s="287"/>
    </row>
    <row r="243" spans="5:11">
      <c r="E243" s="287"/>
      <c r="I243" s="499"/>
      <c r="K243" s="287"/>
    </row>
    <row r="244" spans="5:11">
      <c r="E244" s="287"/>
      <c r="I244" s="499"/>
      <c r="K244" s="287"/>
    </row>
    <row r="245" spans="5:11">
      <c r="E245" s="287"/>
      <c r="I245" s="499"/>
      <c r="K245" s="287"/>
    </row>
    <row r="246" spans="5:11">
      <c r="E246" s="287"/>
      <c r="I246" s="499"/>
      <c r="K246" s="287"/>
    </row>
    <row r="247" spans="5:11">
      <c r="E247" s="287"/>
      <c r="I247" s="499"/>
      <c r="K247" s="287"/>
    </row>
    <row r="248" spans="5:11">
      <c r="E248" s="287"/>
      <c r="I248" s="499"/>
      <c r="K248" s="287"/>
    </row>
    <row r="249" spans="5:11">
      <c r="E249" s="287"/>
      <c r="I249" s="499"/>
      <c r="K249" s="287"/>
    </row>
    <row r="250" spans="5:11">
      <c r="E250" s="287"/>
      <c r="I250" s="499"/>
      <c r="K250" s="287"/>
    </row>
    <row r="251" spans="5:11">
      <c r="E251" s="287"/>
      <c r="I251" s="499"/>
      <c r="K251" s="287"/>
    </row>
    <row r="252" spans="5:11">
      <c r="E252" s="287"/>
      <c r="I252" s="499"/>
      <c r="K252" s="287"/>
    </row>
    <row r="253" spans="5:11">
      <c r="E253" s="287"/>
      <c r="I253" s="499"/>
      <c r="K253" s="287"/>
    </row>
    <row r="254" spans="5:11">
      <c r="E254" s="287"/>
      <c r="I254" s="499"/>
      <c r="K254" s="287"/>
    </row>
    <row r="255" spans="5:11">
      <c r="E255" s="287"/>
      <c r="I255" s="499"/>
      <c r="K255" s="287"/>
    </row>
    <row r="256" spans="5:11">
      <c r="E256" s="287"/>
      <c r="I256" s="499"/>
      <c r="K256" s="287"/>
    </row>
    <row r="257" spans="5:11">
      <c r="E257" s="287"/>
      <c r="I257" s="499"/>
      <c r="K257" s="287"/>
    </row>
    <row r="258" spans="5:11">
      <c r="E258" s="287"/>
      <c r="I258" s="499"/>
      <c r="K258" s="287"/>
    </row>
    <row r="259" spans="5:11">
      <c r="E259" s="287"/>
      <c r="I259" s="499"/>
      <c r="K259" s="287"/>
    </row>
    <row r="260" spans="5:11">
      <c r="E260" s="287"/>
      <c r="I260" s="499"/>
      <c r="K260" s="287"/>
    </row>
    <row r="261" spans="5:11">
      <c r="E261" s="287"/>
      <c r="I261" s="499"/>
      <c r="K261" s="287"/>
    </row>
    <row r="262" spans="5:11">
      <c r="E262" s="287"/>
      <c r="I262" s="499"/>
      <c r="K262" s="287"/>
    </row>
    <row r="263" spans="5:11">
      <c r="E263" s="287"/>
      <c r="I263" s="499"/>
      <c r="K263" s="287"/>
    </row>
    <row r="264" spans="5:11">
      <c r="E264" s="287"/>
      <c r="I264" s="499"/>
      <c r="K264" s="287"/>
    </row>
    <row r="265" spans="5:11">
      <c r="E265" s="287"/>
      <c r="I265" s="499"/>
      <c r="K265" s="287"/>
    </row>
    <row r="266" spans="5:11">
      <c r="E266" s="287"/>
      <c r="I266" s="499"/>
      <c r="K266" s="287"/>
    </row>
    <row r="267" spans="5:11">
      <c r="E267" s="287"/>
      <c r="I267" s="499"/>
      <c r="K267" s="287"/>
    </row>
    <row r="268" spans="5:11">
      <c r="E268" s="287"/>
      <c r="I268" s="499"/>
      <c r="K268" s="287"/>
    </row>
    <row r="269" spans="5:11">
      <c r="E269" s="287"/>
      <c r="I269" s="499"/>
      <c r="K269" s="287"/>
    </row>
    <row r="270" spans="5:11">
      <c r="E270" s="287"/>
      <c r="I270" s="499"/>
      <c r="K270" s="287"/>
    </row>
    <row r="271" spans="5:11">
      <c r="E271" s="287"/>
      <c r="I271" s="499"/>
      <c r="K271" s="287"/>
    </row>
    <row r="272" spans="5:11">
      <c r="E272" s="287"/>
      <c r="I272" s="499"/>
      <c r="K272" s="287"/>
    </row>
    <row r="273" spans="5:11">
      <c r="E273" s="287"/>
      <c r="I273" s="499"/>
      <c r="K273" s="287"/>
    </row>
    <row r="274" spans="5:11">
      <c r="E274" s="287"/>
      <c r="I274" s="499"/>
      <c r="K274" s="287"/>
    </row>
    <row r="275" spans="5:11">
      <c r="E275" s="287"/>
      <c r="I275" s="499"/>
      <c r="K275" s="287"/>
    </row>
    <row r="276" spans="5:11">
      <c r="E276" s="287"/>
      <c r="I276" s="499"/>
      <c r="K276" s="287"/>
    </row>
    <row r="277" spans="5:11">
      <c r="E277" s="287"/>
      <c r="I277" s="499"/>
      <c r="K277" s="287"/>
    </row>
    <row r="278" spans="5:11">
      <c r="E278" s="287"/>
      <c r="I278" s="499"/>
      <c r="K278" s="287"/>
    </row>
    <row r="279" spans="5:11">
      <c r="E279" s="287"/>
      <c r="I279" s="499"/>
      <c r="K279" s="287"/>
    </row>
    <row r="280" spans="5:11">
      <c r="E280" s="287"/>
      <c r="I280" s="499"/>
      <c r="K280" s="287"/>
    </row>
    <row r="281" spans="5:11">
      <c r="E281" s="287"/>
      <c r="I281" s="499"/>
      <c r="K281" s="287"/>
    </row>
    <row r="282" spans="5:11">
      <c r="E282" s="287"/>
      <c r="I282" s="499"/>
      <c r="K282" s="287"/>
    </row>
    <row r="283" spans="5:11">
      <c r="E283" s="287"/>
      <c r="I283" s="499"/>
      <c r="K283" s="287"/>
    </row>
    <row r="284" spans="5:11">
      <c r="E284" s="287"/>
      <c r="I284" s="499"/>
      <c r="K284" s="287"/>
    </row>
    <row r="285" spans="5:11">
      <c r="E285" s="287"/>
      <c r="I285" s="499"/>
      <c r="K285" s="287"/>
    </row>
    <row r="286" spans="5:11">
      <c r="E286" s="287"/>
      <c r="I286" s="499"/>
      <c r="K286" s="287"/>
    </row>
    <row r="287" spans="5:11">
      <c r="E287" s="287"/>
      <c r="I287" s="499"/>
      <c r="K287" s="287"/>
    </row>
    <row r="288" spans="5:11">
      <c r="E288" s="287"/>
      <c r="I288" s="499"/>
      <c r="K288" s="287"/>
    </row>
    <row r="289" spans="5:11">
      <c r="E289" s="287"/>
      <c r="I289" s="499"/>
      <c r="K289" s="287"/>
    </row>
    <row r="290" spans="5:11">
      <c r="E290" s="287"/>
      <c r="I290" s="499"/>
      <c r="K290" s="287"/>
    </row>
    <row r="291" spans="5:11">
      <c r="E291" s="287"/>
      <c r="I291" s="499"/>
      <c r="K291" s="287"/>
    </row>
    <row r="292" spans="5:11">
      <c r="E292" s="287"/>
      <c r="I292" s="499"/>
      <c r="K292" s="287"/>
    </row>
    <row r="293" spans="5:11">
      <c r="E293" s="287"/>
      <c r="I293" s="499"/>
      <c r="K293" s="287"/>
    </row>
    <row r="294" spans="5:11">
      <c r="E294" s="287"/>
      <c r="I294" s="499"/>
      <c r="K294" s="287"/>
    </row>
    <row r="295" spans="5:11">
      <c r="E295" s="287"/>
      <c r="I295" s="499"/>
      <c r="K295" s="287"/>
    </row>
    <row r="296" spans="5:11">
      <c r="E296" s="287"/>
      <c r="I296" s="499"/>
      <c r="K296" s="287"/>
    </row>
    <row r="297" spans="5:11">
      <c r="E297" s="287"/>
      <c r="I297" s="499"/>
      <c r="K297" s="287"/>
    </row>
    <row r="298" spans="5:11">
      <c r="E298" s="287"/>
      <c r="I298" s="499"/>
      <c r="K298" s="287"/>
    </row>
    <row r="299" spans="5:11">
      <c r="E299" s="287"/>
      <c r="I299" s="499"/>
      <c r="K299" s="287"/>
    </row>
    <row r="300" spans="5:11">
      <c r="E300" s="287"/>
      <c r="I300" s="499"/>
      <c r="K300" s="287"/>
    </row>
    <row r="301" spans="5:11">
      <c r="E301" s="287"/>
      <c r="I301" s="499"/>
      <c r="K301" s="287"/>
    </row>
    <row r="302" spans="5:11">
      <c r="E302" s="287"/>
      <c r="I302" s="499"/>
      <c r="K302" s="287"/>
    </row>
    <row r="303" spans="5:11">
      <c r="E303" s="287"/>
      <c r="I303" s="499"/>
      <c r="K303" s="287"/>
    </row>
    <row r="304" spans="5:11">
      <c r="E304" s="287"/>
      <c r="I304" s="499"/>
      <c r="K304" s="287"/>
    </row>
    <row r="305" spans="5:11">
      <c r="E305" s="287"/>
      <c r="I305" s="499"/>
      <c r="K305" s="287"/>
    </row>
    <row r="306" spans="5:11">
      <c r="E306" s="287"/>
      <c r="I306" s="499"/>
      <c r="K306" s="287"/>
    </row>
    <row r="307" spans="5:11">
      <c r="E307" s="287"/>
      <c r="I307" s="499"/>
      <c r="K307" s="287"/>
    </row>
    <row r="308" spans="5:11">
      <c r="E308" s="287"/>
      <c r="I308" s="499"/>
      <c r="K308" s="287"/>
    </row>
    <row r="309" spans="5:11">
      <c r="E309" s="287"/>
      <c r="I309" s="499"/>
      <c r="K309" s="287"/>
    </row>
    <row r="310" spans="5:11">
      <c r="E310" s="287"/>
      <c r="I310" s="499"/>
      <c r="K310" s="287"/>
    </row>
    <row r="311" spans="5:11">
      <c r="E311" s="287"/>
      <c r="I311" s="499"/>
      <c r="K311" s="287"/>
    </row>
    <row r="312" spans="5:11">
      <c r="E312" s="287"/>
      <c r="I312" s="499"/>
      <c r="K312" s="287"/>
    </row>
    <row r="313" spans="5:11">
      <c r="E313" s="287"/>
      <c r="I313" s="499"/>
      <c r="K313" s="287"/>
    </row>
    <row r="314" spans="5:11">
      <c r="E314" s="287"/>
      <c r="I314" s="499"/>
      <c r="K314" s="287"/>
    </row>
    <row r="315" spans="5:11">
      <c r="E315" s="287"/>
      <c r="I315" s="499"/>
      <c r="K315" s="287"/>
    </row>
    <row r="316" spans="5:11">
      <c r="E316" s="287"/>
      <c r="I316" s="499"/>
      <c r="K316" s="287"/>
    </row>
    <row r="317" spans="5:11">
      <c r="E317" s="287"/>
      <c r="I317" s="499"/>
      <c r="K317" s="287"/>
    </row>
    <row r="318" spans="5:11">
      <c r="E318" s="287"/>
      <c r="I318" s="499"/>
      <c r="K318" s="287"/>
    </row>
    <row r="319" spans="5:11">
      <c r="E319" s="287"/>
      <c r="I319" s="499"/>
      <c r="K319" s="287"/>
    </row>
    <row r="320" spans="5:11">
      <c r="E320" s="287"/>
      <c r="I320" s="499"/>
      <c r="K320" s="287"/>
    </row>
    <row r="321" spans="5:11">
      <c r="E321" s="287"/>
      <c r="I321" s="499"/>
      <c r="K321" s="287"/>
    </row>
    <row r="322" spans="5:11">
      <c r="E322" s="287"/>
      <c r="I322" s="499"/>
      <c r="K322" s="287"/>
    </row>
    <row r="323" spans="5:11">
      <c r="E323" s="287"/>
      <c r="I323" s="499"/>
      <c r="K323" s="287"/>
    </row>
    <row r="324" spans="5:11">
      <c r="E324" s="287"/>
      <c r="I324" s="499"/>
      <c r="K324" s="287"/>
    </row>
    <row r="325" spans="5:11">
      <c r="E325" s="287"/>
      <c r="I325" s="499"/>
      <c r="K325" s="287"/>
    </row>
    <row r="326" spans="5:11">
      <c r="E326" s="287"/>
      <c r="I326" s="499"/>
      <c r="K326" s="287"/>
    </row>
    <row r="327" spans="5:11">
      <c r="E327" s="287"/>
      <c r="I327" s="499"/>
      <c r="K327" s="287"/>
    </row>
    <row r="328" spans="5:11">
      <c r="E328" s="287"/>
      <c r="I328" s="499"/>
      <c r="K328" s="287"/>
    </row>
    <row r="329" spans="5:11">
      <c r="E329" s="287"/>
      <c r="I329" s="499"/>
      <c r="K329" s="287"/>
    </row>
    <row r="330" spans="5:11">
      <c r="E330" s="287"/>
      <c r="I330" s="499"/>
      <c r="K330" s="287"/>
    </row>
    <row r="331" spans="5:11">
      <c r="E331" s="287"/>
      <c r="I331" s="499"/>
      <c r="K331" s="287"/>
    </row>
    <row r="332" spans="5:11">
      <c r="E332" s="287"/>
      <c r="I332" s="499"/>
      <c r="K332" s="287"/>
    </row>
    <row r="333" spans="5:11">
      <c r="E333" s="287"/>
      <c r="I333" s="499"/>
      <c r="K333" s="287"/>
    </row>
    <row r="334" spans="5:11">
      <c r="E334" s="287"/>
      <c r="I334" s="499"/>
      <c r="K334" s="287"/>
    </row>
    <row r="335" spans="5:11">
      <c r="E335" s="287"/>
      <c r="I335" s="499"/>
      <c r="K335" s="287"/>
    </row>
    <row r="336" spans="5:11">
      <c r="E336" s="287"/>
      <c r="I336" s="499"/>
      <c r="K336" s="287"/>
    </row>
    <row r="337" spans="5:11">
      <c r="E337" s="287"/>
      <c r="I337" s="499"/>
      <c r="K337" s="287"/>
    </row>
    <row r="338" spans="5:11">
      <c r="E338" s="287"/>
      <c r="I338" s="499"/>
      <c r="K338" s="287"/>
    </row>
    <row r="339" spans="5:11">
      <c r="E339" s="287"/>
      <c r="I339" s="499"/>
      <c r="K339" s="287"/>
    </row>
    <row r="340" spans="5:11">
      <c r="E340" s="287"/>
      <c r="I340" s="499"/>
      <c r="K340" s="287"/>
    </row>
    <row r="341" spans="5:11">
      <c r="E341" s="287"/>
      <c r="I341" s="499"/>
      <c r="K341" s="287"/>
    </row>
    <row r="342" spans="5:11">
      <c r="E342" s="287"/>
      <c r="I342" s="499"/>
      <c r="K342" s="287"/>
    </row>
    <row r="343" spans="5:11">
      <c r="E343" s="287"/>
      <c r="I343" s="499"/>
      <c r="K343" s="287"/>
    </row>
    <row r="344" spans="5:11">
      <c r="E344" s="287"/>
      <c r="I344" s="499"/>
      <c r="K344" s="287"/>
    </row>
    <row r="345" spans="5:11">
      <c r="E345" s="287"/>
      <c r="I345" s="499"/>
      <c r="K345" s="287"/>
    </row>
    <row r="346" spans="5:11">
      <c r="E346" s="287"/>
      <c r="I346" s="499"/>
      <c r="K346" s="287"/>
    </row>
    <row r="347" spans="5:11">
      <c r="E347" s="287"/>
      <c r="I347" s="499"/>
      <c r="K347" s="287"/>
    </row>
    <row r="348" spans="5:11">
      <c r="E348" s="287"/>
      <c r="I348" s="499"/>
      <c r="K348" s="287"/>
    </row>
    <row r="349" spans="5:11">
      <c r="E349" s="287"/>
      <c r="I349" s="499"/>
      <c r="K349" s="287"/>
    </row>
    <row r="350" spans="5:11">
      <c r="E350" s="287"/>
      <c r="I350" s="499"/>
      <c r="K350" s="287"/>
    </row>
    <row r="351" spans="5:11">
      <c r="E351" s="287"/>
      <c r="I351" s="499"/>
      <c r="K351" s="287"/>
    </row>
    <row r="352" spans="5:11">
      <c r="E352" s="287"/>
      <c r="I352" s="499"/>
      <c r="K352" s="287"/>
    </row>
    <row r="353" spans="5:11">
      <c r="E353" s="287"/>
      <c r="I353" s="499"/>
      <c r="K353" s="287"/>
    </row>
    <row r="354" spans="5:11">
      <c r="E354" s="287"/>
      <c r="I354" s="499"/>
      <c r="K354" s="287"/>
    </row>
    <row r="355" spans="5:11">
      <c r="E355" s="287"/>
      <c r="I355" s="499"/>
      <c r="K355" s="287"/>
    </row>
    <row r="356" spans="5:11">
      <c r="E356" s="287"/>
      <c r="I356" s="499"/>
      <c r="K356" s="287"/>
    </row>
    <row r="357" spans="5:11">
      <c r="E357" s="287"/>
      <c r="I357" s="499"/>
      <c r="K357" s="287"/>
    </row>
    <row r="358" spans="5:11">
      <c r="E358" s="287"/>
      <c r="I358" s="499"/>
      <c r="K358" s="287"/>
    </row>
    <row r="359" spans="5:11">
      <c r="E359" s="287"/>
      <c r="I359" s="499"/>
      <c r="K359" s="287"/>
    </row>
    <row r="360" spans="5:11">
      <c r="E360" s="287"/>
      <c r="I360" s="499"/>
      <c r="K360" s="287"/>
    </row>
    <row r="361" spans="5:11">
      <c r="E361" s="287"/>
      <c r="I361" s="499"/>
      <c r="K361" s="287"/>
    </row>
    <row r="362" spans="5:11">
      <c r="E362" s="287"/>
      <c r="I362" s="499"/>
      <c r="K362" s="287"/>
    </row>
    <row r="363" spans="5:11">
      <c r="E363" s="287"/>
      <c r="I363" s="499"/>
      <c r="K363" s="287"/>
    </row>
    <row r="364" spans="5:11">
      <c r="E364" s="287"/>
      <c r="I364" s="499"/>
      <c r="K364" s="287"/>
    </row>
    <row r="365" spans="5:11">
      <c r="E365" s="287"/>
      <c r="I365" s="499"/>
      <c r="K365" s="287"/>
    </row>
    <row r="366" spans="5:11">
      <c r="E366" s="287"/>
      <c r="I366" s="499"/>
      <c r="K366" s="287"/>
    </row>
    <row r="367" spans="5:11">
      <c r="E367" s="287"/>
      <c r="I367" s="499"/>
      <c r="K367" s="287"/>
    </row>
    <row r="368" spans="5:11">
      <c r="E368" s="287"/>
      <c r="I368" s="499"/>
      <c r="K368" s="287"/>
    </row>
    <row r="369" spans="5:11">
      <c r="E369" s="287"/>
      <c r="I369" s="499"/>
      <c r="K369" s="287"/>
    </row>
    <row r="370" spans="5:11">
      <c r="E370" s="287"/>
      <c r="I370" s="499"/>
      <c r="K370" s="287"/>
    </row>
    <row r="371" spans="5:11">
      <c r="E371" s="287"/>
      <c r="I371" s="499"/>
      <c r="K371" s="287"/>
    </row>
    <row r="372" spans="5:11">
      <c r="E372" s="287"/>
      <c r="I372" s="499"/>
      <c r="K372" s="287"/>
    </row>
    <row r="373" spans="5:11">
      <c r="E373" s="287"/>
      <c r="I373" s="499"/>
      <c r="K373" s="287"/>
    </row>
    <row r="374" spans="5:11">
      <c r="E374" s="287"/>
      <c r="I374" s="499"/>
      <c r="K374" s="287"/>
    </row>
    <row r="375" spans="5:11">
      <c r="E375" s="287"/>
      <c r="I375" s="499"/>
      <c r="K375" s="287"/>
    </row>
    <row r="376" spans="5:11">
      <c r="E376" s="287"/>
      <c r="I376" s="499"/>
      <c r="K376" s="287"/>
    </row>
    <row r="377" spans="5:11">
      <c r="E377" s="287"/>
      <c r="I377" s="499"/>
      <c r="K377" s="287"/>
    </row>
    <row r="378" spans="5:11">
      <c r="E378" s="287"/>
      <c r="I378" s="499"/>
      <c r="K378" s="287"/>
    </row>
    <row r="379" spans="5:11">
      <c r="E379" s="287"/>
      <c r="I379" s="499"/>
      <c r="K379" s="287"/>
    </row>
    <row r="380" spans="5:11">
      <c r="E380" s="287"/>
      <c r="I380" s="499"/>
      <c r="K380" s="287"/>
    </row>
    <row r="381" spans="5:11">
      <c r="E381" s="287"/>
      <c r="I381" s="499"/>
      <c r="K381" s="287"/>
    </row>
    <row r="382" spans="5:11">
      <c r="E382" s="287"/>
      <c r="I382" s="499"/>
      <c r="K382" s="287"/>
    </row>
    <row r="383" spans="5:11">
      <c r="E383" s="287"/>
      <c r="I383" s="499"/>
      <c r="K383" s="287"/>
    </row>
    <row r="384" spans="5:11">
      <c r="E384" s="287"/>
      <c r="I384" s="499"/>
      <c r="K384" s="287"/>
    </row>
    <row r="385" spans="5:11">
      <c r="E385" s="287"/>
      <c r="I385" s="499"/>
      <c r="K385" s="287"/>
    </row>
    <row r="386" spans="5:11">
      <c r="E386" s="287"/>
      <c r="I386" s="499"/>
      <c r="K386" s="287"/>
    </row>
    <row r="387" spans="5:11">
      <c r="E387" s="287"/>
      <c r="I387" s="499"/>
      <c r="K387" s="287"/>
    </row>
    <row r="388" spans="5:11">
      <c r="E388" s="287"/>
      <c r="I388" s="499"/>
      <c r="K388" s="287"/>
    </row>
    <row r="389" spans="5:11">
      <c r="E389" s="287"/>
      <c r="I389" s="499"/>
      <c r="K389" s="287"/>
    </row>
    <row r="390" spans="5:11">
      <c r="E390" s="287"/>
      <c r="I390" s="499"/>
      <c r="K390" s="287"/>
    </row>
    <row r="391" spans="5:11">
      <c r="E391" s="287"/>
      <c r="I391" s="499"/>
      <c r="K391" s="287"/>
    </row>
    <row r="392" spans="5:11">
      <c r="E392" s="287"/>
      <c r="I392" s="499"/>
      <c r="K392" s="287"/>
    </row>
    <row r="393" spans="5:11">
      <c r="E393" s="287"/>
      <c r="I393" s="499"/>
      <c r="K393" s="287"/>
    </row>
    <row r="394" spans="5:11">
      <c r="E394" s="287"/>
      <c r="I394" s="499"/>
      <c r="K394" s="287"/>
    </row>
    <row r="395" spans="5:11">
      <c r="E395" s="287"/>
      <c r="I395" s="499"/>
      <c r="K395" s="287"/>
    </row>
    <row r="396" spans="5:11">
      <c r="E396" s="287"/>
      <c r="I396" s="499"/>
      <c r="K396" s="287"/>
    </row>
    <row r="397" spans="5:11">
      <c r="E397" s="287"/>
      <c r="I397" s="499"/>
      <c r="K397" s="287"/>
    </row>
    <row r="398" spans="5:11">
      <c r="E398" s="287"/>
      <c r="I398" s="499"/>
      <c r="K398" s="287"/>
    </row>
    <row r="399" spans="5:11">
      <c r="E399" s="287"/>
      <c r="I399" s="499"/>
      <c r="K399" s="287"/>
    </row>
    <row r="400" spans="5:11">
      <c r="E400" s="287"/>
      <c r="I400" s="499"/>
      <c r="K400" s="287"/>
    </row>
    <row r="401" spans="5:11">
      <c r="E401" s="287"/>
      <c r="I401" s="499"/>
      <c r="K401" s="287"/>
    </row>
    <row r="402" spans="5:11">
      <c r="E402" s="287"/>
      <c r="I402" s="499"/>
      <c r="K402" s="287"/>
    </row>
    <row r="403" spans="5:11">
      <c r="E403" s="287"/>
      <c r="I403" s="499"/>
      <c r="K403" s="287"/>
    </row>
    <row r="404" spans="5:11">
      <c r="E404" s="287"/>
      <c r="I404" s="499"/>
      <c r="K404" s="287"/>
    </row>
    <row r="405" spans="5:11">
      <c r="E405" s="287"/>
      <c r="I405" s="499"/>
      <c r="K405" s="287"/>
    </row>
    <row r="406" spans="5:11">
      <c r="E406" s="287"/>
      <c r="I406" s="499"/>
      <c r="K406" s="287"/>
    </row>
    <row r="407" spans="5:11">
      <c r="E407" s="287"/>
      <c r="I407" s="499"/>
      <c r="K407" s="287"/>
    </row>
    <row r="408" spans="5:11">
      <c r="E408" s="287"/>
      <c r="I408" s="499"/>
      <c r="K408" s="287"/>
    </row>
    <row r="409" spans="5:11">
      <c r="E409" s="287"/>
      <c r="I409" s="499"/>
      <c r="K409" s="287"/>
    </row>
    <row r="410" spans="5:11">
      <c r="E410" s="287"/>
      <c r="I410" s="499"/>
      <c r="K410" s="287"/>
    </row>
    <row r="411" spans="5:11">
      <c r="E411" s="287"/>
      <c r="I411" s="499"/>
      <c r="K411" s="287"/>
    </row>
    <row r="412" spans="5:11">
      <c r="E412" s="287"/>
      <c r="I412" s="499"/>
      <c r="K412" s="287"/>
    </row>
    <row r="413" spans="5:11">
      <c r="E413" s="287"/>
      <c r="I413" s="499"/>
      <c r="K413" s="287"/>
    </row>
    <row r="414" spans="5:11">
      <c r="E414" s="287"/>
      <c r="I414" s="499"/>
      <c r="K414" s="287"/>
    </row>
    <row r="415" spans="5:11">
      <c r="E415" s="287"/>
      <c r="I415" s="499"/>
      <c r="K415" s="287"/>
    </row>
    <row r="416" spans="5:11">
      <c r="E416" s="287"/>
      <c r="I416" s="499"/>
      <c r="K416" s="287"/>
    </row>
    <row r="417" spans="5:11">
      <c r="E417" s="287"/>
      <c r="I417" s="499"/>
      <c r="K417" s="287"/>
    </row>
    <row r="418" spans="5:11">
      <c r="E418" s="287"/>
      <c r="I418" s="499"/>
      <c r="K418" s="287"/>
    </row>
    <row r="419" spans="5:11">
      <c r="E419" s="287"/>
      <c r="I419" s="499"/>
      <c r="K419" s="287"/>
    </row>
    <row r="420" spans="5:11">
      <c r="E420" s="287"/>
      <c r="I420" s="499"/>
      <c r="K420" s="287"/>
    </row>
    <row r="421" spans="5:11">
      <c r="E421" s="287"/>
      <c r="I421" s="499"/>
      <c r="K421" s="287"/>
    </row>
    <row r="422" spans="5:11">
      <c r="E422" s="287"/>
      <c r="I422" s="499"/>
      <c r="K422" s="287"/>
    </row>
    <row r="423" spans="5:11">
      <c r="E423" s="287"/>
      <c r="I423" s="499"/>
      <c r="K423" s="287"/>
    </row>
    <row r="424" spans="5:11">
      <c r="E424" s="287"/>
      <c r="I424" s="499"/>
      <c r="K424" s="287"/>
    </row>
    <row r="425" spans="5:11">
      <c r="E425" s="287"/>
      <c r="I425" s="499"/>
      <c r="K425" s="287"/>
    </row>
    <row r="426" spans="5:11">
      <c r="E426" s="287"/>
      <c r="I426" s="499"/>
      <c r="K426" s="287"/>
    </row>
    <row r="427" spans="5:11">
      <c r="E427" s="287"/>
      <c r="I427" s="499"/>
      <c r="K427" s="287"/>
    </row>
    <row r="428" spans="5:11">
      <c r="E428" s="287"/>
      <c r="I428" s="499"/>
      <c r="K428" s="287"/>
    </row>
    <row r="429" spans="5:11">
      <c r="E429" s="287"/>
      <c r="I429" s="499"/>
      <c r="K429" s="287"/>
    </row>
    <row r="430" spans="5:11">
      <c r="E430" s="287"/>
      <c r="I430" s="499"/>
      <c r="K430" s="287"/>
    </row>
    <row r="431" spans="5:11">
      <c r="E431" s="287"/>
      <c r="I431" s="499"/>
      <c r="K431" s="287"/>
    </row>
    <row r="432" spans="5:11">
      <c r="E432" s="287"/>
      <c r="I432" s="499"/>
      <c r="K432" s="287"/>
    </row>
    <row r="433" spans="5:11">
      <c r="E433" s="287"/>
      <c r="I433" s="499"/>
      <c r="K433" s="287"/>
    </row>
    <row r="434" spans="5:11">
      <c r="E434" s="287"/>
      <c r="I434" s="499"/>
      <c r="K434" s="287"/>
    </row>
    <row r="435" spans="5:11">
      <c r="E435" s="287"/>
      <c r="I435" s="499"/>
      <c r="K435" s="287"/>
    </row>
    <row r="436" spans="5:11">
      <c r="E436" s="287"/>
      <c r="I436" s="499"/>
      <c r="K436" s="287"/>
    </row>
    <row r="437" spans="5:11">
      <c r="E437" s="287"/>
      <c r="I437" s="499"/>
      <c r="K437" s="287"/>
    </row>
    <row r="438" spans="5:11">
      <c r="E438" s="287"/>
      <c r="I438" s="499"/>
      <c r="K438" s="287"/>
    </row>
    <row r="439" spans="5:11">
      <c r="E439" s="287"/>
      <c r="I439" s="499"/>
      <c r="K439" s="287"/>
    </row>
    <row r="440" spans="5:11">
      <c r="E440" s="287"/>
      <c r="I440" s="499"/>
      <c r="K440" s="287"/>
    </row>
    <row r="441" spans="5:11">
      <c r="E441" s="287"/>
      <c r="I441" s="499"/>
      <c r="K441" s="287"/>
    </row>
    <row r="442" spans="5:11">
      <c r="E442" s="287"/>
      <c r="I442" s="499"/>
      <c r="K442" s="287"/>
    </row>
    <row r="443" spans="5:11">
      <c r="E443" s="287"/>
      <c r="I443" s="499"/>
      <c r="K443" s="287"/>
    </row>
    <row r="444" spans="5:11">
      <c r="E444" s="287"/>
      <c r="I444" s="499"/>
      <c r="K444" s="287"/>
    </row>
    <row r="445" spans="5:11">
      <c r="E445" s="287"/>
      <c r="I445" s="499"/>
      <c r="K445" s="287"/>
    </row>
    <row r="446" spans="5:11">
      <c r="E446" s="287"/>
      <c r="I446" s="499"/>
      <c r="K446" s="287"/>
    </row>
    <row r="447" spans="5:11">
      <c r="E447" s="287"/>
      <c r="I447" s="499"/>
      <c r="K447" s="287"/>
    </row>
    <row r="448" spans="5:11">
      <c r="E448" s="287"/>
      <c r="I448" s="499"/>
      <c r="K448" s="287"/>
    </row>
    <row r="449" spans="5:11">
      <c r="E449" s="287"/>
      <c r="I449" s="499"/>
      <c r="K449" s="287"/>
    </row>
    <row r="450" spans="5:11">
      <c r="E450" s="287"/>
      <c r="I450" s="499"/>
      <c r="K450" s="287"/>
    </row>
    <row r="451" spans="5:11">
      <c r="E451" s="287"/>
      <c r="I451" s="499"/>
      <c r="K451" s="287"/>
    </row>
    <row r="452" spans="5:11">
      <c r="E452" s="287"/>
      <c r="I452" s="499"/>
      <c r="K452" s="287"/>
    </row>
    <row r="453" spans="5:11">
      <c r="E453" s="287"/>
      <c r="I453" s="499"/>
      <c r="K453" s="287"/>
    </row>
    <row r="454" spans="5:11">
      <c r="E454" s="287"/>
      <c r="I454" s="499"/>
      <c r="K454" s="287"/>
    </row>
    <row r="455" spans="5:11">
      <c r="E455" s="287"/>
      <c r="I455" s="499"/>
      <c r="K455" s="287"/>
    </row>
    <row r="456" spans="5:11">
      <c r="E456" s="287"/>
      <c r="I456" s="499"/>
      <c r="K456" s="287"/>
    </row>
    <row r="457" spans="5:11">
      <c r="E457" s="287"/>
      <c r="I457" s="499"/>
      <c r="K457" s="287"/>
    </row>
    <row r="458" spans="5:11">
      <c r="E458" s="287"/>
      <c r="I458" s="499"/>
      <c r="K458" s="287"/>
    </row>
    <row r="459" spans="5:11">
      <c r="E459" s="287"/>
      <c r="I459" s="499"/>
      <c r="K459" s="287"/>
    </row>
    <row r="460" spans="5:11">
      <c r="E460" s="287"/>
      <c r="I460" s="499"/>
      <c r="K460" s="287"/>
    </row>
    <row r="461" spans="5:11">
      <c r="E461" s="287"/>
      <c r="I461" s="499"/>
      <c r="K461" s="287"/>
    </row>
    <row r="462" spans="5:11">
      <c r="E462" s="287"/>
      <c r="I462" s="499"/>
      <c r="K462" s="287"/>
    </row>
    <row r="463" spans="5:11">
      <c r="E463" s="287"/>
      <c r="I463" s="499"/>
      <c r="K463" s="287"/>
    </row>
    <row r="464" spans="5:11">
      <c r="E464" s="287"/>
      <c r="I464" s="499"/>
      <c r="K464" s="287"/>
    </row>
    <row r="465" spans="5:11">
      <c r="E465" s="287"/>
      <c r="I465" s="499"/>
      <c r="K465" s="287"/>
    </row>
    <row r="466" spans="5:11">
      <c r="E466" s="287"/>
      <c r="I466" s="499"/>
      <c r="K466" s="287"/>
    </row>
    <row r="467" spans="5:11">
      <c r="E467" s="287"/>
      <c r="I467" s="499"/>
      <c r="K467" s="287"/>
    </row>
    <row r="468" spans="5:11">
      <c r="E468" s="287"/>
      <c r="I468" s="499"/>
      <c r="K468" s="287"/>
    </row>
    <row r="469" spans="5:11">
      <c r="E469" s="287"/>
      <c r="I469" s="499"/>
      <c r="K469" s="287"/>
    </row>
    <row r="470" spans="5:11">
      <c r="E470" s="287"/>
      <c r="I470" s="499"/>
      <c r="K470" s="287"/>
    </row>
    <row r="471" spans="5:11">
      <c r="E471" s="287"/>
      <c r="I471" s="499"/>
      <c r="K471" s="287"/>
    </row>
    <row r="472" spans="5:11">
      <c r="E472" s="287"/>
      <c r="I472" s="499"/>
      <c r="K472" s="287"/>
    </row>
    <row r="473" spans="5:11">
      <c r="E473" s="287"/>
      <c r="I473" s="499"/>
      <c r="K473" s="287"/>
    </row>
    <row r="474" spans="5:11">
      <c r="E474" s="287"/>
      <c r="I474" s="499"/>
      <c r="K474" s="287"/>
    </row>
    <row r="475" spans="5:11">
      <c r="E475" s="287"/>
      <c r="I475" s="499"/>
      <c r="K475" s="287"/>
    </row>
    <row r="476" spans="5:11">
      <c r="E476" s="287"/>
      <c r="I476" s="499"/>
      <c r="K476" s="287"/>
    </row>
    <row r="477" spans="5:11">
      <c r="E477" s="287"/>
      <c r="I477" s="499"/>
      <c r="K477" s="287"/>
    </row>
    <row r="478" spans="5:11">
      <c r="E478" s="287"/>
      <c r="I478" s="499"/>
      <c r="K478" s="287"/>
    </row>
    <row r="479" spans="5:11">
      <c r="E479" s="287"/>
      <c r="I479" s="499"/>
      <c r="K479" s="287"/>
    </row>
    <row r="480" spans="5:11">
      <c r="E480" s="287"/>
      <c r="I480" s="499"/>
      <c r="K480" s="287"/>
    </row>
    <row r="481" spans="5:11">
      <c r="E481" s="287"/>
      <c r="I481" s="499"/>
      <c r="K481" s="287"/>
    </row>
    <row r="482" spans="5:11">
      <c r="E482" s="287"/>
      <c r="I482" s="499"/>
      <c r="K482" s="287"/>
    </row>
    <row r="483" spans="5:11">
      <c r="E483" s="287"/>
      <c r="I483" s="499"/>
      <c r="K483" s="287"/>
    </row>
    <row r="484" spans="5:11">
      <c r="E484" s="287"/>
      <c r="I484" s="499"/>
      <c r="K484" s="287"/>
    </row>
    <row r="485" spans="5:11">
      <c r="E485" s="287"/>
      <c r="I485" s="499"/>
      <c r="K485" s="287"/>
    </row>
    <row r="486" spans="5:11">
      <c r="E486" s="287"/>
      <c r="I486" s="499"/>
      <c r="K486" s="287"/>
    </row>
    <row r="487" spans="5:11">
      <c r="E487" s="287"/>
      <c r="I487" s="499"/>
      <c r="K487" s="287"/>
    </row>
    <row r="488" spans="5:11">
      <c r="E488" s="287"/>
      <c r="I488" s="499"/>
      <c r="K488" s="287"/>
    </row>
    <row r="489" spans="5:11">
      <c r="E489" s="287"/>
      <c r="I489" s="499"/>
      <c r="K489" s="287"/>
    </row>
    <row r="490" spans="5:11">
      <c r="E490" s="287"/>
      <c r="I490" s="499"/>
      <c r="K490" s="287"/>
    </row>
    <row r="491" spans="5:11">
      <c r="E491" s="287"/>
      <c r="I491" s="499"/>
      <c r="K491" s="287"/>
    </row>
    <row r="492" spans="5:11">
      <c r="E492" s="287"/>
      <c r="I492" s="499"/>
      <c r="K492" s="287"/>
    </row>
    <row r="493" spans="5:11">
      <c r="E493" s="287"/>
      <c r="I493" s="499"/>
      <c r="K493" s="287"/>
    </row>
    <row r="494" spans="5:11">
      <c r="E494" s="287"/>
      <c r="I494" s="499"/>
      <c r="K494" s="287"/>
    </row>
    <row r="495" spans="5:11">
      <c r="E495" s="287"/>
      <c r="I495" s="499"/>
      <c r="K495" s="287"/>
    </row>
    <row r="496" spans="5:11">
      <c r="E496" s="287"/>
      <c r="I496" s="499"/>
      <c r="K496" s="287"/>
    </row>
    <row r="497" spans="5:11">
      <c r="E497" s="287"/>
      <c r="I497" s="499"/>
      <c r="K497" s="287"/>
    </row>
    <row r="498" spans="5:11">
      <c r="E498" s="287"/>
      <c r="I498" s="499"/>
      <c r="K498" s="287"/>
    </row>
    <row r="499" spans="5:11">
      <c r="E499" s="287"/>
      <c r="I499" s="499"/>
      <c r="K499" s="287"/>
    </row>
    <row r="500" spans="5:11">
      <c r="E500" s="287"/>
      <c r="I500" s="499"/>
      <c r="K500" s="287"/>
    </row>
    <row r="501" spans="5:11">
      <c r="E501" s="287"/>
      <c r="I501" s="499"/>
      <c r="K501" s="287"/>
    </row>
    <row r="502" spans="5:11">
      <c r="E502" s="287"/>
      <c r="I502" s="499"/>
      <c r="K502" s="287"/>
    </row>
    <row r="503" spans="5:11">
      <c r="E503" s="287"/>
      <c r="I503" s="499"/>
      <c r="K503" s="287"/>
    </row>
    <row r="504" spans="5:11">
      <c r="E504" s="287"/>
      <c r="I504" s="499"/>
      <c r="K504" s="287"/>
    </row>
    <row r="505" spans="5:11">
      <c r="E505" s="287"/>
      <c r="I505" s="499"/>
      <c r="K505" s="287"/>
    </row>
    <row r="506" spans="5:11">
      <c r="E506" s="287"/>
      <c r="I506" s="499"/>
      <c r="K506" s="287"/>
    </row>
    <row r="507" spans="5:11">
      <c r="E507" s="287"/>
      <c r="I507" s="499"/>
      <c r="K507" s="287"/>
    </row>
    <row r="508" spans="5:11">
      <c r="E508" s="287"/>
      <c r="I508" s="499"/>
      <c r="K508" s="287"/>
    </row>
    <row r="509" spans="5:11">
      <c r="E509" s="287"/>
      <c r="I509" s="499"/>
      <c r="K509" s="287"/>
    </row>
    <row r="510" spans="5:11">
      <c r="E510" s="287"/>
      <c r="I510" s="499"/>
      <c r="K510" s="287"/>
    </row>
    <row r="511" spans="5:11">
      <c r="E511" s="287"/>
      <c r="I511" s="499"/>
      <c r="K511" s="287"/>
    </row>
    <row r="512" spans="5:11">
      <c r="E512" s="287"/>
      <c r="I512" s="499"/>
      <c r="K512" s="287"/>
    </row>
    <row r="513" spans="5:11">
      <c r="E513" s="287"/>
      <c r="I513" s="499"/>
      <c r="K513" s="287"/>
    </row>
    <row r="514" spans="5:11">
      <c r="E514" s="287"/>
      <c r="I514" s="499"/>
      <c r="K514" s="287"/>
    </row>
    <row r="515" spans="5:11">
      <c r="E515" s="287"/>
      <c r="I515" s="499"/>
      <c r="K515" s="287"/>
    </row>
    <row r="516" spans="5:11">
      <c r="E516" s="287"/>
      <c r="I516" s="499"/>
      <c r="K516" s="287"/>
    </row>
    <row r="517" spans="5:11">
      <c r="E517" s="287"/>
      <c r="I517" s="499"/>
      <c r="K517" s="287"/>
    </row>
    <row r="518" spans="5:11">
      <c r="E518" s="287"/>
      <c r="I518" s="499"/>
      <c r="K518" s="287"/>
    </row>
    <row r="519" spans="5:11">
      <c r="E519" s="287"/>
      <c r="I519" s="499"/>
      <c r="K519" s="287"/>
    </row>
    <row r="520" spans="5:11">
      <c r="E520" s="287"/>
      <c r="I520" s="499"/>
      <c r="K520" s="287"/>
    </row>
    <row r="521" spans="5:11">
      <c r="E521" s="287"/>
      <c r="I521" s="499"/>
      <c r="K521" s="287"/>
    </row>
    <row r="522" spans="5:11">
      <c r="E522" s="287"/>
      <c r="I522" s="499"/>
      <c r="K522" s="287"/>
    </row>
    <row r="523" spans="5:11">
      <c r="E523" s="287"/>
      <c r="I523" s="499"/>
      <c r="K523" s="287"/>
    </row>
    <row r="524" spans="5:11">
      <c r="E524" s="287"/>
      <c r="I524" s="499"/>
      <c r="K524" s="287"/>
    </row>
    <row r="525" spans="5:11">
      <c r="E525" s="287"/>
      <c r="I525" s="499"/>
      <c r="K525" s="287"/>
    </row>
    <row r="526" spans="5:11">
      <c r="E526" s="287"/>
      <c r="I526" s="499"/>
      <c r="K526" s="287"/>
    </row>
    <row r="527" spans="5:11">
      <c r="E527" s="287"/>
      <c r="I527" s="499"/>
      <c r="K527" s="287"/>
    </row>
    <row r="528" spans="5:11">
      <c r="E528" s="287"/>
      <c r="I528" s="499"/>
      <c r="K528" s="287"/>
    </row>
    <row r="529" spans="5:11">
      <c r="E529" s="287"/>
      <c r="I529" s="499"/>
      <c r="K529" s="287"/>
    </row>
    <row r="530" spans="5:11">
      <c r="E530" s="287"/>
      <c r="I530" s="499"/>
      <c r="K530" s="287"/>
    </row>
    <row r="531" spans="5:11">
      <c r="E531" s="287"/>
      <c r="I531" s="499"/>
      <c r="K531" s="287"/>
    </row>
    <row r="532" spans="5:11">
      <c r="E532" s="287"/>
      <c r="I532" s="499"/>
      <c r="K532" s="287"/>
    </row>
    <row r="533" spans="5:11">
      <c r="E533" s="287"/>
      <c r="I533" s="499"/>
      <c r="K533" s="287"/>
    </row>
    <row r="534" spans="5:11">
      <c r="E534" s="287"/>
      <c r="I534" s="499"/>
      <c r="K534" s="287"/>
    </row>
    <row r="535" spans="5:11">
      <c r="E535" s="287"/>
      <c r="I535" s="499"/>
      <c r="K535" s="287"/>
    </row>
    <row r="536" spans="5:11">
      <c r="E536" s="287"/>
      <c r="I536" s="499"/>
      <c r="K536" s="287"/>
    </row>
    <row r="537" spans="5:11">
      <c r="E537" s="287"/>
      <c r="I537" s="499"/>
      <c r="K537" s="287"/>
    </row>
    <row r="538" spans="5:11">
      <c r="E538" s="287"/>
      <c r="I538" s="499"/>
      <c r="K538" s="287"/>
    </row>
    <row r="539" spans="5:11">
      <c r="E539" s="287"/>
      <c r="I539" s="499"/>
      <c r="K539" s="287"/>
    </row>
    <row r="540" spans="5:11">
      <c r="E540" s="287"/>
      <c r="I540" s="499"/>
      <c r="K540" s="287"/>
    </row>
    <row r="541" spans="5:11">
      <c r="E541" s="287"/>
      <c r="I541" s="499"/>
      <c r="K541" s="287"/>
    </row>
    <row r="542" spans="5:11">
      <c r="E542" s="287"/>
      <c r="I542" s="499"/>
      <c r="K542" s="287"/>
    </row>
    <row r="543" spans="5:11">
      <c r="E543" s="287"/>
      <c r="I543" s="499"/>
      <c r="K543" s="287"/>
    </row>
    <row r="544" spans="5:11">
      <c r="E544" s="287"/>
      <c r="I544" s="499"/>
      <c r="K544" s="287"/>
    </row>
    <row r="545" spans="5:11">
      <c r="E545" s="287"/>
      <c r="I545" s="499"/>
      <c r="K545" s="287"/>
    </row>
    <row r="546" spans="5:11">
      <c r="E546" s="287"/>
      <c r="I546" s="499"/>
      <c r="K546" s="287"/>
    </row>
    <row r="547" spans="5:11">
      <c r="E547" s="287"/>
      <c r="I547" s="499"/>
      <c r="K547" s="287"/>
    </row>
    <row r="548" spans="5:11">
      <c r="E548" s="287"/>
      <c r="I548" s="499"/>
      <c r="K548" s="287"/>
    </row>
    <row r="549" spans="5:11">
      <c r="E549" s="287"/>
      <c r="I549" s="499"/>
      <c r="K549" s="287"/>
    </row>
    <row r="550" spans="5:11">
      <c r="E550" s="287"/>
      <c r="I550" s="499"/>
      <c r="K550" s="287"/>
    </row>
    <row r="551" spans="5:11">
      <c r="E551" s="287"/>
      <c r="I551" s="499"/>
      <c r="K551" s="287"/>
    </row>
    <row r="552" spans="5:11">
      <c r="E552" s="287"/>
      <c r="I552" s="499"/>
      <c r="K552" s="287"/>
    </row>
    <row r="553" spans="5:11">
      <c r="E553" s="287"/>
      <c r="I553" s="499"/>
      <c r="K553" s="287"/>
    </row>
    <row r="554" spans="5:11">
      <c r="E554" s="287"/>
      <c r="I554" s="499"/>
      <c r="K554" s="287"/>
    </row>
    <row r="555" spans="5:11">
      <c r="E555" s="287"/>
      <c r="I555" s="499"/>
      <c r="K555" s="287"/>
    </row>
    <row r="556" spans="5:11">
      <c r="E556" s="287"/>
      <c r="I556" s="499"/>
      <c r="K556" s="287"/>
    </row>
    <row r="557" spans="5:11">
      <c r="E557" s="287"/>
      <c r="I557" s="499"/>
      <c r="K557" s="287"/>
    </row>
    <row r="558" spans="5:11">
      <c r="E558" s="287"/>
      <c r="I558" s="499"/>
      <c r="K558" s="287"/>
    </row>
    <row r="559" spans="5:11">
      <c r="E559" s="287"/>
      <c r="I559" s="499"/>
      <c r="K559" s="287"/>
    </row>
    <row r="560" spans="5:11">
      <c r="E560" s="287"/>
      <c r="I560" s="499"/>
      <c r="K560" s="287"/>
    </row>
    <row r="561" spans="5:11">
      <c r="E561" s="287"/>
      <c r="I561" s="499"/>
      <c r="K561" s="287"/>
    </row>
    <row r="562" spans="5:11">
      <c r="E562" s="287"/>
      <c r="I562" s="499"/>
      <c r="K562" s="287"/>
    </row>
    <row r="563" spans="5:11">
      <c r="E563" s="287"/>
      <c r="I563" s="499"/>
      <c r="K563" s="287"/>
    </row>
    <row r="564" spans="5:11">
      <c r="E564" s="287"/>
      <c r="I564" s="499"/>
      <c r="K564" s="287"/>
    </row>
    <row r="565" spans="5:11">
      <c r="E565" s="287"/>
      <c r="I565" s="499"/>
      <c r="K565" s="287"/>
    </row>
    <row r="566" spans="5:11">
      <c r="E566" s="287"/>
      <c r="I566" s="499"/>
      <c r="K566" s="287"/>
    </row>
    <row r="567" spans="5:11">
      <c r="E567" s="287"/>
      <c r="I567" s="499"/>
      <c r="K567" s="287"/>
    </row>
    <row r="568" spans="5:11">
      <c r="E568" s="287"/>
      <c r="I568" s="499"/>
      <c r="K568" s="287"/>
    </row>
    <row r="569" spans="5:11">
      <c r="E569" s="287"/>
      <c r="I569" s="499"/>
      <c r="K569" s="287"/>
    </row>
    <row r="570" spans="5:11">
      <c r="E570" s="287"/>
      <c r="I570" s="499"/>
      <c r="K570" s="287"/>
    </row>
    <row r="571" spans="5:11">
      <c r="E571" s="287"/>
      <c r="I571" s="499"/>
      <c r="K571" s="287"/>
    </row>
    <row r="572" spans="5:11">
      <c r="E572" s="287"/>
      <c r="I572" s="499"/>
      <c r="K572" s="287"/>
    </row>
    <row r="573" spans="5:11">
      <c r="E573" s="287"/>
      <c r="I573" s="499"/>
      <c r="K573" s="287"/>
    </row>
    <row r="574" spans="5:11">
      <c r="E574" s="287"/>
      <c r="I574" s="499"/>
      <c r="K574" s="287"/>
    </row>
    <row r="575" spans="5:11">
      <c r="E575" s="287"/>
      <c r="I575" s="499"/>
      <c r="K575" s="287"/>
    </row>
    <row r="576" spans="5:11">
      <c r="E576" s="287"/>
      <c r="I576" s="499"/>
      <c r="K576" s="287"/>
    </row>
    <row r="577" spans="5:11">
      <c r="E577" s="287"/>
      <c r="I577" s="499"/>
      <c r="K577" s="287"/>
    </row>
    <row r="578" spans="5:11">
      <c r="E578" s="287"/>
      <c r="I578" s="499"/>
      <c r="K578" s="287"/>
    </row>
    <row r="579" spans="5:11">
      <c r="E579" s="287"/>
      <c r="I579" s="499"/>
      <c r="K579" s="287"/>
    </row>
    <row r="580" spans="5:11">
      <c r="E580" s="287"/>
      <c r="I580" s="499"/>
      <c r="K580" s="287"/>
    </row>
    <row r="581" spans="5:11">
      <c r="E581" s="287"/>
      <c r="I581" s="499"/>
      <c r="K581" s="287"/>
    </row>
    <row r="582" spans="5:11">
      <c r="E582" s="287"/>
      <c r="I582" s="499"/>
      <c r="K582" s="287"/>
    </row>
    <row r="583" spans="5:11">
      <c r="E583" s="287"/>
      <c r="I583" s="499"/>
      <c r="K583" s="287"/>
    </row>
    <row r="584" spans="5:11">
      <c r="E584" s="287"/>
      <c r="I584" s="499"/>
      <c r="K584" s="287"/>
    </row>
    <row r="585" spans="5:11">
      <c r="E585" s="287"/>
      <c r="I585" s="499"/>
      <c r="K585" s="287"/>
    </row>
    <row r="586" spans="5:11">
      <c r="E586" s="287"/>
      <c r="I586" s="499"/>
      <c r="K586" s="287"/>
    </row>
    <row r="587" spans="5:11">
      <c r="E587" s="287"/>
      <c r="I587" s="499"/>
      <c r="K587" s="287"/>
    </row>
    <row r="588" spans="5:11">
      <c r="E588" s="287"/>
      <c r="I588" s="499"/>
      <c r="K588" s="287"/>
    </row>
    <row r="589" spans="5:11">
      <c r="E589" s="287"/>
      <c r="I589" s="499"/>
      <c r="K589" s="287"/>
    </row>
    <row r="590" spans="5:11">
      <c r="E590" s="287"/>
      <c r="I590" s="499"/>
      <c r="K590" s="287"/>
    </row>
    <row r="591" spans="5:11">
      <c r="E591" s="287"/>
      <c r="I591" s="499"/>
      <c r="K591" s="287"/>
    </row>
    <row r="592" spans="5:11">
      <c r="E592" s="287"/>
      <c r="I592" s="499"/>
      <c r="K592" s="287"/>
    </row>
    <row r="593" spans="5:11">
      <c r="E593" s="287"/>
      <c r="I593" s="499"/>
      <c r="K593" s="287"/>
    </row>
    <row r="594" spans="5:11">
      <c r="E594" s="287"/>
      <c r="I594" s="499"/>
      <c r="K594" s="287"/>
    </row>
    <row r="595" spans="5:11">
      <c r="E595" s="287"/>
      <c r="I595" s="499"/>
      <c r="K595" s="287"/>
    </row>
    <row r="596" spans="5:11">
      <c r="E596" s="287"/>
      <c r="I596" s="499"/>
      <c r="K596" s="287"/>
    </row>
    <row r="597" spans="5:11">
      <c r="E597" s="287"/>
      <c r="I597" s="499"/>
      <c r="K597" s="287"/>
    </row>
    <row r="598" spans="5:11">
      <c r="E598" s="287"/>
      <c r="I598" s="499"/>
      <c r="K598" s="287"/>
    </row>
    <row r="599" spans="5:11">
      <c r="E599" s="287"/>
      <c r="I599" s="499"/>
      <c r="K599" s="287"/>
    </row>
    <row r="600" spans="5:11">
      <c r="E600" s="287"/>
      <c r="I600" s="499"/>
      <c r="K600" s="287"/>
    </row>
    <row r="601" spans="5:11">
      <c r="E601" s="287"/>
      <c r="I601" s="499"/>
      <c r="K601" s="287"/>
    </row>
    <row r="602" spans="5:11">
      <c r="E602" s="287"/>
      <c r="I602" s="499"/>
      <c r="K602" s="287"/>
    </row>
    <row r="603" spans="5:11">
      <c r="E603" s="287"/>
      <c r="I603" s="499"/>
      <c r="K603" s="287"/>
    </row>
    <row r="604" spans="5:11">
      <c r="E604" s="287"/>
      <c r="I604" s="499"/>
      <c r="K604" s="287"/>
    </row>
    <row r="605" spans="5:11">
      <c r="E605" s="287"/>
      <c r="I605" s="499"/>
      <c r="K605" s="287"/>
    </row>
    <row r="606" spans="5:11">
      <c r="E606" s="287"/>
      <c r="I606" s="499"/>
      <c r="K606" s="287"/>
    </row>
    <row r="607" spans="5:11">
      <c r="E607" s="287"/>
      <c r="I607" s="499"/>
      <c r="K607" s="287"/>
    </row>
    <row r="608" spans="5:11">
      <c r="E608" s="287"/>
      <c r="I608" s="499"/>
      <c r="K608" s="287"/>
    </row>
    <row r="609" spans="5:11">
      <c r="E609" s="287"/>
      <c r="I609" s="499"/>
      <c r="K609" s="287"/>
    </row>
    <row r="610" spans="5:11">
      <c r="E610" s="287"/>
      <c r="I610" s="499"/>
      <c r="K610" s="287"/>
    </row>
    <row r="611" spans="5:11">
      <c r="E611" s="287"/>
      <c r="I611" s="499"/>
      <c r="K611" s="287"/>
    </row>
    <row r="612" spans="5:11">
      <c r="E612" s="287"/>
      <c r="I612" s="499"/>
      <c r="K612" s="287"/>
    </row>
    <row r="613" spans="5:11">
      <c r="E613" s="287"/>
      <c r="I613" s="499"/>
      <c r="K613" s="287"/>
    </row>
    <row r="614" spans="5:11">
      <c r="E614" s="287"/>
      <c r="I614" s="499"/>
      <c r="K614" s="287"/>
    </row>
    <row r="615" spans="5:11">
      <c r="E615" s="287"/>
      <c r="I615" s="499"/>
      <c r="K615" s="287"/>
    </row>
    <row r="616" spans="5:11">
      <c r="E616" s="287"/>
      <c r="I616" s="499"/>
      <c r="K616" s="287"/>
    </row>
    <row r="617" spans="5:11">
      <c r="E617" s="287"/>
      <c r="I617" s="499"/>
      <c r="K617" s="287"/>
    </row>
    <row r="618" spans="5:11">
      <c r="E618" s="287"/>
      <c r="I618" s="499"/>
      <c r="K618" s="287"/>
    </row>
    <row r="619" spans="5:11">
      <c r="E619" s="287"/>
      <c r="I619" s="499"/>
      <c r="K619" s="287"/>
    </row>
    <row r="620" spans="5:11">
      <c r="E620" s="287"/>
      <c r="I620" s="499"/>
      <c r="K620" s="287"/>
    </row>
    <row r="621" spans="5:11">
      <c r="E621" s="287"/>
      <c r="I621" s="499"/>
      <c r="K621" s="287"/>
    </row>
    <row r="622" spans="5:11">
      <c r="E622" s="287"/>
      <c r="I622" s="499"/>
      <c r="K622" s="287"/>
    </row>
    <row r="623" spans="5:11">
      <c r="E623" s="287"/>
      <c r="I623" s="499"/>
      <c r="K623" s="287"/>
    </row>
    <row r="624" spans="5:11">
      <c r="E624" s="287"/>
      <c r="I624" s="499"/>
      <c r="K624" s="287"/>
    </row>
    <row r="625" spans="5:11">
      <c r="E625" s="287"/>
      <c r="I625" s="499"/>
      <c r="K625" s="287"/>
    </row>
    <row r="626" spans="5:11">
      <c r="E626" s="287"/>
      <c r="I626" s="499"/>
      <c r="K626" s="287"/>
    </row>
    <row r="627" spans="5:11">
      <c r="E627" s="287"/>
      <c r="I627" s="499"/>
      <c r="K627" s="287"/>
    </row>
    <row r="628" spans="5:11">
      <c r="E628" s="287"/>
      <c r="I628" s="499"/>
      <c r="K628" s="287"/>
    </row>
    <row r="629" spans="5:11">
      <c r="E629" s="287"/>
      <c r="I629" s="499"/>
      <c r="K629" s="287"/>
    </row>
    <row r="630" spans="5:11">
      <c r="E630" s="287"/>
      <c r="I630" s="499"/>
      <c r="K630" s="287"/>
    </row>
    <row r="631" spans="5:11">
      <c r="E631" s="287"/>
      <c r="I631" s="499"/>
      <c r="K631" s="287"/>
    </row>
    <row r="632" spans="5:11">
      <c r="E632" s="287"/>
      <c r="I632" s="499"/>
      <c r="K632" s="287"/>
    </row>
    <row r="633" spans="5:11">
      <c r="E633" s="287"/>
      <c r="I633" s="499"/>
      <c r="K633" s="287"/>
    </row>
    <row r="634" spans="5:11">
      <c r="E634" s="287"/>
      <c r="I634" s="499"/>
      <c r="K634" s="287"/>
    </row>
    <row r="635" spans="5:11">
      <c r="E635" s="287"/>
      <c r="I635" s="499"/>
      <c r="K635" s="287"/>
    </row>
    <row r="636" spans="5:11">
      <c r="E636" s="287"/>
      <c r="I636" s="499"/>
      <c r="K636" s="287"/>
    </row>
    <row r="637" spans="5:11">
      <c r="E637" s="287"/>
      <c r="I637" s="499"/>
      <c r="K637" s="287"/>
    </row>
    <row r="638" spans="5:11">
      <c r="E638" s="287"/>
      <c r="I638" s="499"/>
      <c r="K638" s="287"/>
    </row>
    <row r="639" spans="5:11">
      <c r="E639" s="287"/>
      <c r="I639" s="499"/>
      <c r="K639" s="287"/>
    </row>
    <row r="640" spans="5:11">
      <c r="E640" s="287"/>
      <c r="I640" s="499"/>
      <c r="K640" s="287"/>
    </row>
    <row r="641" spans="5:11">
      <c r="E641" s="287"/>
      <c r="I641" s="499"/>
      <c r="K641" s="287"/>
    </row>
    <row r="642" spans="5:11">
      <c r="E642" s="287"/>
      <c r="I642" s="499"/>
      <c r="K642" s="287"/>
    </row>
    <row r="643" spans="5:11">
      <c r="E643" s="287"/>
      <c r="I643" s="499"/>
      <c r="K643" s="287"/>
    </row>
    <row r="644" spans="5:11">
      <c r="E644" s="287"/>
      <c r="I644" s="499"/>
      <c r="K644" s="287"/>
    </row>
    <row r="645" spans="5:11">
      <c r="E645" s="287"/>
      <c r="I645" s="499"/>
      <c r="K645" s="287"/>
    </row>
    <row r="646" spans="5:11">
      <c r="E646" s="287"/>
      <c r="I646" s="499"/>
      <c r="K646" s="287"/>
    </row>
    <row r="647" spans="5:11">
      <c r="E647" s="287"/>
      <c r="I647" s="499"/>
      <c r="K647" s="287"/>
    </row>
    <row r="648" spans="5:11">
      <c r="E648" s="287"/>
      <c r="I648" s="499"/>
      <c r="K648" s="287"/>
    </row>
    <row r="649" spans="5:11">
      <c r="E649" s="287"/>
      <c r="I649" s="499"/>
      <c r="K649" s="287"/>
    </row>
    <row r="650" spans="5:11">
      <c r="E650" s="287"/>
      <c r="I650" s="499"/>
      <c r="K650" s="287"/>
    </row>
    <row r="651" spans="5:11">
      <c r="E651" s="287"/>
      <c r="I651" s="499"/>
      <c r="K651" s="287"/>
    </row>
    <row r="652" spans="5:11">
      <c r="E652" s="287"/>
      <c r="I652" s="499"/>
      <c r="K652" s="287"/>
    </row>
    <row r="653" spans="5:11">
      <c r="E653" s="287"/>
      <c r="I653" s="499"/>
      <c r="K653" s="287"/>
    </row>
    <row r="654" spans="5:11">
      <c r="E654" s="287"/>
      <c r="I654" s="499"/>
      <c r="K654" s="287"/>
    </row>
    <row r="655" spans="5:11">
      <c r="E655" s="287"/>
      <c r="I655" s="499"/>
      <c r="K655" s="287"/>
    </row>
    <row r="656" spans="5:11">
      <c r="E656" s="287"/>
      <c r="I656" s="499"/>
      <c r="K656" s="287"/>
    </row>
    <row r="657" spans="5:11">
      <c r="E657" s="287"/>
      <c r="I657" s="499"/>
      <c r="K657" s="287"/>
    </row>
    <row r="658" spans="5:11">
      <c r="E658" s="287"/>
      <c r="I658" s="499"/>
      <c r="K658" s="287"/>
    </row>
    <row r="659" spans="5:11">
      <c r="E659" s="287"/>
      <c r="I659" s="499"/>
      <c r="K659" s="287"/>
    </row>
    <row r="660" spans="5:11">
      <c r="E660" s="287"/>
      <c r="I660" s="499"/>
      <c r="K660" s="287"/>
    </row>
    <row r="661" spans="5:11">
      <c r="E661" s="287"/>
      <c r="I661" s="499"/>
      <c r="K661" s="287"/>
    </row>
    <row r="662" spans="5:11">
      <c r="E662" s="287"/>
      <c r="I662" s="499"/>
      <c r="K662" s="287"/>
    </row>
    <row r="663" spans="5:11">
      <c r="E663" s="287"/>
      <c r="I663" s="499"/>
      <c r="K663" s="287"/>
    </row>
    <row r="664" spans="5:11">
      <c r="E664" s="287"/>
      <c r="I664" s="499"/>
      <c r="K664" s="287"/>
    </row>
    <row r="665" spans="5:11">
      <c r="E665" s="287"/>
      <c r="I665" s="499"/>
      <c r="K665" s="287"/>
    </row>
    <row r="666" spans="5:11">
      <c r="E666" s="287"/>
      <c r="I666" s="499"/>
      <c r="K666" s="287"/>
    </row>
    <row r="667" spans="5:11">
      <c r="E667" s="287"/>
      <c r="I667" s="499"/>
      <c r="K667" s="287"/>
    </row>
    <row r="668" spans="5:11">
      <c r="E668" s="287"/>
      <c r="I668" s="499"/>
      <c r="K668" s="287"/>
    </row>
    <row r="669" spans="5:11">
      <c r="E669" s="287"/>
      <c r="I669" s="499"/>
      <c r="K669" s="287"/>
    </row>
    <row r="670" spans="5:11">
      <c r="E670" s="287"/>
      <c r="I670" s="499"/>
      <c r="K670" s="287"/>
    </row>
    <row r="671" spans="5:11">
      <c r="E671" s="287"/>
      <c r="I671" s="499"/>
      <c r="K671" s="287"/>
    </row>
    <row r="672" spans="5:11">
      <c r="E672" s="287"/>
      <c r="I672" s="499"/>
      <c r="K672" s="287"/>
    </row>
    <row r="673" spans="5:11">
      <c r="E673" s="287"/>
      <c r="I673" s="499"/>
      <c r="K673" s="287"/>
    </row>
    <row r="674" spans="5:11">
      <c r="E674" s="287"/>
      <c r="I674" s="499"/>
      <c r="K674" s="287"/>
    </row>
    <row r="675" spans="5:11">
      <c r="E675" s="287"/>
      <c r="I675" s="499"/>
      <c r="K675" s="287"/>
    </row>
    <row r="676" spans="5:11">
      <c r="E676" s="287"/>
      <c r="I676" s="499"/>
      <c r="K676" s="287"/>
    </row>
    <row r="677" spans="5:11">
      <c r="E677" s="287"/>
      <c r="I677" s="499"/>
      <c r="K677" s="287"/>
    </row>
    <row r="678" spans="5:11">
      <c r="E678" s="287"/>
      <c r="I678" s="499"/>
      <c r="K678" s="287"/>
    </row>
    <row r="679" spans="5:11">
      <c r="E679" s="287"/>
      <c r="I679" s="499"/>
      <c r="K679" s="287"/>
    </row>
    <row r="680" spans="5:11">
      <c r="E680" s="287"/>
      <c r="I680" s="499"/>
      <c r="K680" s="287"/>
    </row>
    <row r="681" spans="5:11">
      <c r="E681" s="287"/>
      <c r="I681" s="499"/>
      <c r="K681" s="287"/>
    </row>
    <row r="682" spans="5:11">
      <c r="E682" s="287"/>
      <c r="I682" s="499"/>
      <c r="K682" s="287"/>
    </row>
    <row r="683" spans="5:11">
      <c r="E683" s="287"/>
      <c r="I683" s="499"/>
      <c r="K683" s="287"/>
    </row>
    <row r="684" spans="5:11">
      <c r="E684" s="287"/>
      <c r="I684" s="499"/>
      <c r="K684" s="287"/>
    </row>
    <row r="685" spans="5:11">
      <c r="E685" s="287"/>
      <c r="I685" s="499"/>
      <c r="K685" s="287"/>
    </row>
    <row r="686" spans="5:11">
      <c r="E686" s="287"/>
      <c r="I686" s="499"/>
      <c r="K686" s="287"/>
    </row>
    <row r="687" spans="5:11">
      <c r="E687" s="287"/>
      <c r="I687" s="499"/>
      <c r="K687" s="287"/>
    </row>
    <row r="688" spans="5:11">
      <c r="E688" s="287"/>
      <c r="I688" s="499"/>
      <c r="K688" s="287"/>
    </row>
    <row r="689" spans="5:11">
      <c r="E689" s="287"/>
      <c r="I689" s="499"/>
      <c r="K689" s="287"/>
    </row>
    <row r="690" spans="5:11">
      <c r="E690" s="287"/>
      <c r="I690" s="499"/>
      <c r="K690" s="287"/>
    </row>
    <row r="691" spans="5:11">
      <c r="E691" s="287"/>
      <c r="I691" s="499"/>
      <c r="K691" s="287"/>
    </row>
    <row r="692" spans="5:11">
      <c r="E692" s="287"/>
      <c r="I692" s="499"/>
      <c r="K692" s="287"/>
    </row>
    <row r="693" spans="5:11">
      <c r="E693" s="287"/>
      <c r="I693" s="499"/>
      <c r="K693" s="287"/>
    </row>
    <row r="694" spans="5:11">
      <c r="E694" s="287"/>
      <c r="I694" s="499"/>
      <c r="K694" s="287"/>
    </row>
    <row r="695" spans="5:11">
      <c r="E695" s="287"/>
      <c r="I695" s="499"/>
      <c r="K695" s="287"/>
    </row>
    <row r="696" spans="5:11">
      <c r="E696" s="287"/>
      <c r="I696" s="499"/>
      <c r="K696" s="287"/>
    </row>
    <row r="697" spans="5:11">
      <c r="E697" s="287"/>
      <c r="I697" s="499"/>
      <c r="K697" s="287"/>
    </row>
    <row r="698" spans="5:11">
      <c r="E698" s="287"/>
      <c r="I698" s="499"/>
      <c r="K698" s="287"/>
    </row>
    <row r="699" spans="5:11">
      <c r="E699" s="287"/>
      <c r="I699" s="499"/>
      <c r="K699" s="287"/>
    </row>
    <row r="700" spans="5:11">
      <c r="E700" s="287"/>
      <c r="I700" s="499"/>
      <c r="K700" s="287"/>
    </row>
    <row r="701" spans="5:11">
      <c r="E701" s="287"/>
      <c r="I701" s="499"/>
      <c r="K701" s="287"/>
    </row>
    <row r="702" spans="5:11">
      <c r="E702" s="287"/>
      <c r="I702" s="499"/>
      <c r="K702" s="287"/>
    </row>
    <row r="703" spans="5:11">
      <c r="E703" s="287"/>
      <c r="I703" s="499"/>
      <c r="K703" s="287"/>
    </row>
    <row r="704" spans="5:11">
      <c r="E704" s="287"/>
      <c r="I704" s="499"/>
      <c r="K704" s="287"/>
    </row>
    <row r="705" spans="5:11">
      <c r="E705" s="287"/>
      <c r="I705" s="499"/>
      <c r="K705" s="287"/>
    </row>
    <row r="706" spans="5:11">
      <c r="E706" s="287"/>
      <c r="I706" s="499"/>
      <c r="K706" s="287"/>
    </row>
    <row r="707" spans="5:11">
      <c r="E707" s="287"/>
      <c r="I707" s="499"/>
      <c r="K707" s="287"/>
    </row>
    <row r="708" spans="5:11">
      <c r="E708" s="287"/>
      <c r="I708" s="499"/>
      <c r="K708" s="287"/>
    </row>
    <row r="709" spans="5:11">
      <c r="E709" s="287"/>
      <c r="I709" s="499"/>
      <c r="K709" s="287"/>
    </row>
    <row r="710" spans="5:11">
      <c r="E710" s="287"/>
      <c r="I710" s="499"/>
      <c r="K710" s="287"/>
    </row>
    <row r="711" spans="5:11">
      <c r="E711" s="287"/>
      <c r="I711" s="499"/>
      <c r="K711" s="287"/>
    </row>
    <row r="712" spans="5:11">
      <c r="E712" s="287"/>
      <c r="I712" s="499"/>
      <c r="K712" s="287"/>
    </row>
    <row r="713" spans="5:11">
      <c r="E713" s="287"/>
      <c r="I713" s="499"/>
      <c r="K713" s="287"/>
    </row>
    <row r="714" spans="5:11">
      <c r="E714" s="287"/>
      <c r="I714" s="499"/>
      <c r="K714" s="287"/>
    </row>
    <row r="715" spans="5:11">
      <c r="E715" s="287"/>
      <c r="I715" s="499"/>
      <c r="K715" s="287"/>
    </row>
    <row r="716" spans="5:11">
      <c r="E716" s="287"/>
      <c r="I716" s="499"/>
      <c r="K716" s="287"/>
    </row>
    <row r="717" spans="5:11">
      <c r="E717" s="287"/>
      <c r="I717" s="499"/>
      <c r="K717" s="287"/>
    </row>
    <row r="718" spans="5:11">
      <c r="E718" s="287"/>
      <c r="I718" s="499"/>
      <c r="K718" s="287"/>
    </row>
    <row r="719" spans="5:11">
      <c r="E719" s="287"/>
      <c r="I719" s="499"/>
      <c r="K719" s="287"/>
    </row>
    <row r="720" spans="5:11">
      <c r="E720" s="287"/>
      <c r="I720" s="499"/>
      <c r="K720" s="287"/>
    </row>
    <row r="721" spans="5:11">
      <c r="E721" s="287"/>
      <c r="I721" s="499"/>
      <c r="K721" s="287"/>
    </row>
    <row r="722" spans="5:11">
      <c r="E722" s="287"/>
      <c r="I722" s="499"/>
      <c r="K722" s="287"/>
    </row>
    <row r="723" spans="5:11">
      <c r="E723" s="287"/>
      <c r="I723" s="499"/>
      <c r="K723" s="287"/>
    </row>
    <row r="724" spans="5:11">
      <c r="E724" s="287"/>
      <c r="I724" s="499"/>
      <c r="K724" s="287"/>
    </row>
    <row r="725" spans="5:11">
      <c r="E725" s="287"/>
      <c r="I725" s="499"/>
      <c r="K725" s="287"/>
    </row>
    <row r="726" spans="5:11">
      <c r="E726" s="287"/>
      <c r="I726" s="499"/>
      <c r="K726" s="287"/>
    </row>
    <row r="727" spans="5:11">
      <c r="E727" s="287"/>
      <c r="I727" s="499"/>
      <c r="K727" s="287"/>
    </row>
    <row r="728" spans="5:11">
      <c r="E728" s="287"/>
      <c r="I728" s="499"/>
      <c r="K728" s="287"/>
    </row>
    <row r="729" spans="5:11">
      <c r="E729" s="287"/>
      <c r="I729" s="499"/>
      <c r="K729" s="287"/>
    </row>
    <row r="730" spans="5:11">
      <c r="E730" s="287"/>
      <c r="I730" s="499"/>
      <c r="K730" s="287"/>
    </row>
    <row r="731" spans="5:11">
      <c r="E731" s="287"/>
      <c r="I731" s="499"/>
      <c r="K731" s="287"/>
    </row>
    <row r="732" spans="5:11">
      <c r="E732" s="287"/>
      <c r="I732" s="499"/>
      <c r="K732" s="287"/>
    </row>
    <row r="733" spans="5:11">
      <c r="E733" s="287"/>
      <c r="I733" s="499"/>
      <c r="K733" s="287"/>
    </row>
    <row r="734" spans="5:11">
      <c r="E734" s="287"/>
      <c r="I734" s="499"/>
      <c r="K734" s="287"/>
    </row>
    <row r="735" spans="5:11">
      <c r="E735" s="287"/>
      <c r="I735" s="499"/>
      <c r="K735" s="287"/>
    </row>
    <row r="736" spans="5:11">
      <c r="E736" s="287"/>
      <c r="I736" s="499"/>
      <c r="K736" s="287"/>
    </row>
    <row r="737" spans="5:11">
      <c r="E737" s="287"/>
      <c r="I737" s="499"/>
      <c r="K737" s="287"/>
    </row>
    <row r="738" spans="5:11">
      <c r="E738" s="287"/>
      <c r="I738" s="499"/>
      <c r="K738" s="287"/>
    </row>
    <row r="739" spans="5:11">
      <c r="E739" s="287"/>
      <c r="I739" s="499"/>
      <c r="K739" s="287"/>
    </row>
    <row r="740" spans="5:11">
      <c r="E740" s="287"/>
      <c r="I740" s="499"/>
      <c r="K740" s="287"/>
    </row>
    <row r="741" spans="5:11">
      <c r="E741" s="287"/>
      <c r="I741" s="499"/>
      <c r="K741" s="287"/>
    </row>
    <row r="742" spans="5:11">
      <c r="E742" s="287"/>
      <c r="I742" s="499"/>
      <c r="K742" s="287"/>
    </row>
    <row r="743" spans="5:11">
      <c r="E743" s="287"/>
      <c r="I743" s="499"/>
      <c r="K743" s="287"/>
    </row>
    <row r="744" spans="5:11">
      <c r="E744" s="287"/>
      <c r="I744" s="499"/>
      <c r="K744" s="287"/>
    </row>
    <row r="745" spans="5:11">
      <c r="E745" s="287"/>
      <c r="I745" s="499"/>
      <c r="K745" s="287"/>
    </row>
    <row r="746" spans="5:11">
      <c r="E746" s="287"/>
      <c r="I746" s="499"/>
      <c r="K746" s="287"/>
    </row>
    <row r="747" spans="5:11">
      <c r="E747" s="287"/>
      <c r="I747" s="499"/>
      <c r="K747" s="287"/>
    </row>
    <row r="748" spans="5:11">
      <c r="E748" s="287"/>
      <c r="I748" s="499"/>
      <c r="K748" s="287"/>
    </row>
    <row r="749" spans="5:11">
      <c r="E749" s="287"/>
      <c r="I749" s="499"/>
      <c r="K749" s="287"/>
    </row>
    <row r="750" spans="5:11">
      <c r="E750" s="287"/>
      <c r="I750" s="499"/>
      <c r="K750" s="287"/>
    </row>
    <row r="751" spans="5:11">
      <c r="E751" s="287"/>
      <c r="I751" s="499"/>
      <c r="K751" s="287"/>
    </row>
    <row r="752" spans="5:11">
      <c r="E752" s="287"/>
      <c r="I752" s="499"/>
      <c r="K752" s="287"/>
    </row>
    <row r="753" spans="5:11">
      <c r="E753" s="287"/>
      <c r="I753" s="499"/>
      <c r="K753" s="287"/>
    </row>
    <row r="754" spans="5:11">
      <c r="E754" s="287"/>
      <c r="I754" s="499"/>
      <c r="K754" s="287"/>
    </row>
    <row r="755" spans="5:11">
      <c r="E755" s="287"/>
      <c r="I755" s="499"/>
      <c r="K755" s="287"/>
    </row>
    <row r="756" spans="5:11">
      <c r="E756" s="287"/>
      <c r="I756" s="499"/>
      <c r="K756" s="287"/>
    </row>
    <row r="757" spans="5:11">
      <c r="E757" s="287"/>
      <c r="I757" s="499"/>
      <c r="K757" s="287"/>
    </row>
    <row r="758" spans="5:11">
      <c r="E758" s="287"/>
      <c r="I758" s="499"/>
      <c r="K758" s="287"/>
    </row>
    <row r="759" spans="5:11">
      <c r="E759" s="287"/>
      <c r="I759" s="499"/>
      <c r="K759" s="287"/>
    </row>
    <row r="760" spans="5:11">
      <c r="E760" s="287"/>
      <c r="I760" s="499"/>
      <c r="K760" s="287"/>
    </row>
    <row r="761" spans="5:11">
      <c r="E761" s="287"/>
      <c r="I761" s="499"/>
      <c r="K761" s="287"/>
    </row>
    <row r="762" spans="5:11">
      <c r="E762" s="287"/>
      <c r="I762" s="499"/>
      <c r="K762" s="287"/>
    </row>
    <row r="763" spans="5:11">
      <c r="E763" s="287"/>
      <c r="I763" s="499"/>
      <c r="K763" s="287"/>
    </row>
    <row r="764" spans="5:11">
      <c r="E764" s="287"/>
      <c r="I764" s="499"/>
      <c r="K764" s="287"/>
    </row>
    <row r="765" spans="5:11">
      <c r="E765" s="287"/>
      <c r="I765" s="499"/>
      <c r="K765" s="287"/>
    </row>
    <row r="766" spans="5:11">
      <c r="E766" s="287"/>
      <c r="I766" s="499"/>
      <c r="K766" s="287"/>
    </row>
    <row r="767" spans="5:11">
      <c r="E767" s="287"/>
      <c r="I767" s="499"/>
      <c r="K767" s="287"/>
    </row>
    <row r="768" spans="5:11">
      <c r="E768" s="287"/>
      <c r="I768" s="499"/>
      <c r="K768" s="287"/>
    </row>
    <row r="769" spans="5:11">
      <c r="E769" s="287"/>
      <c r="I769" s="499"/>
      <c r="K769" s="287"/>
    </row>
    <row r="770" spans="5:11">
      <c r="E770" s="287"/>
      <c r="I770" s="499"/>
      <c r="K770" s="287"/>
    </row>
    <row r="771" spans="5:11">
      <c r="E771" s="287"/>
      <c r="I771" s="499"/>
      <c r="K771" s="287"/>
    </row>
    <row r="772" spans="5:11">
      <c r="E772" s="287"/>
      <c r="I772" s="499"/>
      <c r="K772" s="287"/>
    </row>
    <row r="773" spans="5:11">
      <c r="E773" s="287"/>
      <c r="I773" s="499"/>
      <c r="K773" s="287"/>
    </row>
    <row r="774" spans="5:11">
      <c r="E774" s="287"/>
      <c r="I774" s="499"/>
      <c r="K774" s="287"/>
    </row>
    <row r="775" spans="5:11">
      <c r="E775" s="287"/>
      <c r="I775" s="499"/>
      <c r="K775" s="287"/>
    </row>
    <row r="776" spans="5:11">
      <c r="E776" s="287"/>
      <c r="I776" s="499"/>
      <c r="K776" s="287"/>
    </row>
    <row r="777" spans="5:11">
      <c r="E777" s="287"/>
      <c r="I777" s="499"/>
      <c r="K777" s="287"/>
    </row>
    <row r="778" spans="5:11">
      <c r="E778" s="287"/>
      <c r="I778" s="499"/>
      <c r="K778" s="287"/>
    </row>
    <row r="779" spans="5:11">
      <c r="E779" s="287"/>
      <c r="I779" s="499"/>
      <c r="K779" s="287"/>
    </row>
    <row r="780" spans="5:11">
      <c r="E780" s="287"/>
      <c r="I780" s="499"/>
      <c r="K780" s="287"/>
    </row>
    <row r="781" spans="5:11">
      <c r="E781" s="287"/>
      <c r="I781" s="499"/>
      <c r="K781" s="287"/>
    </row>
    <row r="782" spans="5:11">
      <c r="E782" s="287"/>
      <c r="I782" s="499"/>
      <c r="K782" s="287"/>
    </row>
    <row r="783" spans="5:11">
      <c r="E783" s="287"/>
      <c r="I783" s="499"/>
      <c r="K783" s="287"/>
    </row>
    <row r="784" spans="5:11">
      <c r="E784" s="287"/>
      <c r="I784" s="499"/>
      <c r="K784" s="287"/>
    </row>
    <row r="785" spans="5:11">
      <c r="E785" s="287"/>
      <c r="I785" s="499"/>
      <c r="K785" s="287"/>
    </row>
    <row r="786" spans="5:11">
      <c r="E786" s="287"/>
      <c r="I786" s="499"/>
      <c r="K786" s="287"/>
    </row>
    <row r="787" spans="5:11">
      <c r="E787" s="287"/>
      <c r="I787" s="499"/>
      <c r="K787" s="287"/>
    </row>
    <row r="788" spans="5:11">
      <c r="E788" s="287"/>
      <c r="I788" s="499"/>
      <c r="K788" s="287"/>
    </row>
    <row r="789" spans="5:11">
      <c r="E789" s="287"/>
      <c r="I789" s="499"/>
      <c r="K789" s="287"/>
    </row>
    <row r="790" spans="5:11">
      <c r="E790" s="287"/>
      <c r="I790" s="499"/>
      <c r="K790" s="287"/>
    </row>
    <row r="791" spans="5:11">
      <c r="E791" s="287"/>
      <c r="I791" s="499"/>
      <c r="K791" s="287"/>
    </row>
    <row r="792" spans="5:11">
      <c r="E792" s="287"/>
      <c r="I792" s="499"/>
      <c r="K792" s="287"/>
    </row>
    <row r="793" spans="5:11">
      <c r="E793" s="287"/>
      <c r="I793" s="499"/>
      <c r="K793" s="287"/>
    </row>
    <row r="794" spans="5:11">
      <c r="E794" s="287"/>
      <c r="I794" s="499"/>
      <c r="K794" s="287"/>
    </row>
    <row r="795" spans="5:11">
      <c r="E795" s="287"/>
      <c r="I795" s="499"/>
      <c r="K795" s="287"/>
    </row>
    <row r="796" spans="5:11">
      <c r="E796" s="287"/>
      <c r="I796" s="499"/>
      <c r="K796" s="287"/>
    </row>
    <row r="797" spans="5:11">
      <c r="E797" s="287"/>
      <c r="I797" s="499"/>
      <c r="K797" s="287"/>
    </row>
    <row r="798" spans="5:11">
      <c r="E798" s="287"/>
      <c r="I798" s="499"/>
      <c r="K798" s="287"/>
    </row>
    <row r="799" spans="5:11">
      <c r="E799" s="287"/>
      <c r="I799" s="499"/>
      <c r="K799" s="287"/>
    </row>
    <row r="800" spans="5:11">
      <c r="E800" s="287"/>
      <c r="I800" s="499"/>
      <c r="K800" s="287"/>
    </row>
    <row r="801" spans="5:11">
      <c r="E801" s="287"/>
      <c r="I801" s="499"/>
      <c r="K801" s="287"/>
    </row>
    <row r="802" spans="5:11">
      <c r="E802" s="287"/>
      <c r="I802" s="499"/>
      <c r="K802" s="287"/>
    </row>
    <row r="803" spans="5:11">
      <c r="E803" s="287"/>
      <c r="I803" s="499"/>
      <c r="K803" s="287"/>
    </row>
    <row r="804" spans="5:11">
      <c r="E804" s="287"/>
      <c r="I804" s="499"/>
      <c r="K804" s="287"/>
    </row>
    <row r="805" spans="5:11">
      <c r="E805" s="287"/>
      <c r="I805" s="499"/>
      <c r="K805" s="287"/>
    </row>
    <row r="806" spans="5:11">
      <c r="E806" s="287"/>
      <c r="I806" s="499"/>
      <c r="K806" s="287"/>
    </row>
    <row r="807" spans="5:11">
      <c r="E807" s="287"/>
      <c r="I807" s="499"/>
      <c r="K807" s="287"/>
    </row>
    <row r="808" spans="5:11">
      <c r="E808" s="287"/>
      <c r="I808" s="499"/>
      <c r="K808" s="287"/>
    </row>
    <row r="809" spans="5:11">
      <c r="E809" s="287"/>
      <c r="I809" s="499"/>
      <c r="K809" s="287"/>
    </row>
    <row r="810" spans="5:11">
      <c r="E810" s="287"/>
      <c r="I810" s="499"/>
      <c r="K810" s="287"/>
    </row>
    <row r="811" spans="5:11">
      <c r="E811" s="287"/>
      <c r="I811" s="499"/>
      <c r="K811" s="287"/>
    </row>
    <row r="812" spans="5:11">
      <c r="E812" s="287"/>
      <c r="I812" s="499"/>
      <c r="K812" s="287"/>
    </row>
    <row r="813" spans="5:11">
      <c r="E813" s="287"/>
      <c r="I813" s="499"/>
      <c r="K813" s="287"/>
    </row>
    <row r="814" spans="5:11">
      <c r="E814" s="287"/>
      <c r="I814" s="499"/>
      <c r="K814" s="287"/>
    </row>
    <row r="815" spans="5:11">
      <c r="E815" s="287"/>
      <c r="I815" s="499"/>
      <c r="K815" s="287"/>
    </row>
    <row r="816" spans="5:11">
      <c r="E816" s="287"/>
      <c r="I816" s="499"/>
      <c r="K816" s="287"/>
    </row>
    <row r="817" spans="5:11">
      <c r="E817" s="287"/>
      <c r="I817" s="499"/>
      <c r="K817" s="287"/>
    </row>
    <row r="818" spans="5:11">
      <c r="E818" s="287"/>
      <c r="I818" s="499"/>
      <c r="K818" s="287"/>
    </row>
    <row r="819" spans="5:11">
      <c r="E819" s="287"/>
      <c r="I819" s="499"/>
      <c r="K819" s="287"/>
    </row>
    <row r="820" spans="5:11">
      <c r="E820" s="287"/>
      <c r="I820" s="499"/>
      <c r="K820" s="287"/>
    </row>
    <row r="821" spans="5:11">
      <c r="E821" s="287"/>
      <c r="I821" s="499"/>
      <c r="K821" s="287"/>
    </row>
    <row r="822" spans="5:11">
      <c r="E822" s="287"/>
      <c r="I822" s="499"/>
      <c r="K822" s="287"/>
    </row>
    <row r="823" spans="5:11">
      <c r="E823" s="287"/>
      <c r="I823" s="499"/>
      <c r="K823" s="287"/>
    </row>
    <row r="824" spans="5:11">
      <c r="E824" s="287"/>
      <c r="I824" s="499"/>
      <c r="K824" s="287"/>
    </row>
    <row r="825" spans="5:11">
      <c r="E825" s="287"/>
      <c r="I825" s="499"/>
      <c r="K825" s="287"/>
    </row>
    <row r="826" spans="5:11">
      <c r="E826" s="287"/>
      <c r="I826" s="499"/>
      <c r="K826" s="287"/>
    </row>
    <row r="827" spans="5:11">
      <c r="E827" s="287"/>
      <c r="I827" s="499"/>
      <c r="K827" s="287"/>
    </row>
    <row r="828" spans="5:11">
      <c r="E828" s="287"/>
      <c r="I828" s="499"/>
      <c r="K828" s="287"/>
    </row>
    <row r="829" spans="5:11">
      <c r="E829" s="287"/>
      <c r="I829" s="499"/>
      <c r="K829" s="287"/>
    </row>
    <row r="830" spans="5:11">
      <c r="E830" s="287"/>
      <c r="I830" s="499"/>
      <c r="K830" s="287"/>
    </row>
    <row r="831" spans="5:11">
      <c r="E831" s="287"/>
      <c r="I831" s="499"/>
      <c r="K831" s="287"/>
    </row>
    <row r="832" spans="5:11">
      <c r="E832" s="287"/>
      <c r="I832" s="499"/>
      <c r="K832" s="287"/>
    </row>
    <row r="833" spans="5:11">
      <c r="E833" s="287"/>
      <c r="I833" s="499"/>
      <c r="K833" s="287"/>
    </row>
    <row r="834" spans="5:11">
      <c r="E834" s="287"/>
      <c r="I834" s="499"/>
      <c r="K834" s="287"/>
    </row>
    <row r="835" spans="5:11">
      <c r="E835" s="287"/>
      <c r="I835" s="499"/>
      <c r="K835" s="287"/>
    </row>
    <row r="836" spans="5:11">
      <c r="E836" s="287"/>
      <c r="I836" s="499"/>
      <c r="K836" s="287"/>
    </row>
    <row r="837" spans="5:11">
      <c r="E837" s="287"/>
      <c r="I837" s="499"/>
      <c r="K837" s="287"/>
    </row>
    <row r="838" spans="5:11">
      <c r="E838" s="287"/>
      <c r="I838" s="499"/>
      <c r="K838" s="287"/>
    </row>
    <row r="839" spans="5:11">
      <c r="E839" s="287"/>
      <c r="I839" s="499"/>
      <c r="K839" s="287"/>
    </row>
    <row r="840" spans="5:11">
      <c r="E840" s="287"/>
      <c r="I840" s="499"/>
      <c r="K840" s="287"/>
    </row>
    <row r="841" spans="5:11">
      <c r="E841" s="287"/>
      <c r="I841" s="499"/>
      <c r="K841" s="287"/>
    </row>
    <row r="842" spans="5:11">
      <c r="E842" s="287"/>
      <c r="I842" s="499"/>
      <c r="K842" s="287"/>
    </row>
    <row r="843" spans="5:11">
      <c r="E843" s="287"/>
      <c r="I843" s="499"/>
      <c r="K843" s="287"/>
    </row>
    <row r="844" spans="5:11">
      <c r="E844" s="287"/>
      <c r="I844" s="499"/>
      <c r="K844" s="287"/>
    </row>
    <row r="845" spans="5:11">
      <c r="E845" s="287"/>
      <c r="I845" s="499"/>
      <c r="K845" s="287"/>
    </row>
    <row r="846" spans="5:11">
      <c r="E846" s="287"/>
      <c r="I846" s="499"/>
      <c r="K846" s="287"/>
    </row>
    <row r="847" spans="5:11">
      <c r="E847" s="287"/>
      <c r="I847" s="499"/>
      <c r="K847" s="287"/>
    </row>
    <row r="848" spans="5:11">
      <c r="E848" s="287"/>
      <c r="I848" s="499"/>
      <c r="K848" s="287"/>
    </row>
    <row r="849" spans="5:11">
      <c r="E849" s="287"/>
      <c r="I849" s="499"/>
      <c r="K849" s="287"/>
    </row>
    <row r="850" spans="5:11">
      <c r="E850" s="287"/>
      <c r="I850" s="499"/>
      <c r="K850" s="287"/>
    </row>
    <row r="851" spans="5:11">
      <c r="E851" s="287"/>
      <c r="I851" s="499"/>
      <c r="K851" s="287"/>
    </row>
    <row r="852" spans="5:11">
      <c r="E852" s="287"/>
      <c r="I852" s="499"/>
      <c r="K852" s="287"/>
    </row>
    <row r="853" spans="5:11">
      <c r="E853" s="287"/>
      <c r="I853" s="499"/>
      <c r="K853" s="287"/>
    </row>
    <row r="854" spans="5:11">
      <c r="E854" s="287"/>
      <c r="I854" s="499"/>
      <c r="K854" s="287"/>
    </row>
    <row r="855" spans="5:11">
      <c r="E855" s="287"/>
      <c r="I855" s="499"/>
      <c r="K855" s="287"/>
    </row>
    <row r="856" spans="5:11">
      <c r="E856" s="287"/>
      <c r="I856" s="499"/>
      <c r="K856" s="287"/>
    </row>
    <row r="857" spans="5:11">
      <c r="E857" s="287"/>
      <c r="I857" s="499"/>
      <c r="K857" s="287"/>
    </row>
    <row r="858" spans="5:11">
      <c r="E858" s="287"/>
      <c r="I858" s="499"/>
      <c r="K858" s="287"/>
    </row>
    <row r="859" spans="5:11">
      <c r="E859" s="287"/>
      <c r="I859" s="499"/>
      <c r="K859" s="287"/>
    </row>
    <row r="860" spans="5:11">
      <c r="E860" s="287"/>
      <c r="I860" s="499"/>
      <c r="K860" s="287"/>
    </row>
    <row r="861" spans="5:11">
      <c r="E861" s="287"/>
      <c r="I861" s="499"/>
      <c r="K861" s="287"/>
    </row>
    <row r="862" spans="5:11">
      <c r="E862" s="287"/>
      <c r="I862" s="499"/>
      <c r="K862" s="287"/>
    </row>
    <row r="863" spans="5:11">
      <c r="E863" s="287"/>
      <c r="I863" s="499"/>
      <c r="K863" s="287"/>
    </row>
    <row r="864" spans="5:11">
      <c r="E864" s="287"/>
      <c r="I864" s="499"/>
      <c r="K864" s="287"/>
    </row>
    <row r="865" spans="5:11">
      <c r="E865" s="287"/>
      <c r="I865" s="499"/>
      <c r="K865" s="287"/>
    </row>
    <row r="866" spans="5:11">
      <c r="E866" s="287"/>
      <c r="I866" s="499"/>
      <c r="K866" s="287"/>
    </row>
    <row r="867" spans="5:11">
      <c r="E867" s="287"/>
      <c r="I867" s="499"/>
      <c r="K867" s="287"/>
    </row>
    <row r="868" spans="5:11">
      <c r="E868" s="287"/>
      <c r="I868" s="499"/>
      <c r="K868" s="287"/>
    </row>
    <row r="869" spans="5:11">
      <c r="E869" s="287"/>
      <c r="I869" s="499"/>
      <c r="K869" s="287"/>
    </row>
    <row r="870" spans="5:11">
      <c r="E870" s="287"/>
      <c r="I870" s="499"/>
      <c r="K870" s="287"/>
    </row>
    <row r="871" spans="5:11">
      <c r="E871" s="287"/>
      <c r="I871" s="499"/>
      <c r="K871" s="287"/>
    </row>
    <row r="872" spans="5:11">
      <c r="E872" s="287"/>
      <c r="I872" s="499"/>
      <c r="K872" s="287"/>
    </row>
    <row r="873" spans="5:11">
      <c r="E873" s="287"/>
      <c r="I873" s="499"/>
      <c r="K873" s="287"/>
    </row>
    <row r="874" spans="5:11">
      <c r="E874" s="287"/>
      <c r="I874" s="499"/>
      <c r="K874" s="287"/>
    </row>
    <row r="875" spans="5:11">
      <c r="E875" s="287"/>
      <c r="I875" s="499"/>
      <c r="K875" s="287"/>
    </row>
    <row r="876" spans="5:11">
      <c r="E876" s="287"/>
      <c r="I876" s="499"/>
      <c r="K876" s="287"/>
    </row>
    <row r="877" spans="5:11">
      <c r="E877" s="287"/>
      <c r="I877" s="499"/>
      <c r="K877" s="287"/>
    </row>
    <row r="878" spans="5:11">
      <c r="E878" s="287"/>
      <c r="I878" s="499"/>
      <c r="K878" s="287"/>
    </row>
    <row r="879" spans="5:11">
      <c r="E879" s="287"/>
      <c r="I879" s="499"/>
      <c r="K879" s="287"/>
    </row>
    <row r="880" spans="5:11">
      <c r="E880" s="287"/>
      <c r="I880" s="499"/>
      <c r="K880" s="287"/>
    </row>
    <row r="881" spans="5:11">
      <c r="E881" s="287"/>
      <c r="I881" s="499"/>
      <c r="K881" s="287"/>
    </row>
    <row r="882" spans="5:11">
      <c r="E882" s="287"/>
      <c r="I882" s="499"/>
      <c r="K882" s="287"/>
    </row>
    <row r="883" spans="5:11">
      <c r="E883" s="287"/>
      <c r="I883" s="499"/>
      <c r="K883" s="287"/>
    </row>
    <row r="884" spans="5:11">
      <c r="E884" s="287"/>
      <c r="I884" s="499"/>
      <c r="K884" s="287"/>
    </row>
    <row r="885" spans="5:11">
      <c r="E885" s="287"/>
      <c r="I885" s="499"/>
      <c r="K885" s="287"/>
    </row>
    <row r="886" spans="5:11">
      <c r="E886" s="287"/>
      <c r="I886" s="499"/>
      <c r="K886" s="287"/>
    </row>
    <row r="887" spans="5:11">
      <c r="E887" s="287"/>
      <c r="I887" s="499"/>
      <c r="K887" s="287"/>
    </row>
    <row r="888" spans="5:11">
      <c r="E888" s="287"/>
      <c r="I888" s="499"/>
      <c r="K888" s="287"/>
    </row>
    <row r="889" spans="5:11">
      <c r="E889" s="287"/>
      <c r="I889" s="499"/>
      <c r="K889" s="287"/>
    </row>
    <row r="890" spans="5:11">
      <c r="E890" s="287"/>
      <c r="I890" s="499"/>
      <c r="K890" s="287"/>
    </row>
    <row r="891" spans="5:11">
      <c r="E891" s="287"/>
      <c r="I891" s="499"/>
      <c r="K891" s="287"/>
    </row>
    <row r="892" spans="5:11">
      <c r="E892" s="287"/>
      <c r="I892" s="499"/>
      <c r="K892" s="287"/>
    </row>
    <row r="893" spans="5:11">
      <c r="E893" s="287"/>
      <c r="I893" s="499"/>
      <c r="K893" s="287"/>
    </row>
    <row r="894" spans="5:11">
      <c r="E894" s="287"/>
      <c r="I894" s="499"/>
      <c r="K894" s="287"/>
    </row>
    <row r="895" spans="5:11">
      <c r="E895" s="287"/>
      <c r="I895" s="499"/>
      <c r="K895" s="287"/>
    </row>
    <row r="896" spans="5:11">
      <c r="E896" s="287"/>
      <c r="I896" s="499"/>
      <c r="K896" s="287"/>
    </row>
    <row r="897" spans="5:11">
      <c r="E897" s="287"/>
      <c r="I897" s="499"/>
      <c r="K897" s="287"/>
    </row>
    <row r="898" spans="5:11">
      <c r="E898" s="287"/>
      <c r="I898" s="499"/>
      <c r="K898" s="287"/>
    </row>
    <row r="899" spans="5:11">
      <c r="E899" s="287"/>
      <c r="I899" s="499"/>
      <c r="K899" s="287"/>
    </row>
    <row r="900" spans="5:11">
      <c r="E900" s="287"/>
      <c r="I900" s="499"/>
      <c r="K900" s="287"/>
    </row>
    <row r="901" spans="5:11">
      <c r="E901" s="287"/>
      <c r="I901" s="499"/>
      <c r="K901" s="287"/>
    </row>
    <row r="902" spans="5:11">
      <c r="E902" s="287"/>
      <c r="I902" s="499"/>
      <c r="K902" s="287"/>
    </row>
    <row r="903" spans="5:11">
      <c r="E903" s="287"/>
      <c r="I903" s="499"/>
      <c r="K903" s="287"/>
    </row>
    <row r="904" spans="5:11">
      <c r="E904" s="287"/>
      <c r="I904" s="499"/>
      <c r="K904" s="287"/>
    </row>
    <row r="905" spans="5:11">
      <c r="E905" s="287"/>
      <c r="I905" s="499"/>
      <c r="K905" s="287"/>
    </row>
    <row r="906" spans="5:11">
      <c r="E906" s="287"/>
      <c r="I906" s="499"/>
      <c r="K906" s="287"/>
    </row>
    <row r="907" spans="5:11">
      <c r="E907" s="287"/>
      <c r="I907" s="499"/>
      <c r="K907" s="287"/>
    </row>
    <row r="908" spans="5:11">
      <c r="E908" s="287"/>
      <c r="I908" s="499"/>
      <c r="K908" s="287"/>
    </row>
    <row r="909" spans="5:11">
      <c r="E909" s="287"/>
      <c r="I909" s="499"/>
      <c r="K909" s="287"/>
    </row>
    <row r="910" spans="5:11">
      <c r="E910" s="287"/>
      <c r="I910" s="499"/>
      <c r="K910" s="287"/>
    </row>
    <row r="911" spans="5:11">
      <c r="E911" s="287"/>
      <c r="I911" s="499"/>
      <c r="K911" s="287"/>
    </row>
    <row r="912" spans="5:11">
      <c r="E912" s="287"/>
      <c r="I912" s="499"/>
      <c r="K912" s="287"/>
    </row>
    <row r="913" spans="5:11">
      <c r="E913" s="287"/>
      <c r="I913" s="499"/>
      <c r="K913" s="287"/>
    </row>
    <row r="914" spans="5:11">
      <c r="E914" s="287"/>
      <c r="I914" s="499"/>
      <c r="K914" s="287"/>
    </row>
    <row r="915" spans="5:11">
      <c r="E915" s="287"/>
      <c r="I915" s="499"/>
      <c r="K915" s="287"/>
    </row>
    <row r="916" spans="5:11">
      <c r="E916" s="287"/>
      <c r="I916" s="499"/>
      <c r="K916" s="287"/>
    </row>
    <row r="917" spans="5:11">
      <c r="E917" s="287"/>
      <c r="I917" s="499"/>
      <c r="K917" s="287"/>
    </row>
    <row r="918" spans="5:11">
      <c r="E918" s="287"/>
      <c r="I918" s="499"/>
      <c r="K918" s="287"/>
    </row>
    <row r="919" spans="5:11">
      <c r="E919" s="287"/>
      <c r="I919" s="499"/>
      <c r="K919" s="287"/>
    </row>
    <row r="920" spans="5:11">
      <c r="E920" s="287"/>
      <c r="I920" s="499"/>
      <c r="K920" s="287"/>
    </row>
    <row r="921" spans="5:11">
      <c r="E921" s="287"/>
      <c r="I921" s="499"/>
      <c r="K921" s="287"/>
    </row>
    <row r="922" spans="5:11">
      <c r="E922" s="287"/>
      <c r="I922" s="499"/>
      <c r="K922" s="287"/>
    </row>
    <row r="923" spans="5:11">
      <c r="E923" s="287"/>
      <c r="I923" s="499"/>
      <c r="K923" s="287"/>
    </row>
    <row r="924" spans="5:11">
      <c r="E924" s="287"/>
      <c r="I924" s="499"/>
      <c r="K924" s="287"/>
    </row>
    <row r="925" spans="5:11">
      <c r="E925" s="287"/>
      <c r="I925" s="499"/>
      <c r="K925" s="287"/>
    </row>
    <row r="926" spans="5:11">
      <c r="E926" s="287"/>
      <c r="I926" s="499"/>
      <c r="K926" s="287"/>
    </row>
    <row r="927" spans="5:11">
      <c r="E927" s="287"/>
      <c r="I927" s="499"/>
      <c r="K927" s="287"/>
    </row>
    <row r="928" spans="5:11">
      <c r="E928" s="287"/>
      <c r="I928" s="499"/>
      <c r="K928" s="287"/>
    </row>
    <row r="929" spans="5:11">
      <c r="E929" s="287"/>
      <c r="I929" s="499"/>
      <c r="K929" s="287"/>
    </row>
    <row r="930" spans="5:11">
      <c r="E930" s="287"/>
      <c r="I930" s="499"/>
      <c r="K930" s="287"/>
    </row>
    <row r="931" spans="5:11">
      <c r="E931" s="287"/>
      <c r="I931" s="499"/>
      <c r="K931" s="287"/>
    </row>
    <row r="932" spans="5:11">
      <c r="E932" s="287"/>
      <c r="I932" s="499"/>
      <c r="K932" s="287"/>
    </row>
    <row r="933" spans="5:11">
      <c r="E933" s="287"/>
      <c r="I933" s="499"/>
      <c r="K933" s="287"/>
    </row>
    <row r="934" spans="5:11">
      <c r="E934" s="287"/>
      <c r="I934" s="499"/>
      <c r="K934" s="287"/>
    </row>
    <row r="935" spans="5:11">
      <c r="E935" s="287"/>
      <c r="I935" s="499"/>
      <c r="K935" s="287"/>
    </row>
    <row r="936" spans="5:11">
      <c r="E936" s="287"/>
      <c r="I936" s="499"/>
      <c r="K936" s="287"/>
    </row>
    <row r="937" spans="5:11">
      <c r="E937" s="287"/>
      <c r="I937" s="499"/>
      <c r="K937" s="287"/>
    </row>
    <row r="938" spans="5:11">
      <c r="E938" s="287"/>
      <c r="I938" s="499"/>
      <c r="K938" s="287"/>
    </row>
    <row r="939" spans="5:11">
      <c r="E939" s="287"/>
      <c r="I939" s="499"/>
      <c r="K939" s="287"/>
    </row>
    <row r="940" spans="5:11">
      <c r="E940" s="287"/>
      <c r="I940" s="499"/>
      <c r="K940" s="287"/>
    </row>
    <row r="941" spans="5:11">
      <c r="E941" s="287"/>
      <c r="I941" s="499"/>
      <c r="K941" s="287"/>
    </row>
    <row r="942" spans="5:11">
      <c r="E942" s="287"/>
      <c r="I942" s="499"/>
      <c r="K942" s="287"/>
    </row>
    <row r="943" spans="5:11">
      <c r="E943" s="287"/>
      <c r="I943" s="499"/>
      <c r="K943" s="287"/>
    </row>
    <row r="944" spans="5:11">
      <c r="E944" s="287"/>
      <c r="I944" s="499"/>
      <c r="K944" s="287"/>
    </row>
    <row r="945" spans="5:11">
      <c r="E945" s="287"/>
      <c r="I945" s="499"/>
      <c r="K945" s="287"/>
    </row>
    <row r="946" spans="5:11">
      <c r="E946" s="287"/>
      <c r="I946" s="499"/>
      <c r="K946" s="287"/>
    </row>
    <row r="947" spans="5:11">
      <c r="E947" s="287"/>
      <c r="I947" s="499"/>
      <c r="K947" s="287"/>
    </row>
    <row r="948" spans="5:11">
      <c r="E948" s="287"/>
      <c r="I948" s="499"/>
      <c r="K948" s="287"/>
    </row>
    <row r="949" spans="5:11">
      <c r="E949" s="287"/>
      <c r="I949" s="499"/>
      <c r="K949" s="287"/>
    </row>
    <row r="950" spans="5:11">
      <c r="E950" s="287"/>
      <c r="I950" s="499"/>
      <c r="K950" s="287"/>
    </row>
    <row r="951" spans="5:11">
      <c r="E951" s="287"/>
      <c r="I951" s="499"/>
      <c r="K951" s="287"/>
    </row>
    <row r="952" spans="5:11">
      <c r="E952" s="287"/>
      <c r="I952" s="499"/>
      <c r="K952" s="287"/>
    </row>
    <row r="953" spans="5:11">
      <c r="E953" s="287"/>
      <c r="I953" s="499"/>
      <c r="K953" s="287"/>
    </row>
    <row r="954" spans="5:11">
      <c r="E954" s="287"/>
      <c r="I954" s="499"/>
      <c r="K954" s="287"/>
    </row>
    <row r="955" spans="5:11">
      <c r="E955" s="287"/>
      <c r="I955" s="499"/>
      <c r="K955" s="287"/>
    </row>
    <row r="956" spans="5:11">
      <c r="E956" s="287"/>
      <c r="I956" s="499"/>
      <c r="K956" s="287"/>
    </row>
    <row r="957" spans="5:11">
      <c r="E957" s="287"/>
      <c r="I957" s="499"/>
      <c r="K957" s="287"/>
    </row>
    <row r="958" spans="5:11">
      <c r="E958" s="287"/>
      <c r="I958" s="499"/>
      <c r="K958" s="287"/>
    </row>
    <row r="959" spans="5:11">
      <c r="E959" s="287"/>
      <c r="I959" s="499"/>
      <c r="K959" s="287"/>
    </row>
    <row r="960" spans="5:11">
      <c r="E960" s="287"/>
      <c r="I960" s="499"/>
      <c r="K960" s="287"/>
    </row>
    <row r="961" spans="5:11">
      <c r="E961" s="287"/>
      <c r="I961" s="499"/>
      <c r="K961" s="287"/>
    </row>
    <row r="962" spans="5:11">
      <c r="E962" s="287"/>
      <c r="I962" s="499"/>
      <c r="K962" s="287"/>
    </row>
    <row r="963" spans="5:11">
      <c r="E963" s="287"/>
      <c r="I963" s="499"/>
      <c r="K963" s="287"/>
    </row>
    <row r="964" spans="5:11">
      <c r="E964" s="287"/>
      <c r="I964" s="499"/>
      <c r="K964" s="287"/>
    </row>
    <row r="965" spans="5:11">
      <c r="E965" s="287"/>
      <c r="I965" s="499"/>
      <c r="K965" s="287"/>
    </row>
    <row r="966" spans="5:11">
      <c r="E966" s="287"/>
      <c r="I966" s="499"/>
      <c r="K966" s="287"/>
    </row>
    <row r="967" spans="5:11">
      <c r="E967" s="287"/>
      <c r="I967" s="499"/>
      <c r="K967" s="287"/>
    </row>
    <row r="968" spans="5:11">
      <c r="E968" s="287"/>
      <c r="I968" s="499"/>
      <c r="K968" s="287"/>
    </row>
    <row r="969" spans="5:11">
      <c r="E969" s="287"/>
      <c r="I969" s="499"/>
      <c r="K969" s="287"/>
    </row>
    <row r="970" spans="5:11">
      <c r="E970" s="287"/>
      <c r="I970" s="499"/>
      <c r="K970" s="287"/>
    </row>
    <row r="971" spans="5:11">
      <c r="E971" s="287"/>
      <c r="I971" s="499"/>
      <c r="K971" s="287"/>
    </row>
    <row r="972" spans="5:11">
      <c r="E972" s="287"/>
      <c r="I972" s="499"/>
      <c r="K972" s="287"/>
    </row>
    <row r="973" spans="5:11">
      <c r="E973" s="287"/>
      <c r="I973" s="499"/>
      <c r="K973" s="287"/>
    </row>
    <row r="974" spans="5:11">
      <c r="E974" s="287"/>
      <c r="I974" s="499"/>
      <c r="K974" s="287"/>
    </row>
    <row r="975" spans="5:11">
      <c r="E975" s="287"/>
      <c r="I975" s="499"/>
      <c r="K975" s="287"/>
    </row>
    <row r="976" spans="5:11">
      <c r="E976" s="287"/>
      <c r="I976" s="499"/>
      <c r="K976" s="287"/>
    </row>
    <row r="977" spans="5:11">
      <c r="E977" s="287"/>
      <c r="I977" s="499"/>
      <c r="K977" s="287"/>
    </row>
    <row r="978" spans="5:11">
      <c r="E978" s="287"/>
      <c r="I978" s="499"/>
      <c r="K978" s="287"/>
    </row>
    <row r="979" spans="5:11">
      <c r="E979" s="287"/>
      <c r="I979" s="499"/>
      <c r="K979" s="287"/>
    </row>
    <row r="980" spans="5:11">
      <c r="E980" s="287"/>
      <c r="I980" s="499"/>
      <c r="K980" s="287"/>
    </row>
    <row r="981" spans="5:11">
      <c r="E981" s="287"/>
      <c r="I981" s="499"/>
      <c r="K981" s="287"/>
    </row>
    <row r="982" spans="5:11">
      <c r="E982" s="287"/>
      <c r="I982" s="499"/>
      <c r="K982" s="287"/>
    </row>
    <row r="983" spans="5:11">
      <c r="E983" s="287"/>
      <c r="I983" s="499"/>
      <c r="K983" s="287"/>
    </row>
    <row r="984" spans="5:11">
      <c r="E984" s="287"/>
      <c r="I984" s="499"/>
      <c r="K984" s="287"/>
    </row>
    <row r="985" spans="5:11">
      <c r="E985" s="287"/>
      <c r="I985" s="499"/>
      <c r="K985" s="287"/>
    </row>
    <row r="986" spans="5:11">
      <c r="E986" s="287"/>
      <c r="I986" s="499"/>
      <c r="K986" s="287"/>
    </row>
    <row r="987" spans="5:11">
      <c r="E987" s="287"/>
      <c r="I987" s="499"/>
      <c r="K987" s="287"/>
    </row>
    <row r="988" spans="5:11">
      <c r="E988" s="287"/>
      <c r="I988" s="499"/>
      <c r="K988" s="287"/>
    </row>
    <row r="989" spans="5:11">
      <c r="E989" s="287"/>
      <c r="I989" s="499"/>
      <c r="K989" s="287"/>
    </row>
    <row r="990" spans="5:11">
      <c r="E990" s="287"/>
      <c r="I990" s="499"/>
      <c r="K990" s="287"/>
    </row>
    <row r="991" spans="5:11">
      <c r="E991" s="287"/>
      <c r="I991" s="499"/>
      <c r="K991" s="287"/>
    </row>
    <row r="992" spans="5:11">
      <c r="E992" s="287"/>
      <c r="I992" s="499"/>
      <c r="K992" s="287"/>
    </row>
    <row r="993" spans="5:11">
      <c r="E993" s="287"/>
      <c r="I993" s="499"/>
      <c r="K993" s="287"/>
    </row>
    <row r="994" spans="5:11">
      <c r="E994" s="287"/>
      <c r="I994" s="499"/>
      <c r="K994" s="287"/>
    </row>
    <row r="995" spans="5:11">
      <c r="E995" s="287"/>
      <c r="I995" s="499"/>
      <c r="K995" s="287"/>
    </row>
    <row r="996" spans="5:11">
      <c r="E996" s="287"/>
      <c r="I996" s="499"/>
      <c r="K996" s="287"/>
    </row>
    <row r="997" spans="5:11">
      <c r="E997" s="287"/>
      <c r="I997" s="499"/>
      <c r="K997" s="287"/>
    </row>
    <row r="998" spans="5:11">
      <c r="E998" s="287"/>
      <c r="I998" s="499"/>
      <c r="K998" s="287"/>
    </row>
    <row r="999" spans="5:11">
      <c r="E999" s="287"/>
      <c r="I999" s="499"/>
      <c r="K999" s="287"/>
    </row>
    <row r="1000" spans="5:11">
      <c r="E1000" s="287"/>
      <c r="I1000" s="499"/>
      <c r="K1000" s="287"/>
    </row>
  </sheetData>
  <mergeCells count="2">
    <mergeCell ref="L61:M61"/>
    <mergeCell ref="L140:L141"/>
  </mergeCells>
  <printOptions horizontalCentered="1" gridLines="1"/>
  <pageMargins left="0.25" right="0.25" top="0.75" bottom="0.75" header="0" footer="0"/>
  <pageSetup paperSize="9" pageOrder="overThenDown" orientation="portrait" cellComments="atEnd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M158"/>
  <sheetViews>
    <sheetView workbookViewId="0"/>
  </sheetViews>
  <sheetFormatPr defaultColWidth="12.5703125" defaultRowHeight="15.75" customHeight="1"/>
  <cols>
    <col min="1" max="1" width="7.85546875" customWidth="1"/>
    <col min="2" max="2" width="27.42578125" customWidth="1"/>
    <col min="4" max="4" width="21.42578125" customWidth="1"/>
    <col min="11" max="11" width="20.28515625" customWidth="1"/>
    <col min="12" max="12" width="22.7109375" customWidth="1"/>
  </cols>
  <sheetData>
    <row r="1" spans="1:13">
      <c r="A1" s="1">
        <v>3</v>
      </c>
      <c r="C1" s="499"/>
      <c r="E1" s="287"/>
      <c r="I1" s="499"/>
      <c r="K1" s="287"/>
    </row>
    <row r="2" spans="1:13">
      <c r="C2" s="499"/>
      <c r="E2" s="287"/>
      <c r="I2" s="499"/>
      <c r="K2" s="287"/>
    </row>
    <row r="3" spans="1:13">
      <c r="A3" s="523" t="s">
        <v>5</v>
      </c>
      <c r="B3" s="524" t="s">
        <v>7</v>
      </c>
      <c r="C3" s="525" t="s">
        <v>159</v>
      </c>
      <c r="D3" s="526" t="s">
        <v>10</v>
      </c>
      <c r="E3" s="527" t="s">
        <v>243</v>
      </c>
      <c r="F3" s="528" t="s">
        <v>244</v>
      </c>
      <c r="G3" s="528" t="s">
        <v>245</v>
      </c>
      <c r="H3" s="529" t="s">
        <v>246</v>
      </c>
      <c r="I3" s="525" t="s">
        <v>532</v>
      </c>
      <c r="J3" s="530" t="s">
        <v>13</v>
      </c>
      <c r="K3" s="531" t="s">
        <v>162</v>
      </c>
      <c r="L3" s="14"/>
    </row>
    <row r="4" spans="1:13">
      <c r="A4" s="219"/>
      <c r="B4" s="4"/>
      <c r="C4" s="59"/>
      <c r="D4" s="45"/>
      <c r="E4" s="532"/>
      <c r="F4" s="220"/>
      <c r="G4" s="533"/>
      <c r="H4" s="533"/>
      <c r="I4" s="223"/>
      <c r="J4" s="223"/>
      <c r="K4" s="534"/>
      <c r="L4" s="33"/>
    </row>
    <row r="5" spans="1:13">
      <c r="A5" s="782">
        <v>1</v>
      </c>
      <c r="B5" s="617" t="s">
        <v>29</v>
      </c>
      <c r="C5" s="619">
        <v>7</v>
      </c>
      <c r="D5" s="621" t="s">
        <v>648</v>
      </c>
      <c r="E5" s="622" t="s">
        <v>534</v>
      </c>
      <c r="F5" s="619">
        <v>28</v>
      </c>
      <c r="G5" s="623"/>
      <c r="H5" s="623">
        <v>32000</v>
      </c>
      <c r="I5" s="619">
        <v>32000</v>
      </c>
      <c r="J5" s="619"/>
      <c r="K5" s="622" t="s">
        <v>535</v>
      </c>
      <c r="L5" s="14"/>
    </row>
    <row r="6" spans="1:13">
      <c r="A6" s="782">
        <v>2</v>
      </c>
      <c r="B6" s="625" t="s">
        <v>20</v>
      </c>
      <c r="C6" s="619"/>
      <c r="D6" s="627"/>
      <c r="E6" s="622"/>
      <c r="F6" s="619"/>
      <c r="G6" s="623"/>
      <c r="H6" s="623"/>
      <c r="I6" s="619"/>
      <c r="J6" s="619"/>
      <c r="K6" s="622" t="s">
        <v>118</v>
      </c>
      <c r="L6" s="324"/>
    </row>
    <row r="7" spans="1:13">
      <c r="A7" s="782">
        <v>3</v>
      </c>
      <c r="B7" s="617" t="s">
        <v>340</v>
      </c>
      <c r="C7" s="621">
        <v>5</v>
      </c>
      <c r="D7" s="621" t="s">
        <v>623</v>
      </c>
      <c r="E7" s="629" t="s">
        <v>534</v>
      </c>
      <c r="F7" s="621">
        <v>30</v>
      </c>
      <c r="G7" s="623">
        <v>210000</v>
      </c>
      <c r="H7" s="623">
        <v>17500</v>
      </c>
      <c r="I7" s="621">
        <v>17500</v>
      </c>
      <c r="J7" s="621"/>
      <c r="K7" s="629" t="s">
        <v>535</v>
      </c>
      <c r="L7" s="539"/>
      <c r="M7" s="509"/>
    </row>
    <row r="8" spans="1:13">
      <c r="A8" s="782">
        <v>4</v>
      </c>
      <c r="B8" s="625" t="s">
        <v>536</v>
      </c>
      <c r="C8" s="619">
        <v>5</v>
      </c>
      <c r="D8" s="619" t="s">
        <v>18</v>
      </c>
      <c r="E8" s="622"/>
      <c r="F8" s="619"/>
      <c r="G8" s="623"/>
      <c r="H8" s="623"/>
      <c r="I8" s="619"/>
      <c r="J8" s="619"/>
      <c r="K8" s="622" t="s">
        <v>118</v>
      </c>
      <c r="L8" s="324"/>
    </row>
    <row r="9" spans="1:13">
      <c r="A9" s="782">
        <v>5</v>
      </c>
      <c r="B9" s="784" t="s">
        <v>538</v>
      </c>
      <c r="C9" s="619">
        <v>5</v>
      </c>
      <c r="D9" s="619" t="s">
        <v>648</v>
      </c>
      <c r="E9" s="622">
        <v>60</v>
      </c>
      <c r="F9" s="619">
        <v>27</v>
      </c>
      <c r="G9" s="623">
        <v>59200</v>
      </c>
      <c r="H9" s="623">
        <v>29600</v>
      </c>
      <c r="I9" s="619">
        <v>29600</v>
      </c>
      <c r="J9" s="619"/>
      <c r="K9" s="622" t="s">
        <v>653</v>
      </c>
      <c r="L9" s="324"/>
    </row>
    <row r="10" spans="1:13">
      <c r="A10" s="782">
        <v>6</v>
      </c>
      <c r="B10" s="667" t="s">
        <v>654</v>
      </c>
      <c r="C10" s="619">
        <v>5</v>
      </c>
      <c r="D10" s="621" t="s">
        <v>656</v>
      </c>
      <c r="E10" s="622"/>
      <c r="F10" s="619"/>
      <c r="G10" s="623"/>
      <c r="H10" s="623">
        <v>19575.849999999999</v>
      </c>
      <c r="I10" s="619">
        <v>19575.849999999999</v>
      </c>
      <c r="J10" s="619"/>
      <c r="K10" s="622"/>
      <c r="L10" s="14"/>
    </row>
    <row r="11" spans="1:13">
      <c r="A11" s="782">
        <v>7</v>
      </c>
      <c r="B11" s="617" t="s">
        <v>657</v>
      </c>
      <c r="C11" s="621">
        <v>5</v>
      </c>
      <c r="D11" s="619" t="s">
        <v>658</v>
      </c>
      <c r="E11" s="629">
        <v>90</v>
      </c>
      <c r="F11" s="621">
        <v>23</v>
      </c>
      <c r="G11" s="623">
        <v>88800</v>
      </c>
      <c r="H11" s="623">
        <v>29600</v>
      </c>
      <c r="I11" s="621">
        <v>29600</v>
      </c>
      <c r="J11" s="621"/>
      <c r="K11" s="629" t="s">
        <v>331</v>
      </c>
      <c r="L11" s="501" t="s">
        <v>661</v>
      </c>
      <c r="M11" s="509"/>
    </row>
    <row r="12" spans="1:13">
      <c r="A12" s="782">
        <v>8</v>
      </c>
      <c r="B12" s="617" t="s">
        <v>574</v>
      </c>
      <c r="C12" s="619">
        <v>5</v>
      </c>
      <c r="D12" s="621" t="s">
        <v>663</v>
      </c>
      <c r="E12" s="622">
        <v>180</v>
      </c>
      <c r="F12" s="619">
        <v>18</v>
      </c>
      <c r="G12" s="623">
        <v>155400</v>
      </c>
      <c r="H12" s="623">
        <v>25900</v>
      </c>
      <c r="I12" s="619">
        <v>25900</v>
      </c>
      <c r="J12" s="619"/>
      <c r="K12" s="622" t="s">
        <v>331</v>
      </c>
      <c r="L12" s="33" t="s">
        <v>664</v>
      </c>
      <c r="M12" s="1" t="s">
        <v>199</v>
      </c>
    </row>
    <row r="13" spans="1:13">
      <c r="A13" s="782">
        <v>9</v>
      </c>
      <c r="B13" s="617" t="s">
        <v>410</v>
      </c>
      <c r="C13" s="619">
        <v>5</v>
      </c>
      <c r="D13" s="619" t="s">
        <v>665</v>
      </c>
      <c r="E13" s="622">
        <v>90</v>
      </c>
      <c r="F13" s="619">
        <v>31</v>
      </c>
      <c r="G13" s="623">
        <v>88800</v>
      </c>
      <c r="H13" s="623">
        <v>29600</v>
      </c>
      <c r="I13" s="619"/>
      <c r="J13" s="619"/>
      <c r="K13" s="622" t="s">
        <v>666</v>
      </c>
      <c r="L13" s="33"/>
    </row>
    <row r="14" spans="1:13">
      <c r="A14" s="782">
        <v>10</v>
      </c>
      <c r="B14" s="667" t="s">
        <v>577</v>
      </c>
      <c r="C14" s="619">
        <v>5</v>
      </c>
      <c r="D14" s="619" t="s">
        <v>667</v>
      </c>
      <c r="E14" s="622">
        <v>180</v>
      </c>
      <c r="F14" s="619"/>
      <c r="G14" s="623">
        <v>150000</v>
      </c>
      <c r="H14" s="623">
        <v>25000</v>
      </c>
      <c r="I14" s="619">
        <v>25000</v>
      </c>
      <c r="J14" s="619"/>
      <c r="K14" s="622" t="s">
        <v>579</v>
      </c>
      <c r="L14" s="303"/>
    </row>
    <row r="15" spans="1:13">
      <c r="A15" s="782">
        <v>11</v>
      </c>
      <c r="B15" s="617" t="s">
        <v>332</v>
      </c>
      <c r="C15" s="619">
        <v>5</v>
      </c>
      <c r="D15" s="619" t="s">
        <v>648</v>
      </c>
      <c r="E15" s="622">
        <v>30</v>
      </c>
      <c r="F15" s="619">
        <v>28</v>
      </c>
      <c r="G15" s="623">
        <v>20000</v>
      </c>
      <c r="H15" s="623">
        <v>20000</v>
      </c>
      <c r="I15" s="619">
        <v>20000</v>
      </c>
      <c r="J15" s="619"/>
      <c r="K15" s="622" t="s">
        <v>331</v>
      </c>
      <c r="L15" s="33"/>
    </row>
    <row r="16" spans="1:13">
      <c r="A16" s="782">
        <v>12</v>
      </c>
      <c r="B16" s="617" t="s">
        <v>23</v>
      </c>
      <c r="C16" s="619">
        <v>5</v>
      </c>
      <c r="D16" s="619" t="s">
        <v>648</v>
      </c>
      <c r="E16" s="622" t="s">
        <v>534</v>
      </c>
      <c r="F16" s="619">
        <v>31</v>
      </c>
      <c r="G16" s="623">
        <v>33000</v>
      </c>
      <c r="H16" s="623">
        <v>33000</v>
      </c>
      <c r="I16" s="619">
        <v>33000</v>
      </c>
      <c r="J16" s="619"/>
      <c r="K16" s="622"/>
      <c r="L16" s="341" t="s">
        <v>581</v>
      </c>
    </row>
    <row r="17" spans="1:12">
      <c r="A17" s="782">
        <v>13</v>
      </c>
      <c r="B17" s="4"/>
      <c r="C17" s="59">
        <v>5</v>
      </c>
      <c r="D17" s="59"/>
      <c r="E17" s="622"/>
      <c r="F17" s="59"/>
      <c r="G17" s="59"/>
      <c r="H17" s="59"/>
      <c r="I17" s="59"/>
      <c r="J17" s="59"/>
      <c r="K17" s="537"/>
      <c r="L17" s="14"/>
    </row>
    <row r="18" spans="1:12">
      <c r="A18" s="782">
        <v>14</v>
      </c>
      <c r="B18" s="481"/>
      <c r="C18" s="454"/>
      <c r="D18" s="477"/>
      <c r="E18" s="543"/>
      <c r="F18" s="478"/>
      <c r="G18" s="478"/>
      <c r="H18" s="478"/>
      <c r="I18" s="498"/>
      <c r="J18" s="498"/>
      <c r="K18" s="503"/>
      <c r="L18" s="501"/>
    </row>
    <row r="19" spans="1:12">
      <c r="A19" s="782">
        <v>15</v>
      </c>
      <c r="B19" s="4" t="s">
        <v>448</v>
      </c>
      <c r="C19" s="59">
        <v>10</v>
      </c>
      <c r="D19" s="45" t="s">
        <v>595</v>
      </c>
      <c r="E19" s="545"/>
      <c r="F19" s="223"/>
      <c r="G19" s="223"/>
      <c r="H19" s="221"/>
      <c r="I19" s="220"/>
      <c r="J19" s="220"/>
      <c r="K19" s="230" t="s">
        <v>118</v>
      </c>
      <c r="L19" s="14"/>
    </row>
    <row r="20" spans="1:12">
      <c r="A20" s="269"/>
      <c r="B20" s="253" t="s">
        <v>672</v>
      </c>
      <c r="C20" s="59"/>
      <c r="D20" s="45"/>
      <c r="E20" s="545"/>
      <c r="F20" s="223"/>
      <c r="G20" s="223"/>
      <c r="H20" s="223"/>
      <c r="I20" s="233"/>
      <c r="J20" s="233"/>
      <c r="K20" s="230" t="s">
        <v>118</v>
      </c>
      <c r="L20" s="14"/>
    </row>
    <row r="21" spans="1:12">
      <c r="A21" s="269"/>
      <c r="B21" s="453"/>
      <c r="C21" s="454"/>
      <c r="D21" s="455"/>
      <c r="E21" s="543"/>
      <c r="F21" s="458"/>
      <c r="G21" s="458"/>
      <c r="H21" s="458"/>
      <c r="I21" s="548"/>
      <c r="J21" s="548"/>
      <c r="K21" s="503"/>
      <c r="L21" s="451"/>
    </row>
    <row r="22" spans="1:12">
      <c r="A22" s="269"/>
      <c r="B22" s="253"/>
      <c r="C22" s="59"/>
      <c r="D22" s="251"/>
      <c r="E22" s="550"/>
      <c r="F22" s="401"/>
      <c r="G22" s="402"/>
      <c r="H22" s="222"/>
      <c r="I22" s="551"/>
      <c r="J22" s="395"/>
      <c r="K22" s="309"/>
      <c r="L22" s="682" t="s">
        <v>590</v>
      </c>
    </row>
    <row r="23" spans="1:12">
      <c r="A23" s="114"/>
      <c r="B23" s="236" t="s">
        <v>177</v>
      </c>
      <c r="C23" s="6">
        <f>SUM(C3:C22)</f>
        <v>72</v>
      </c>
      <c r="D23" s="109"/>
      <c r="E23" s="552"/>
      <c r="F23" s="237"/>
      <c r="G23" s="237">
        <f t="shared" ref="G23:H23" si="0">SUM(G4:G22)</f>
        <v>805200</v>
      </c>
      <c r="H23" s="553">
        <f t="shared" si="0"/>
        <v>261775.85</v>
      </c>
      <c r="I23" s="554">
        <f>SUM(I5:I22)</f>
        <v>232175.85</v>
      </c>
      <c r="J23" s="555">
        <f>SUM(J4:J22)</f>
        <v>0</v>
      </c>
      <c r="K23" s="556">
        <f>H23+J23</f>
        <v>261775.85</v>
      </c>
      <c r="L23" s="696">
        <f>K23/G23*100</f>
        <v>32.510661947342278</v>
      </c>
    </row>
    <row r="24" spans="1:12">
      <c r="A24" s="265"/>
      <c r="B24" s="206"/>
      <c r="C24" s="697"/>
      <c r="D24" s="185"/>
      <c r="E24" s="557"/>
      <c r="F24" s="558"/>
      <c r="G24" s="558"/>
      <c r="H24" s="265"/>
      <c r="I24" s="265"/>
      <c r="J24" s="265"/>
      <c r="K24" s="559"/>
      <c r="L24" s="14"/>
    </row>
    <row r="25" spans="1:12">
      <c r="A25" s="560"/>
      <c r="B25" s="561"/>
      <c r="C25" s="562"/>
      <c r="D25" s="561"/>
      <c r="E25" s="563"/>
      <c r="F25" s="561"/>
      <c r="G25" s="565"/>
      <c r="H25" s="565"/>
      <c r="I25" s="566"/>
      <c r="J25" s="566"/>
      <c r="K25" s="567"/>
      <c r="L25" s="33"/>
    </row>
    <row r="26" spans="1:12">
      <c r="A26" s="568"/>
      <c r="B26" s="569"/>
      <c r="C26" s="338"/>
      <c r="D26" s="570"/>
      <c r="E26" s="571"/>
      <c r="F26" s="572"/>
      <c r="G26" s="572"/>
      <c r="H26" s="573"/>
      <c r="I26" s="574"/>
      <c r="J26" s="574"/>
      <c r="K26" s="575"/>
      <c r="L26" s="33"/>
    </row>
    <row r="27" spans="1:12">
      <c r="A27" s="568"/>
      <c r="B27" s="576"/>
      <c r="C27" s="340"/>
      <c r="D27" s="577"/>
      <c r="E27" s="578"/>
      <c r="F27" s="319"/>
      <c r="G27" s="319"/>
      <c r="H27" s="320"/>
      <c r="I27" s="320"/>
      <c r="J27" s="320"/>
      <c r="K27" s="579"/>
      <c r="L27" s="33"/>
    </row>
    <row r="28" spans="1:12">
      <c r="A28" s="580"/>
      <c r="B28" s="581"/>
      <c r="C28" s="260"/>
      <c r="D28" s="260"/>
      <c r="E28" s="578"/>
      <c r="F28" s="582"/>
      <c r="G28" s="572"/>
      <c r="H28" s="270"/>
      <c r="I28" s="583"/>
      <c r="J28" s="584"/>
      <c r="K28" s="585"/>
      <c r="L28" s="303"/>
    </row>
    <row r="29" spans="1:12">
      <c r="A29" s="568"/>
      <c r="B29" s="586"/>
      <c r="C29" s="340"/>
      <c r="D29" s="577"/>
      <c r="E29" s="587"/>
      <c r="F29" s="582"/>
      <c r="G29" s="582"/>
      <c r="H29" s="237"/>
      <c r="I29" s="582"/>
      <c r="J29" s="582"/>
      <c r="K29" s="588"/>
      <c r="L29" s="33"/>
    </row>
    <row r="30" spans="1:12">
      <c r="A30" s="589"/>
      <c r="B30" s="590"/>
      <c r="C30" s="591"/>
      <c r="D30" s="590"/>
      <c r="E30" s="592"/>
      <c r="F30" s="590"/>
      <c r="G30" s="590"/>
      <c r="H30" s="590"/>
      <c r="I30" s="591"/>
      <c r="J30" s="590"/>
      <c r="K30" s="593"/>
    </row>
    <row r="31" spans="1:12">
      <c r="A31" s="2"/>
      <c r="B31" s="4"/>
      <c r="C31" s="6"/>
      <c r="D31" s="8"/>
      <c r="E31" s="532"/>
      <c r="F31" s="220"/>
      <c r="G31" s="220"/>
      <c r="H31" s="6"/>
      <c r="I31" s="6"/>
      <c r="J31" s="6"/>
      <c r="K31" s="594"/>
      <c r="L31" s="14"/>
    </row>
    <row r="32" spans="1:12">
      <c r="A32" s="595" t="s">
        <v>5</v>
      </c>
      <c r="B32" s="596" t="s">
        <v>74</v>
      </c>
      <c r="C32" s="597" t="s">
        <v>159</v>
      </c>
      <c r="D32" s="598" t="s">
        <v>10</v>
      </c>
      <c r="E32" s="599" t="s">
        <v>243</v>
      </c>
      <c r="F32" s="600" t="s">
        <v>244</v>
      </c>
      <c r="G32" s="600" t="s">
        <v>245</v>
      </c>
      <c r="H32" s="601" t="s">
        <v>246</v>
      </c>
      <c r="I32" s="597" t="s">
        <v>532</v>
      </c>
      <c r="J32" s="602" t="s">
        <v>13</v>
      </c>
      <c r="K32" s="603" t="s">
        <v>162</v>
      </c>
      <c r="L32" s="14"/>
    </row>
    <row r="33" spans="1:12">
      <c r="A33" s="269">
        <v>1</v>
      </c>
      <c r="B33" s="443" t="s">
        <v>135</v>
      </c>
      <c r="C33" s="144">
        <v>5</v>
      </c>
      <c r="D33" s="715" t="s">
        <v>648</v>
      </c>
      <c r="E33" s="606"/>
      <c r="F33" s="144">
        <v>28</v>
      </c>
      <c r="G33" s="608"/>
      <c r="H33" s="608">
        <v>32000</v>
      </c>
      <c r="I33" s="608">
        <v>32000</v>
      </c>
      <c r="J33" s="609"/>
      <c r="K33" s="503"/>
      <c r="L33" s="491"/>
    </row>
    <row r="34" spans="1:12">
      <c r="A34" s="269">
        <v>2</v>
      </c>
      <c r="B34" s="443" t="s">
        <v>20</v>
      </c>
      <c r="C34" s="144">
        <v>5</v>
      </c>
      <c r="D34" s="234"/>
      <c r="E34" s="610"/>
      <c r="F34" s="611"/>
      <c r="G34" s="612"/>
      <c r="H34" s="612"/>
      <c r="I34" s="613"/>
      <c r="J34" s="612"/>
      <c r="K34" s="503" t="s">
        <v>118</v>
      </c>
      <c r="L34" s="14"/>
    </row>
    <row r="35" spans="1:12">
      <c r="A35" s="269">
        <v>3</v>
      </c>
      <c r="B35" s="791" t="s">
        <v>685</v>
      </c>
      <c r="C35" s="144">
        <v>5</v>
      </c>
      <c r="D35" s="203" t="s">
        <v>656</v>
      </c>
      <c r="E35" s="230"/>
      <c r="F35" s="144"/>
      <c r="G35" s="608"/>
      <c r="H35" s="608">
        <v>30830.54</v>
      </c>
      <c r="I35" s="608">
        <v>30830.54</v>
      </c>
      <c r="J35" s="609"/>
      <c r="K35" s="503"/>
      <c r="L35" s="14"/>
    </row>
    <row r="36" spans="1:12">
      <c r="A36" s="269">
        <v>4</v>
      </c>
      <c r="B36" s="443" t="s">
        <v>23</v>
      </c>
      <c r="C36" s="144">
        <v>5</v>
      </c>
      <c r="D36" s="715" t="s">
        <v>648</v>
      </c>
      <c r="E36" s="230" t="s">
        <v>534</v>
      </c>
      <c r="F36" s="144">
        <v>22</v>
      </c>
      <c r="G36" s="538">
        <v>363000</v>
      </c>
      <c r="H36" s="538">
        <v>25928.5</v>
      </c>
      <c r="I36" s="608">
        <v>33000</v>
      </c>
      <c r="J36" s="609"/>
      <c r="K36" s="503" t="s">
        <v>535</v>
      </c>
      <c r="L36" s="33" t="s">
        <v>581</v>
      </c>
    </row>
    <row r="37" spans="1:12">
      <c r="A37" s="269">
        <v>5</v>
      </c>
      <c r="B37" s="443" t="s">
        <v>617</v>
      </c>
      <c r="C37" s="473">
        <v>5</v>
      </c>
      <c r="D37" s="725" t="s">
        <v>669</v>
      </c>
      <c r="E37" s="230"/>
      <c r="F37" s="144"/>
      <c r="G37" s="608"/>
      <c r="H37" s="608"/>
      <c r="I37" s="609"/>
      <c r="J37" s="609"/>
      <c r="K37" s="503" t="s">
        <v>619</v>
      </c>
      <c r="L37" s="33" t="s">
        <v>620</v>
      </c>
    </row>
    <row r="38" spans="1:12">
      <c r="A38" s="269">
        <v>6</v>
      </c>
      <c r="B38" s="443" t="s">
        <v>568</v>
      </c>
      <c r="C38" s="144">
        <v>5</v>
      </c>
      <c r="D38" s="203" t="s">
        <v>665</v>
      </c>
      <c r="E38" s="230">
        <v>180</v>
      </c>
      <c r="F38" s="144">
        <v>9</v>
      </c>
      <c r="G38" s="608">
        <v>147000</v>
      </c>
      <c r="H38" s="608">
        <v>24500</v>
      </c>
      <c r="I38" s="608">
        <v>24500</v>
      </c>
      <c r="J38" s="609"/>
      <c r="K38" s="503" t="s">
        <v>571</v>
      </c>
      <c r="L38" s="792" t="s">
        <v>687</v>
      </c>
    </row>
    <row r="39" spans="1:12">
      <c r="A39" s="269">
        <v>7</v>
      </c>
      <c r="B39" s="443" t="s">
        <v>536</v>
      </c>
      <c r="C39" s="144">
        <v>5</v>
      </c>
      <c r="D39" s="203"/>
      <c r="E39" s="606"/>
      <c r="F39" s="607"/>
      <c r="G39" s="609"/>
      <c r="H39" s="609"/>
      <c r="I39" s="609"/>
      <c r="J39" s="609"/>
      <c r="K39" s="503" t="s">
        <v>118</v>
      </c>
      <c r="L39" s="491"/>
    </row>
    <row r="40" spans="1:12">
      <c r="A40" s="269">
        <v>8</v>
      </c>
      <c r="B40" s="443" t="s">
        <v>366</v>
      </c>
      <c r="C40" s="144">
        <v>5</v>
      </c>
      <c r="D40" s="203" t="s">
        <v>688</v>
      </c>
      <c r="E40" s="230">
        <v>31</v>
      </c>
      <c r="F40" s="144">
        <v>31</v>
      </c>
      <c r="G40" s="609">
        <v>17500</v>
      </c>
      <c r="H40" s="608">
        <v>17500</v>
      </c>
      <c r="I40" s="608">
        <v>17500</v>
      </c>
      <c r="J40" s="609"/>
      <c r="K40" s="503" t="s">
        <v>331</v>
      </c>
      <c r="L40" s="491"/>
    </row>
    <row r="41" spans="1:12">
      <c r="A41" s="269">
        <v>9</v>
      </c>
      <c r="B41" s="793" t="s">
        <v>689</v>
      </c>
      <c r="C41" s="144">
        <v>5</v>
      </c>
      <c r="D41" s="203" t="s">
        <v>648</v>
      </c>
      <c r="E41" s="230">
        <v>90</v>
      </c>
      <c r="F41" s="607"/>
      <c r="G41" s="609"/>
      <c r="H41" s="608">
        <v>28000</v>
      </c>
      <c r="I41" s="609"/>
      <c r="J41" s="609"/>
      <c r="K41" s="503" t="s">
        <v>653</v>
      </c>
      <c r="L41" s="33" t="s">
        <v>690</v>
      </c>
    </row>
    <row r="42" spans="1:12">
      <c r="A42" s="269">
        <v>10</v>
      </c>
      <c r="B42" s="443" t="s">
        <v>332</v>
      </c>
      <c r="C42" s="144">
        <v>5</v>
      </c>
      <c r="D42" s="203" t="s">
        <v>648</v>
      </c>
      <c r="E42" s="230">
        <v>90</v>
      </c>
      <c r="F42" s="144">
        <v>28</v>
      </c>
      <c r="G42" s="609">
        <v>20000</v>
      </c>
      <c r="H42" s="608">
        <v>20000</v>
      </c>
      <c r="I42" s="608">
        <v>20000</v>
      </c>
      <c r="J42" s="609"/>
      <c r="K42" s="503" t="s">
        <v>331</v>
      </c>
      <c r="L42" s="324"/>
    </row>
    <row r="43" spans="1:12">
      <c r="A43" s="269">
        <v>11</v>
      </c>
      <c r="B43" s="481" t="s">
        <v>657</v>
      </c>
      <c r="C43" s="454">
        <v>5</v>
      </c>
      <c r="D43" s="477" t="s">
        <v>658</v>
      </c>
      <c r="E43" s="543">
        <v>90</v>
      </c>
      <c r="F43" s="478">
        <v>23</v>
      </c>
      <c r="G43" s="478">
        <v>28000</v>
      </c>
      <c r="H43" s="478">
        <v>28000</v>
      </c>
      <c r="I43" s="478">
        <v>28000</v>
      </c>
      <c r="J43" s="498"/>
      <c r="K43" s="503"/>
      <c r="L43" s="324" t="s">
        <v>661</v>
      </c>
    </row>
    <row r="44" spans="1:12">
      <c r="A44" s="269">
        <v>12</v>
      </c>
      <c r="B44" s="443" t="s">
        <v>461</v>
      </c>
      <c r="C44" s="144"/>
      <c r="D44" s="203"/>
      <c r="E44" s="606"/>
      <c r="F44" s="609"/>
      <c r="G44" s="609"/>
      <c r="H44" s="608">
        <v>31500</v>
      </c>
      <c r="I44" s="609"/>
      <c r="J44" s="609"/>
      <c r="K44" s="503" t="s">
        <v>275</v>
      </c>
      <c r="L44" s="324"/>
    </row>
    <row r="45" spans="1:12">
      <c r="A45" s="269">
        <v>13</v>
      </c>
      <c r="B45" s="443" t="s">
        <v>448</v>
      </c>
      <c r="C45" s="144">
        <v>10</v>
      </c>
      <c r="D45" s="203" t="s">
        <v>626</v>
      </c>
      <c r="E45" s="606"/>
      <c r="F45" s="609"/>
      <c r="G45" s="609"/>
      <c r="H45" s="609"/>
      <c r="I45" s="609"/>
      <c r="J45" s="609"/>
      <c r="K45" s="503" t="s">
        <v>118</v>
      </c>
      <c r="L45" s="496"/>
    </row>
    <row r="46" spans="1:12">
      <c r="A46" s="269">
        <v>14</v>
      </c>
      <c r="B46" s="443"/>
      <c r="C46" s="100"/>
      <c r="D46" s="109"/>
      <c r="E46" s="606"/>
      <c r="F46" s="609"/>
      <c r="G46" s="609"/>
      <c r="H46" s="609"/>
      <c r="I46" s="616"/>
      <c r="J46" s="609"/>
      <c r="K46" s="503"/>
      <c r="L46" s="682" t="s">
        <v>590</v>
      </c>
    </row>
    <row r="47" spans="1:12">
      <c r="A47" s="2"/>
      <c r="B47" s="236" t="s">
        <v>177</v>
      </c>
      <c r="C47" s="6">
        <f>SUM(C33:C46)</f>
        <v>65</v>
      </c>
      <c r="D47" s="8"/>
      <c r="E47" s="618">
        <f>SUM(E33:E46)</f>
        <v>481</v>
      </c>
      <c r="F47" s="620"/>
      <c r="G47" s="620">
        <f t="shared" ref="G47:J47" si="1">SUM(G33:G46)</f>
        <v>575500</v>
      </c>
      <c r="H47" s="624">
        <f t="shared" si="1"/>
        <v>238259.04</v>
      </c>
      <c r="I47" s="626">
        <f t="shared" si="1"/>
        <v>185830.54</v>
      </c>
      <c r="J47" s="620">
        <f t="shared" si="1"/>
        <v>0</v>
      </c>
      <c r="K47" s="628">
        <f>H47+J47</f>
        <v>238259.04</v>
      </c>
      <c r="L47" s="696">
        <f>K47/G47*100</f>
        <v>41.400354474370118</v>
      </c>
    </row>
    <row r="48" spans="1:12">
      <c r="A48" s="14"/>
      <c r="B48" s="206"/>
      <c r="C48" s="198"/>
      <c r="D48" s="185"/>
      <c r="E48" s="557"/>
      <c r="F48" s="209"/>
      <c r="G48" s="209"/>
      <c r="H48" s="14"/>
      <c r="I48" s="14"/>
      <c r="J48" s="14"/>
      <c r="K48" s="559"/>
      <c r="L48" s="14"/>
    </row>
    <row r="49" spans="1:13">
      <c r="A49" s="630"/>
      <c r="B49" s="631"/>
      <c r="C49" s="632"/>
      <c r="D49" s="633"/>
      <c r="E49" s="634"/>
      <c r="F49" s="631"/>
      <c r="G49" s="635"/>
      <c r="H49" s="635"/>
      <c r="I49" s="636"/>
      <c r="J49" s="636"/>
      <c r="K49" s="637"/>
      <c r="L49" s="14"/>
    </row>
    <row r="50" spans="1:13">
      <c r="A50" s="638"/>
      <c r="B50" s="639"/>
      <c r="C50" s="150"/>
      <c r="D50" s="641"/>
      <c r="E50" s="642"/>
      <c r="F50" s="237"/>
      <c r="G50" s="150"/>
      <c r="H50" s="270"/>
      <c r="I50" s="237"/>
      <c r="J50" s="237"/>
      <c r="K50" s="643"/>
      <c r="L50" s="451"/>
    </row>
    <row r="51" spans="1:13">
      <c r="A51" s="638"/>
      <c r="B51" s="644"/>
      <c r="C51" s="260"/>
      <c r="D51" s="645"/>
      <c r="E51" s="642"/>
      <c r="F51" s="237"/>
      <c r="G51" s="150"/>
      <c r="H51" s="237"/>
      <c r="I51" s="237"/>
      <c r="J51" s="237"/>
      <c r="K51" s="646"/>
      <c r="L51" s="14"/>
    </row>
    <row r="52" spans="1:13">
      <c r="A52" s="638"/>
      <c r="B52" s="647"/>
      <c r="C52" s="649"/>
      <c r="D52" s="651"/>
      <c r="E52" s="652"/>
      <c r="F52" s="653"/>
      <c r="G52" s="653"/>
      <c r="H52" s="653"/>
      <c r="I52" s="654"/>
      <c r="J52" s="653"/>
      <c r="K52" s="655"/>
      <c r="L52" s="14"/>
    </row>
    <row r="53" spans="1:13">
      <c r="A53" s="638"/>
      <c r="B53" s="644"/>
      <c r="C53" s="260"/>
      <c r="D53" s="645"/>
      <c r="E53" s="642"/>
      <c r="F53" s="237"/>
      <c r="G53" s="270"/>
      <c r="H53" s="270"/>
      <c r="I53" s="237"/>
      <c r="J53" s="237"/>
      <c r="K53" s="646"/>
      <c r="L53" s="14"/>
    </row>
    <row r="54" spans="1:13">
      <c r="A54" s="638"/>
      <c r="B54" s="639"/>
      <c r="C54" s="260"/>
      <c r="D54" s="645"/>
      <c r="E54" s="587"/>
      <c r="F54" s="270"/>
      <c r="G54" s="270"/>
      <c r="H54" s="237"/>
      <c r="I54" s="150"/>
      <c r="J54" s="150"/>
      <c r="K54" s="646"/>
      <c r="L54" s="14"/>
    </row>
    <row r="55" spans="1:13">
      <c r="A55" s="656"/>
      <c r="B55" s="639"/>
      <c r="C55" s="309"/>
      <c r="D55" s="657"/>
      <c r="E55" s="587"/>
      <c r="F55" s="658"/>
      <c r="G55" s="659"/>
      <c r="H55" s="660"/>
      <c r="I55" s="642"/>
      <c r="J55" s="642"/>
      <c r="K55" s="661"/>
      <c r="L55" s="14"/>
    </row>
    <row r="56" spans="1:13">
      <c r="A56" s="662"/>
      <c r="B56" s="663"/>
      <c r="C56" s="664"/>
      <c r="D56" s="665"/>
      <c r="E56" s="666"/>
      <c r="F56" s="668"/>
      <c r="G56" s="669"/>
      <c r="H56" s="670"/>
      <c r="I56" s="671"/>
      <c r="J56" s="671"/>
      <c r="K56" s="672"/>
      <c r="L56" s="14"/>
    </row>
    <row r="57" spans="1:13">
      <c r="A57" s="114"/>
      <c r="B57" s="283"/>
      <c r="C57" s="673"/>
      <c r="D57" s="674"/>
      <c r="E57" s="675"/>
      <c r="F57" s="676"/>
      <c r="G57" s="677"/>
      <c r="H57" s="678"/>
      <c r="I57" s="679"/>
      <c r="J57" s="679"/>
      <c r="K57" s="680"/>
      <c r="L57" s="265"/>
      <c r="M57" s="681"/>
    </row>
    <row r="58" spans="1:13">
      <c r="A58" s="683" t="s">
        <v>5</v>
      </c>
      <c r="B58" s="684" t="s">
        <v>315</v>
      </c>
      <c r="C58" s="685" t="s">
        <v>159</v>
      </c>
      <c r="D58" s="686" t="s">
        <v>10</v>
      </c>
      <c r="E58" s="687" t="s">
        <v>243</v>
      </c>
      <c r="F58" s="688" t="s">
        <v>244</v>
      </c>
      <c r="G58" s="688" t="s">
        <v>245</v>
      </c>
      <c r="H58" s="689" t="s">
        <v>246</v>
      </c>
      <c r="I58" s="525" t="s">
        <v>532</v>
      </c>
      <c r="J58" s="690" t="s">
        <v>13</v>
      </c>
      <c r="K58" s="691" t="s">
        <v>162</v>
      </c>
      <c r="L58" s="14"/>
    </row>
    <row r="59" spans="1:13">
      <c r="A59" s="139">
        <v>1</v>
      </c>
      <c r="B59" s="796" t="s">
        <v>700</v>
      </c>
      <c r="C59" s="144">
        <v>5</v>
      </c>
      <c r="D59" s="757" t="s">
        <v>648</v>
      </c>
      <c r="E59" s="693">
        <v>200</v>
      </c>
      <c r="F59" s="103"/>
      <c r="G59" s="608"/>
      <c r="H59" s="694">
        <v>14000</v>
      </c>
      <c r="I59" s="100"/>
      <c r="J59" s="100"/>
      <c r="K59" s="230" t="s">
        <v>275</v>
      </c>
      <c r="L59" s="33" t="s">
        <v>701</v>
      </c>
      <c r="M59" s="499"/>
    </row>
    <row r="60" spans="1:13">
      <c r="A60" s="139">
        <v>2</v>
      </c>
      <c r="B60" s="797" t="s">
        <v>596</v>
      </c>
      <c r="C60" s="798">
        <v>5</v>
      </c>
      <c r="D60" s="799" t="s">
        <v>702</v>
      </c>
      <c r="E60" s="800">
        <v>120</v>
      </c>
      <c r="F60" s="801">
        <v>30</v>
      </c>
      <c r="G60" s="802">
        <v>120000</v>
      </c>
      <c r="H60" s="803">
        <v>30000</v>
      </c>
      <c r="I60" s="798"/>
      <c r="J60" s="798" t="s">
        <v>275</v>
      </c>
      <c r="K60" s="804" t="s">
        <v>598</v>
      </c>
      <c r="L60" s="14"/>
      <c r="M60" s="499"/>
    </row>
    <row r="61" spans="1:13">
      <c r="A61" s="134">
        <v>3</v>
      </c>
      <c r="B61" s="805" t="s">
        <v>617</v>
      </c>
      <c r="C61" s="144">
        <v>5</v>
      </c>
      <c r="D61" s="144" t="s">
        <v>703</v>
      </c>
      <c r="E61" s="693"/>
      <c r="F61" s="103"/>
      <c r="G61" s="608"/>
      <c r="H61" s="695"/>
      <c r="I61" s="100"/>
      <c r="J61" s="100"/>
      <c r="K61" s="295" t="s">
        <v>619</v>
      </c>
      <c r="L61" s="33" t="s">
        <v>637</v>
      </c>
      <c r="M61" s="33"/>
    </row>
    <row r="62" spans="1:13">
      <c r="A62" s="139">
        <v>4</v>
      </c>
      <c r="B62" s="805" t="s">
        <v>600</v>
      </c>
      <c r="C62" s="144">
        <v>5</v>
      </c>
      <c r="D62" s="144" t="s">
        <v>704</v>
      </c>
      <c r="E62" s="693">
        <v>180</v>
      </c>
      <c r="F62" s="103">
        <v>28</v>
      </c>
      <c r="G62" s="608">
        <v>14000</v>
      </c>
      <c r="H62" s="694">
        <v>14000</v>
      </c>
      <c r="I62" s="144">
        <v>14000</v>
      </c>
      <c r="J62" s="100"/>
      <c r="K62" s="520"/>
      <c r="L62" s="33" t="s">
        <v>602</v>
      </c>
      <c r="M62" s="499"/>
    </row>
    <row r="63" spans="1:13">
      <c r="A63" s="139">
        <v>5</v>
      </c>
      <c r="B63" s="692" t="s">
        <v>705</v>
      </c>
      <c r="C63" s="144">
        <v>5.03</v>
      </c>
      <c r="D63" s="144" t="s">
        <v>467</v>
      </c>
      <c r="E63" s="693"/>
      <c r="F63" s="103"/>
      <c r="G63" s="608"/>
      <c r="H63" s="695"/>
      <c r="I63" s="100"/>
      <c r="J63" s="100"/>
      <c r="K63" s="230" t="s">
        <v>118</v>
      </c>
      <c r="L63" s="14"/>
      <c r="M63" s="499"/>
    </row>
    <row r="64" spans="1:13">
      <c r="A64" s="139">
        <v>6</v>
      </c>
      <c r="B64" s="805" t="s">
        <v>461</v>
      </c>
      <c r="C64" s="144">
        <v>5</v>
      </c>
      <c r="D64" s="144" t="s">
        <v>706</v>
      </c>
      <c r="E64" s="693">
        <v>365</v>
      </c>
      <c r="F64" s="103">
        <v>28</v>
      </c>
      <c r="G64" s="608">
        <v>14000</v>
      </c>
      <c r="H64" s="694">
        <v>14000</v>
      </c>
      <c r="I64" s="144">
        <v>14000</v>
      </c>
      <c r="J64" s="100"/>
      <c r="K64" s="230"/>
      <c r="L64" s="33" t="s">
        <v>707</v>
      </c>
      <c r="M64" s="499"/>
    </row>
    <row r="65" spans="1:13">
      <c r="A65" s="139">
        <v>7</v>
      </c>
      <c r="B65" s="692" t="s">
        <v>448</v>
      </c>
      <c r="C65" s="144">
        <v>10</v>
      </c>
      <c r="D65" s="144" t="s">
        <v>467</v>
      </c>
      <c r="E65" s="552"/>
      <c r="F65" s="233"/>
      <c r="G65" s="609"/>
      <c r="H65" s="609"/>
      <c r="I65" s="100"/>
      <c r="J65" s="100"/>
      <c r="K65" s="230" t="s">
        <v>118</v>
      </c>
      <c r="L65" s="14"/>
      <c r="M65" s="499"/>
    </row>
    <row r="66" spans="1:13">
      <c r="A66" s="139">
        <v>8</v>
      </c>
      <c r="B66" s="805" t="s">
        <v>134</v>
      </c>
      <c r="C66" s="144">
        <v>5</v>
      </c>
      <c r="D66" s="715" t="s">
        <v>648</v>
      </c>
      <c r="E66" s="693" t="s">
        <v>534</v>
      </c>
      <c r="F66" s="144">
        <v>22</v>
      </c>
      <c r="G66" s="538">
        <v>363000</v>
      </c>
      <c r="H66" s="538">
        <v>25928.5</v>
      </c>
      <c r="I66" s="144">
        <v>33000</v>
      </c>
      <c r="J66" s="100"/>
      <c r="K66" s="230" t="s">
        <v>535</v>
      </c>
      <c r="L66" s="33" t="s">
        <v>581</v>
      </c>
      <c r="M66" s="499"/>
    </row>
    <row r="67" spans="1:13">
      <c r="A67" s="139">
        <v>9</v>
      </c>
      <c r="B67" s="692" t="s">
        <v>709</v>
      </c>
      <c r="C67" s="144">
        <v>5</v>
      </c>
      <c r="D67" s="699" t="s">
        <v>710</v>
      </c>
      <c r="E67" s="587">
        <v>60</v>
      </c>
      <c r="F67" s="270">
        <v>7</v>
      </c>
      <c r="G67" s="700"/>
      <c r="H67" s="533">
        <v>16000</v>
      </c>
      <c r="I67" s="59">
        <v>16000</v>
      </c>
      <c r="J67" s="144"/>
      <c r="K67" s="309" t="s">
        <v>118</v>
      </c>
      <c r="L67" s="33" t="s">
        <v>608</v>
      </c>
      <c r="M67" s="499"/>
    </row>
    <row r="68" spans="1:13">
      <c r="A68" s="134">
        <v>10</v>
      </c>
      <c r="B68" s="497" t="s">
        <v>641</v>
      </c>
      <c r="C68" s="59">
        <v>5</v>
      </c>
      <c r="D68" s="477" t="s">
        <v>642</v>
      </c>
      <c r="E68" s="537">
        <v>30</v>
      </c>
      <c r="F68" s="220"/>
      <c r="G68" s="533">
        <v>20000</v>
      </c>
      <c r="H68" s="533">
        <v>20000</v>
      </c>
      <c r="I68" s="558"/>
      <c r="J68" s="220"/>
      <c r="K68" s="594"/>
      <c r="L68" s="682" t="s">
        <v>590</v>
      </c>
      <c r="M68" s="499"/>
    </row>
    <row r="69" spans="1:13">
      <c r="A69" s="134">
        <v>11</v>
      </c>
      <c r="B69" s="310" t="s">
        <v>711</v>
      </c>
      <c r="C69" s="806">
        <v>5</v>
      </c>
      <c r="D69" s="312" t="s">
        <v>648</v>
      </c>
      <c r="E69" s="537">
        <v>30</v>
      </c>
      <c r="F69" s="220"/>
      <c r="G69" s="533">
        <v>10000</v>
      </c>
      <c r="H69" s="807">
        <v>10000</v>
      </c>
      <c r="I69" s="808">
        <v>10000</v>
      </c>
      <c r="J69" s="220"/>
      <c r="K69" s="809"/>
      <c r="L69" s="810" t="s">
        <v>621</v>
      </c>
      <c r="M69" s="499"/>
    </row>
    <row r="70" spans="1:13">
      <c r="A70" s="134">
        <v>12</v>
      </c>
      <c r="B70" s="236" t="s">
        <v>712</v>
      </c>
      <c r="C70" s="806">
        <v>5</v>
      </c>
      <c r="D70" s="45" t="s">
        <v>713</v>
      </c>
      <c r="E70" s="537">
        <v>30</v>
      </c>
      <c r="F70" s="220"/>
      <c r="G70" s="533">
        <v>20000</v>
      </c>
      <c r="H70" s="807">
        <v>20000</v>
      </c>
      <c r="I70" s="808">
        <v>20000</v>
      </c>
      <c r="J70" s="220"/>
      <c r="K70" s="809"/>
      <c r="L70" s="696"/>
      <c r="M70" s="499"/>
    </row>
    <row r="71" spans="1:13">
      <c r="A71" s="134">
        <v>13</v>
      </c>
      <c r="B71" s="236" t="s">
        <v>714</v>
      </c>
      <c r="C71" s="806">
        <v>5</v>
      </c>
      <c r="D71" s="45" t="s">
        <v>663</v>
      </c>
      <c r="E71" s="537">
        <v>90</v>
      </c>
      <c r="F71" s="220"/>
      <c r="G71" s="620"/>
      <c r="H71" s="807">
        <v>16000</v>
      </c>
      <c r="I71" s="808">
        <v>16000</v>
      </c>
      <c r="J71" s="220"/>
      <c r="K71" s="809"/>
      <c r="L71" s="810"/>
      <c r="M71" s="499"/>
    </row>
    <row r="72" spans="1:13">
      <c r="A72" s="134">
        <v>14</v>
      </c>
      <c r="B72" s="236" t="s">
        <v>657</v>
      </c>
      <c r="C72" s="806">
        <v>5</v>
      </c>
      <c r="D72" s="45" t="s">
        <v>658</v>
      </c>
      <c r="E72" s="537">
        <v>90</v>
      </c>
      <c r="F72" s="223">
        <v>23</v>
      </c>
      <c r="G72" s="533">
        <v>48000</v>
      </c>
      <c r="H72" s="807">
        <v>16000</v>
      </c>
      <c r="I72" s="808">
        <v>16000</v>
      </c>
      <c r="J72" s="220"/>
      <c r="K72" s="809"/>
      <c r="L72" s="810" t="s">
        <v>661</v>
      </c>
      <c r="M72" s="499"/>
    </row>
    <row r="73" spans="1:13">
      <c r="A73" s="132"/>
      <c r="B73" s="236" t="s">
        <v>177</v>
      </c>
      <c r="C73" s="769">
        <f>SUM(C54:C72)</f>
        <v>75.03</v>
      </c>
      <c r="D73" s="8"/>
      <c r="E73" s="532">
        <f>SUM(E54:E72)</f>
        <v>1195</v>
      </c>
      <c r="F73" s="220"/>
      <c r="G73" s="620">
        <f t="shared" ref="G73:I73" si="2">SUM(G59:G72)</f>
        <v>609000</v>
      </c>
      <c r="H73" s="701">
        <f t="shared" si="2"/>
        <v>195928.5</v>
      </c>
      <c r="I73" s="554">
        <f t="shared" si="2"/>
        <v>139000</v>
      </c>
      <c r="J73" s="220">
        <f>SUM(J59:J68)</f>
        <v>0</v>
      </c>
      <c r="K73" s="628">
        <f>H73+J73</f>
        <v>195928.5</v>
      </c>
      <c r="L73" s="696">
        <f>K73/G73*100</f>
        <v>32.172167487684725</v>
      </c>
      <c r="M73" s="499"/>
    </row>
    <row r="74" spans="1:13">
      <c r="A74" s="702"/>
      <c r="B74" s="811"/>
      <c r="C74" s="673"/>
      <c r="D74" s="812"/>
      <c r="E74" s="675"/>
      <c r="F74" s="676"/>
      <c r="G74" s="677"/>
      <c r="H74" s="703"/>
      <c r="I74" s="704"/>
      <c r="J74" s="220"/>
      <c r="K74" s="309"/>
      <c r="L74" s="265"/>
      <c r="M74" s="681"/>
    </row>
    <row r="75" spans="1:13">
      <c r="A75" s="630"/>
      <c r="B75" s="631"/>
      <c r="C75" s="632"/>
      <c r="D75" s="633"/>
      <c r="E75" s="634"/>
      <c r="F75" s="631"/>
      <c r="G75" s="635"/>
      <c r="H75" s="635"/>
      <c r="I75" s="636"/>
      <c r="J75" s="636"/>
      <c r="K75" s="637"/>
      <c r="L75" s="14"/>
    </row>
    <row r="76" spans="1:13">
      <c r="A76" s="638"/>
      <c r="B76" s="639"/>
      <c r="C76" s="150"/>
      <c r="D76" s="641"/>
      <c r="E76" s="642"/>
      <c r="F76" s="237"/>
      <c r="G76" s="150"/>
      <c r="H76" s="270"/>
      <c r="I76" s="237"/>
      <c r="J76" s="237"/>
      <c r="K76" s="643"/>
      <c r="L76" s="14"/>
    </row>
    <row r="77" spans="1:13">
      <c r="A77" s="638"/>
      <c r="B77" s="644"/>
      <c r="C77" s="260"/>
      <c r="D77" s="645"/>
      <c r="E77" s="642"/>
      <c r="F77" s="237"/>
      <c r="G77" s="150"/>
      <c r="H77" s="237"/>
      <c r="I77" s="237"/>
      <c r="J77" s="237"/>
      <c r="K77" s="646"/>
      <c r="L77" s="14"/>
    </row>
    <row r="78" spans="1:13">
      <c r="A78" s="638"/>
      <c r="B78" s="647"/>
      <c r="C78" s="649"/>
      <c r="D78" s="651"/>
      <c r="E78" s="652"/>
      <c r="F78" s="653"/>
      <c r="G78" s="653"/>
      <c r="H78" s="653"/>
      <c r="I78" s="654"/>
      <c r="J78" s="653"/>
      <c r="K78" s="655"/>
      <c r="L78" s="14"/>
    </row>
    <row r="79" spans="1:13">
      <c r="A79" s="638"/>
      <c r="B79" s="644"/>
      <c r="C79" s="260"/>
      <c r="D79" s="645"/>
      <c r="E79" s="642"/>
      <c r="F79" s="237"/>
      <c r="G79" s="270"/>
      <c r="H79" s="270"/>
      <c r="I79" s="237"/>
      <c r="J79" s="237"/>
      <c r="K79" s="646"/>
      <c r="L79" s="14"/>
    </row>
    <row r="80" spans="1:13">
      <c r="A80" s="638"/>
      <c r="B80" s="639"/>
      <c r="C80" s="260"/>
      <c r="D80" s="645"/>
      <c r="E80" s="587"/>
      <c r="F80" s="270"/>
      <c r="G80" s="270"/>
      <c r="H80" s="237"/>
      <c r="I80" s="150"/>
      <c r="J80" s="150"/>
      <c r="K80" s="646"/>
      <c r="L80" s="14"/>
    </row>
    <row r="81" spans="1:13">
      <c r="A81" s="656"/>
      <c r="B81" s="639"/>
      <c r="C81" s="309"/>
      <c r="D81" s="657"/>
      <c r="E81" s="587"/>
      <c r="F81" s="658"/>
      <c r="G81" s="659"/>
      <c r="H81" s="660"/>
      <c r="I81" s="642"/>
      <c r="J81" s="642"/>
      <c r="K81" s="661"/>
      <c r="L81" s="14"/>
    </row>
    <row r="82" spans="1:13">
      <c r="A82" s="662"/>
      <c r="B82" s="663"/>
      <c r="C82" s="664"/>
      <c r="D82" s="665"/>
      <c r="E82" s="666"/>
      <c r="F82" s="668"/>
      <c r="G82" s="669"/>
      <c r="H82" s="670"/>
      <c r="I82" s="671"/>
      <c r="J82" s="671"/>
      <c r="K82" s="672"/>
      <c r="L82" s="14"/>
    </row>
    <row r="83" spans="1:13">
      <c r="A83" s="705"/>
      <c r="B83" s="706"/>
      <c r="C83" s="707"/>
      <c r="D83" s="708"/>
      <c r="E83" s="709"/>
      <c r="F83" s="710"/>
      <c r="G83" s="711"/>
      <c r="H83" s="712"/>
      <c r="I83" s="707"/>
      <c r="J83" s="713"/>
      <c r="K83" s="714"/>
      <c r="L83" s="265"/>
      <c r="M83" s="681"/>
    </row>
    <row r="84" spans="1:13">
      <c r="A84" s="269"/>
      <c r="B84" s="335" t="s">
        <v>375</v>
      </c>
      <c r="C84" s="217"/>
      <c r="D84" s="129" t="s">
        <v>10</v>
      </c>
      <c r="E84" s="288" t="s">
        <v>243</v>
      </c>
      <c r="F84" s="289" t="s">
        <v>244</v>
      </c>
      <c r="G84" s="290" t="s">
        <v>245</v>
      </c>
      <c r="H84" s="291" t="s">
        <v>246</v>
      </c>
      <c r="I84" s="716" t="s">
        <v>532</v>
      </c>
      <c r="J84" s="22" t="s">
        <v>13</v>
      </c>
      <c r="K84" s="717" t="s">
        <v>162</v>
      </c>
      <c r="L84" s="14"/>
    </row>
    <row r="85" spans="1:13">
      <c r="A85" s="2">
        <v>1</v>
      </c>
      <c r="B85" s="813" t="s">
        <v>101</v>
      </c>
      <c r="C85" s="59"/>
      <c r="D85" s="45" t="s">
        <v>148</v>
      </c>
      <c r="E85" s="545">
        <v>31</v>
      </c>
      <c r="F85" s="59">
        <v>31</v>
      </c>
      <c r="G85" s="223">
        <v>27000</v>
      </c>
      <c r="H85" s="718">
        <v>32400</v>
      </c>
      <c r="I85" s="59">
        <v>32400</v>
      </c>
      <c r="J85" s="6"/>
      <c r="K85" s="230" t="s">
        <v>331</v>
      </c>
      <c r="L85" s="340" t="s">
        <v>492</v>
      </c>
    </row>
    <row r="86" spans="1:13">
      <c r="A86" s="116"/>
      <c r="B86" s="172"/>
      <c r="C86" s="116"/>
      <c r="D86" s="118"/>
      <c r="E86" s="719"/>
      <c r="F86" s="255"/>
      <c r="G86" s="323" t="s">
        <v>177</v>
      </c>
      <c r="H86" s="238">
        <f>H85</f>
        <v>32400</v>
      </c>
      <c r="I86" s="720">
        <f>SUM(I85)</f>
        <v>32400</v>
      </c>
      <c r="J86" s="116"/>
      <c r="K86" s="606"/>
      <c r="L86" s="14"/>
    </row>
    <row r="87" spans="1:13">
      <c r="A87" s="219" t="s">
        <v>5</v>
      </c>
      <c r="B87" s="177" t="s">
        <v>106</v>
      </c>
      <c r="C87" s="217"/>
      <c r="D87" s="129" t="s">
        <v>10</v>
      </c>
      <c r="E87" s="288" t="s">
        <v>243</v>
      </c>
      <c r="F87" s="289" t="s">
        <v>244</v>
      </c>
      <c r="G87" s="290" t="s">
        <v>245</v>
      </c>
      <c r="H87" s="291" t="s">
        <v>246</v>
      </c>
      <c r="I87" s="716" t="s">
        <v>532</v>
      </c>
      <c r="J87" s="22" t="s">
        <v>13</v>
      </c>
      <c r="K87" s="717" t="s">
        <v>162</v>
      </c>
      <c r="L87" s="14"/>
    </row>
    <row r="88" spans="1:13">
      <c r="A88" s="100">
        <v>1</v>
      </c>
      <c r="B88" s="814" t="s">
        <v>101</v>
      </c>
      <c r="C88" s="144"/>
      <c r="D88" s="203" t="s">
        <v>148</v>
      </c>
      <c r="E88" s="693">
        <v>31</v>
      </c>
      <c r="F88" s="144">
        <v>31</v>
      </c>
      <c r="G88" s="258">
        <v>25000</v>
      </c>
      <c r="H88" s="722">
        <v>32000</v>
      </c>
      <c r="I88" s="59">
        <v>32000</v>
      </c>
      <c r="J88" s="723"/>
      <c r="K88" s="230" t="s">
        <v>331</v>
      </c>
      <c r="L88" s="340" t="s">
        <v>492</v>
      </c>
    </row>
    <row r="89" spans="1:13">
      <c r="A89" s="14"/>
      <c r="B89" s="183"/>
      <c r="C89" s="14"/>
      <c r="D89" s="185"/>
      <c r="E89" s="557"/>
      <c r="F89" s="209"/>
      <c r="G89" s="323" t="s">
        <v>177</v>
      </c>
      <c r="H89" s="238">
        <f>H88</f>
        <v>32000</v>
      </c>
      <c r="I89" s="720">
        <f>SUM(I88)</f>
        <v>32000</v>
      </c>
      <c r="J89" s="14"/>
      <c r="K89" s="606"/>
      <c r="L89" s="14"/>
    </row>
    <row r="90" spans="1:13">
      <c r="A90" s="219" t="s">
        <v>5</v>
      </c>
      <c r="B90" s="191" t="s">
        <v>122</v>
      </c>
      <c r="C90" s="189"/>
      <c r="D90" s="129" t="s">
        <v>10</v>
      </c>
      <c r="E90" s="288" t="s">
        <v>243</v>
      </c>
      <c r="F90" s="289" t="s">
        <v>244</v>
      </c>
      <c r="G90" s="290" t="s">
        <v>245</v>
      </c>
      <c r="H90" s="291" t="s">
        <v>246</v>
      </c>
      <c r="I90" s="217" t="s">
        <v>532</v>
      </c>
      <c r="J90" s="22" t="s">
        <v>13</v>
      </c>
      <c r="K90" s="717" t="s">
        <v>162</v>
      </c>
      <c r="L90" s="33" t="s">
        <v>470</v>
      </c>
    </row>
    <row r="91" spans="1:13">
      <c r="A91" s="2" t="s">
        <v>114</v>
      </c>
      <c r="B91" s="481" t="s">
        <v>128</v>
      </c>
      <c r="C91" s="59"/>
      <c r="D91" s="45" t="s">
        <v>148</v>
      </c>
      <c r="E91" s="545">
        <v>31</v>
      </c>
      <c r="F91" s="47">
        <v>31</v>
      </c>
      <c r="G91" s="223">
        <v>29000</v>
      </c>
      <c r="H91" s="221">
        <f>G91/E91*F91</f>
        <v>29000</v>
      </c>
      <c r="I91" s="59">
        <v>29000</v>
      </c>
      <c r="J91" s="6"/>
      <c r="K91" s="230"/>
      <c r="L91" s="14"/>
    </row>
    <row r="92" spans="1:13">
      <c r="A92" s="59" t="s">
        <v>151</v>
      </c>
      <c r="B92" s="4" t="s">
        <v>536</v>
      </c>
      <c r="C92" s="59"/>
      <c r="D92" s="45" t="s">
        <v>621</v>
      </c>
      <c r="E92" s="545"/>
      <c r="F92" s="47"/>
      <c r="G92" s="223"/>
      <c r="H92" s="221"/>
      <c r="I92" s="6"/>
      <c r="J92" s="6"/>
      <c r="K92" s="726" t="s">
        <v>118</v>
      </c>
      <c r="L92" s="14"/>
    </row>
    <row r="93" spans="1:13">
      <c r="A93" s="59" t="s">
        <v>152</v>
      </c>
      <c r="B93" s="453" t="s">
        <v>622</v>
      </c>
      <c r="C93" s="59"/>
      <c r="D93" s="45" t="s">
        <v>715</v>
      </c>
      <c r="E93" s="545">
        <v>180</v>
      </c>
      <c r="F93" s="47"/>
      <c r="G93" s="223">
        <v>127500</v>
      </c>
      <c r="H93" s="222">
        <v>21250</v>
      </c>
      <c r="I93" s="59">
        <v>21250</v>
      </c>
      <c r="J93" s="6"/>
      <c r="K93" s="309"/>
      <c r="L93" s="33" t="s">
        <v>655</v>
      </c>
    </row>
    <row r="94" spans="1:13">
      <c r="A94" s="454" t="s">
        <v>132</v>
      </c>
      <c r="B94" s="815" t="s">
        <v>716</v>
      </c>
      <c r="C94" s="454"/>
      <c r="D94" s="477" t="s">
        <v>648</v>
      </c>
      <c r="E94" s="543">
        <v>180</v>
      </c>
      <c r="F94" s="456"/>
      <c r="G94" s="478"/>
      <c r="H94" s="478">
        <v>25000</v>
      </c>
      <c r="I94" s="479"/>
      <c r="J94" s="479"/>
      <c r="K94" s="503" t="s">
        <v>717</v>
      </c>
      <c r="L94" s="501" t="s">
        <v>718</v>
      </c>
    </row>
    <row r="95" spans="1:13">
      <c r="A95" s="454" t="s">
        <v>132</v>
      </c>
      <c r="B95" s="453" t="s">
        <v>660</v>
      </c>
      <c r="C95" s="454"/>
      <c r="D95" s="477" t="s">
        <v>588</v>
      </c>
      <c r="E95" s="543">
        <v>90</v>
      </c>
      <c r="F95" s="456"/>
      <c r="G95" s="478"/>
      <c r="H95" s="478">
        <v>16200</v>
      </c>
      <c r="I95" s="783">
        <v>16200</v>
      </c>
      <c r="J95" s="479"/>
      <c r="K95" s="503"/>
      <c r="L95" s="501" t="s">
        <v>719</v>
      </c>
    </row>
    <row r="96" spans="1:13">
      <c r="A96" s="14"/>
      <c r="B96" s="183"/>
      <c r="C96" s="14"/>
      <c r="D96" s="185"/>
      <c r="E96" s="557"/>
      <c r="F96" s="209"/>
      <c r="G96" s="236" t="s">
        <v>177</v>
      </c>
      <c r="H96" s="728">
        <f t="shared" ref="H96:I96" si="3">SUM(H91:H95)</f>
        <v>91450</v>
      </c>
      <c r="I96" s="729">
        <f t="shared" si="3"/>
        <v>66450</v>
      </c>
      <c r="J96" s="14"/>
      <c r="K96" s="606"/>
      <c r="L96" s="14"/>
    </row>
    <row r="97" spans="1:12">
      <c r="A97" s="265"/>
      <c r="B97" s="730"/>
      <c r="C97" s="265"/>
      <c r="D97" s="731"/>
      <c r="E97" s="732"/>
      <c r="F97" s="733"/>
      <c r="G97" s="732"/>
      <c r="H97" s="732"/>
      <c r="I97" s="734"/>
      <c r="J97" s="704"/>
      <c r="K97" s="309"/>
      <c r="L97" s="14"/>
    </row>
    <row r="98" spans="1:12">
      <c r="A98" s="265"/>
      <c r="B98" s="730"/>
      <c r="C98" s="265"/>
      <c r="D98" s="731"/>
      <c r="E98" s="732"/>
      <c r="F98" s="733"/>
      <c r="G98" s="732"/>
      <c r="H98" s="732"/>
      <c r="I98" s="734"/>
      <c r="J98" s="704"/>
      <c r="K98" s="309"/>
      <c r="L98" s="14"/>
    </row>
    <row r="99" spans="1:12">
      <c r="A99" s="219" t="s">
        <v>5</v>
      </c>
      <c r="B99" s="342" t="s">
        <v>316</v>
      </c>
      <c r="C99" s="217"/>
      <c r="D99" s="129" t="s">
        <v>10</v>
      </c>
      <c r="E99" s="288" t="s">
        <v>243</v>
      </c>
      <c r="F99" s="289" t="s">
        <v>244</v>
      </c>
      <c r="G99" s="290" t="s">
        <v>245</v>
      </c>
      <c r="H99" s="291" t="s">
        <v>246</v>
      </c>
      <c r="I99" s="217" t="s">
        <v>532</v>
      </c>
      <c r="J99" s="22" t="s">
        <v>13</v>
      </c>
      <c r="K99" s="717" t="s">
        <v>162</v>
      </c>
      <c r="L99" s="287"/>
    </row>
    <row r="100" spans="1:12">
      <c r="A100" s="132" t="s">
        <v>458</v>
      </c>
      <c r="B100" s="775" t="s">
        <v>317</v>
      </c>
      <c r="C100" s="144"/>
      <c r="D100" s="645" t="s">
        <v>658</v>
      </c>
      <c r="E100" s="693">
        <v>90</v>
      </c>
      <c r="F100" s="103">
        <v>28</v>
      </c>
      <c r="G100" s="353">
        <v>28000</v>
      </c>
      <c r="H100" s="353">
        <v>28000</v>
      </c>
      <c r="I100" s="144">
        <v>28000</v>
      </c>
      <c r="J100" s="100"/>
      <c r="K100" s="230"/>
      <c r="L100" s="287"/>
    </row>
    <row r="101" spans="1:12">
      <c r="A101" s="132" t="s">
        <v>459</v>
      </c>
      <c r="B101" s="775" t="s">
        <v>568</v>
      </c>
      <c r="C101" s="100"/>
      <c r="D101" s="203" t="s">
        <v>720</v>
      </c>
      <c r="E101" s="587">
        <v>180</v>
      </c>
      <c r="F101" s="237"/>
      <c r="G101" s="449"/>
      <c r="H101" s="353">
        <v>21250</v>
      </c>
      <c r="I101" s="144">
        <v>21250</v>
      </c>
      <c r="J101" s="144"/>
      <c r="K101" s="309"/>
      <c r="L101" s="325" t="s">
        <v>721</v>
      </c>
    </row>
    <row r="102" spans="1:12">
      <c r="A102" s="132" t="s">
        <v>460</v>
      </c>
      <c r="B102" s="816" t="s">
        <v>722</v>
      </c>
      <c r="C102" s="100"/>
      <c r="D102" s="203" t="s">
        <v>723</v>
      </c>
      <c r="E102" s="587"/>
      <c r="F102" s="237"/>
      <c r="G102" s="355"/>
      <c r="H102" s="473">
        <v>25000</v>
      </c>
      <c r="I102" s="144"/>
      <c r="J102" s="144"/>
      <c r="K102" s="309" t="s">
        <v>717</v>
      </c>
      <c r="L102" s="325"/>
    </row>
    <row r="103" spans="1:12">
      <c r="A103" s="132"/>
      <c r="B103" s="181"/>
      <c r="C103" s="100"/>
      <c r="D103" s="109"/>
      <c r="E103" s="587"/>
      <c r="F103" s="237"/>
      <c r="G103" s="323" t="s">
        <v>177</v>
      </c>
      <c r="H103" s="238">
        <f t="shared" ref="H103:I103" si="4">SUM(H100:H102)</f>
        <v>74250</v>
      </c>
      <c r="I103" s="736">
        <f t="shared" si="4"/>
        <v>49250</v>
      </c>
      <c r="J103" s="144"/>
      <c r="K103" s="309"/>
      <c r="L103" s="287"/>
    </row>
    <row r="104" spans="1:12">
      <c r="A104" s="265"/>
      <c r="B104" s="730"/>
      <c r="C104" s="265"/>
      <c r="D104" s="731"/>
      <c r="E104" s="732"/>
      <c r="F104" s="733"/>
      <c r="G104" s="737"/>
      <c r="H104" s="703"/>
      <c r="I104" s="734"/>
      <c r="J104" s="704"/>
      <c r="K104" s="734"/>
      <c r="L104" s="14"/>
    </row>
    <row r="105" spans="1:12">
      <c r="A105" s="265"/>
      <c r="B105" s="730"/>
      <c r="C105" s="265"/>
      <c r="D105" s="731"/>
      <c r="E105" s="732"/>
      <c r="F105" s="733"/>
      <c r="G105" s="737"/>
      <c r="H105" s="703"/>
      <c r="I105" s="734"/>
      <c r="J105" s="704"/>
      <c r="K105" s="734"/>
      <c r="L105" s="14"/>
    </row>
    <row r="106" spans="1:12">
      <c r="A106" s="219" t="s">
        <v>5</v>
      </c>
      <c r="B106" s="196" t="s">
        <v>111</v>
      </c>
      <c r="C106" s="189"/>
      <c r="D106" s="514" t="s">
        <v>10</v>
      </c>
      <c r="E106" s="515" t="s">
        <v>243</v>
      </c>
      <c r="F106" s="516" t="s">
        <v>244</v>
      </c>
      <c r="G106" s="738" t="s">
        <v>245</v>
      </c>
      <c r="H106" s="739" t="s">
        <v>246</v>
      </c>
      <c r="I106" s="217" t="s">
        <v>532</v>
      </c>
      <c r="J106" s="740" t="s">
        <v>13</v>
      </c>
      <c r="K106" s="741" t="s">
        <v>162</v>
      </c>
      <c r="L106" s="14"/>
    </row>
    <row r="107" spans="1:12">
      <c r="A107" s="2" t="s">
        <v>114</v>
      </c>
      <c r="B107" s="742" t="s">
        <v>628</v>
      </c>
      <c r="C107" s="59"/>
      <c r="D107" s="45" t="s">
        <v>648</v>
      </c>
      <c r="E107" s="545">
        <v>180</v>
      </c>
      <c r="F107" s="47">
        <v>28</v>
      </c>
      <c r="G107" s="223">
        <v>37800</v>
      </c>
      <c r="H107" s="223">
        <v>6300</v>
      </c>
      <c r="I107" s="59">
        <v>6300</v>
      </c>
      <c r="J107" s="6"/>
      <c r="K107" s="230"/>
      <c r="L107" s="33" t="s">
        <v>724</v>
      </c>
    </row>
    <row r="108" spans="1:12">
      <c r="A108" s="6" t="s">
        <v>119</v>
      </c>
      <c r="B108" s="742" t="s">
        <v>673</v>
      </c>
      <c r="C108" s="59"/>
      <c r="D108" s="45" t="s">
        <v>725</v>
      </c>
      <c r="E108" s="545">
        <v>90</v>
      </c>
      <c r="F108" s="47"/>
      <c r="G108" s="223"/>
      <c r="H108" s="223">
        <v>5400</v>
      </c>
      <c r="I108" s="697">
        <v>5400</v>
      </c>
      <c r="J108" s="6"/>
      <c r="K108" s="230" t="s">
        <v>331</v>
      </c>
      <c r="L108" s="33" t="s">
        <v>726</v>
      </c>
    </row>
    <row r="109" spans="1:12">
      <c r="A109" s="817" t="s">
        <v>727</v>
      </c>
      <c r="B109" s="818" t="s">
        <v>728</v>
      </c>
      <c r="C109" s="819">
        <v>89245593366</v>
      </c>
      <c r="D109" s="118"/>
      <c r="E109" s="719"/>
      <c r="F109" s="255"/>
      <c r="G109" s="236" t="s">
        <v>177</v>
      </c>
      <c r="H109" s="522">
        <f t="shared" ref="H109:I109" si="5">SUM(H107:H108)</f>
        <v>11700</v>
      </c>
      <c r="I109" s="729">
        <f t="shared" si="5"/>
        <v>11700</v>
      </c>
      <c r="J109" s="116"/>
      <c r="K109" s="642"/>
      <c r="L109" s="33"/>
    </row>
    <row r="110" spans="1:12">
      <c r="A110" s="14"/>
      <c r="B110" s="183"/>
      <c r="C110" s="14"/>
      <c r="D110" s="185"/>
      <c r="E110" s="557"/>
      <c r="F110" s="209"/>
      <c r="G110" s="209"/>
      <c r="H110" s="14"/>
      <c r="I110" s="14"/>
      <c r="J110" s="14"/>
      <c r="K110" s="743"/>
      <c r="L110" s="14"/>
    </row>
    <row r="111" spans="1:12">
      <c r="C111" s="499"/>
      <c r="E111" s="287"/>
      <c r="I111" s="499"/>
      <c r="K111" s="287"/>
      <c r="L111" s="287"/>
    </row>
    <row r="112" spans="1:12">
      <c r="A112" s="357" t="s">
        <v>5</v>
      </c>
      <c r="B112" s="358" t="s">
        <v>319</v>
      </c>
      <c r="C112" s="510"/>
      <c r="D112" s="360" t="s">
        <v>10</v>
      </c>
      <c r="E112" s="361" t="s">
        <v>243</v>
      </c>
      <c r="F112" s="362" t="s">
        <v>244</v>
      </c>
      <c r="G112" s="362" t="s">
        <v>245</v>
      </c>
      <c r="H112" s="363" t="s">
        <v>246</v>
      </c>
      <c r="I112" s="744" t="s">
        <v>532</v>
      </c>
      <c r="J112" s="363" t="s">
        <v>13</v>
      </c>
      <c r="K112" s="745" t="s">
        <v>162</v>
      </c>
      <c r="L112" s="287"/>
    </row>
    <row r="113" spans="1:12">
      <c r="A113" s="365" t="s">
        <v>676</v>
      </c>
      <c r="B113" s="820" t="s">
        <v>317</v>
      </c>
      <c r="C113" s="511"/>
      <c r="D113" s="457" t="s">
        <v>648</v>
      </c>
      <c r="E113" s="746">
        <v>90</v>
      </c>
      <c r="F113" s="747">
        <v>28</v>
      </c>
      <c r="G113" s="547">
        <v>25000</v>
      </c>
      <c r="H113" s="547">
        <v>25000</v>
      </c>
      <c r="I113" s="748">
        <v>25000</v>
      </c>
      <c r="J113" s="7"/>
      <c r="K113" s="230"/>
      <c r="L113" s="325"/>
    </row>
    <row r="114" spans="1:12">
      <c r="A114" s="370"/>
      <c r="B114" s="371"/>
      <c r="C114" s="511"/>
      <c r="D114" s="371"/>
      <c r="E114" s="749"/>
      <c r="F114" s="368"/>
      <c r="G114" s="549"/>
      <c r="H114" s="547"/>
      <c r="I114" s="750"/>
      <c r="J114" s="7"/>
      <c r="K114" s="752"/>
      <c r="L114" s="287"/>
    </row>
    <row r="115" spans="1:12">
      <c r="A115" s="365" t="s">
        <v>677</v>
      </c>
      <c r="B115" s="790" t="s">
        <v>660</v>
      </c>
      <c r="C115" s="755"/>
      <c r="D115" s="756" t="s">
        <v>588</v>
      </c>
      <c r="E115" s="758">
        <v>90</v>
      </c>
      <c r="F115" s="759"/>
      <c r="G115" s="761"/>
      <c r="H115" s="762">
        <v>27000</v>
      </c>
      <c r="I115" s="753">
        <v>27000</v>
      </c>
      <c r="J115" s="369"/>
      <c r="K115" s="230"/>
      <c r="L115" s="325" t="s">
        <v>719</v>
      </c>
    </row>
    <row r="116" spans="1:12">
      <c r="A116" s="753"/>
      <c r="B116" s="235"/>
      <c r="C116" s="755"/>
      <c r="D116" s="235"/>
      <c r="E116" s="652"/>
      <c r="F116" s="653"/>
      <c r="G116" s="764" t="s">
        <v>177</v>
      </c>
      <c r="H116" s="765">
        <f t="shared" ref="H116:I116" si="6">SUM(H113:H115)</f>
        <v>52000</v>
      </c>
      <c r="I116" s="766">
        <f t="shared" si="6"/>
        <v>52000</v>
      </c>
      <c r="J116" s="369"/>
      <c r="K116" s="767"/>
    </row>
    <row r="117" spans="1:12">
      <c r="C117" s="499"/>
      <c r="E117" s="287"/>
      <c r="I117" s="499"/>
      <c r="K117" s="287"/>
      <c r="L117" s="768"/>
    </row>
    <row r="118" spans="1:12">
      <c r="C118" s="499"/>
      <c r="E118" s="287"/>
      <c r="I118" s="499"/>
      <c r="K118" s="287"/>
    </row>
    <row r="119" spans="1:12">
      <c r="A119" s="219" t="s">
        <v>5</v>
      </c>
      <c r="B119" s="342" t="s">
        <v>323</v>
      </c>
      <c r="C119" s="187"/>
      <c r="D119" s="129" t="s">
        <v>10</v>
      </c>
      <c r="E119" s="288" t="s">
        <v>243</v>
      </c>
      <c r="F119" s="289" t="s">
        <v>244</v>
      </c>
      <c r="G119" s="290" t="s">
        <v>245</v>
      </c>
      <c r="H119" s="291" t="s">
        <v>246</v>
      </c>
      <c r="I119" s="217" t="s">
        <v>532</v>
      </c>
      <c r="J119" s="22" t="s">
        <v>13</v>
      </c>
      <c r="K119" s="717" t="s">
        <v>162</v>
      </c>
    </row>
    <row r="120" spans="1:12">
      <c r="A120" s="132" t="s">
        <v>114</v>
      </c>
      <c r="B120" s="481" t="s">
        <v>681</v>
      </c>
      <c r="C120" s="59"/>
      <c r="D120" s="51" t="s">
        <v>729</v>
      </c>
      <c r="E120" s="545">
        <v>90</v>
      </c>
      <c r="F120" s="47"/>
      <c r="G120" s="223" t="s">
        <v>683</v>
      </c>
      <c r="H120" s="222">
        <v>19000</v>
      </c>
      <c r="I120" s="59"/>
      <c r="J120" s="6"/>
      <c r="K120" s="230" t="s">
        <v>331</v>
      </c>
      <c r="L120" s="1" t="s">
        <v>730</v>
      </c>
    </row>
    <row r="121" spans="1:12">
      <c r="A121" s="482" t="s">
        <v>119</v>
      </c>
      <c r="B121" s="481"/>
      <c r="C121" s="454"/>
      <c r="D121" s="454"/>
      <c r="E121" s="543"/>
      <c r="F121" s="456"/>
      <c r="G121" s="478"/>
      <c r="H121" s="498"/>
      <c r="I121" s="727"/>
      <c r="J121" s="479"/>
      <c r="K121" s="503"/>
      <c r="L121" s="521"/>
    </row>
    <row r="122" spans="1:12">
      <c r="A122" s="132"/>
      <c r="B122" s="29"/>
      <c r="C122" s="6"/>
      <c r="D122" s="8"/>
      <c r="E122" s="675"/>
      <c r="F122" s="221"/>
      <c r="G122" s="236" t="s">
        <v>177</v>
      </c>
      <c r="H122" s="264">
        <f t="shared" ref="H122:I122" si="7">SUM(H120:H121)</f>
        <v>19000</v>
      </c>
      <c r="I122" s="770">
        <f t="shared" si="7"/>
        <v>0</v>
      </c>
      <c r="J122" s="59"/>
      <c r="K122" s="309"/>
    </row>
    <row r="123" spans="1:12">
      <c r="C123" s="499"/>
      <c r="E123" s="287"/>
      <c r="I123" s="499"/>
      <c r="K123" s="287"/>
    </row>
    <row r="124" spans="1:12">
      <c r="C124" s="499"/>
      <c r="E124" s="287"/>
      <c r="I124" s="499"/>
      <c r="K124" s="287"/>
    </row>
    <row r="125" spans="1:12">
      <c r="A125" s="219" t="s">
        <v>5</v>
      </c>
      <c r="B125" s="342" t="s">
        <v>325</v>
      </c>
      <c r="C125" s="187"/>
      <c r="D125" s="129" t="s">
        <v>10</v>
      </c>
      <c r="E125" s="288" t="s">
        <v>243</v>
      </c>
      <c r="F125" s="289" t="s">
        <v>244</v>
      </c>
      <c r="G125" s="290" t="s">
        <v>245</v>
      </c>
      <c r="H125" s="291" t="s">
        <v>246</v>
      </c>
      <c r="I125" s="217" t="s">
        <v>532</v>
      </c>
      <c r="J125" s="22" t="s">
        <v>13</v>
      </c>
      <c r="K125" s="717" t="s">
        <v>162</v>
      </c>
    </row>
    <row r="126" spans="1:12">
      <c r="A126" s="452" t="s">
        <v>114</v>
      </c>
      <c r="B126" s="481" t="s">
        <v>134</v>
      </c>
      <c r="C126" s="454"/>
      <c r="D126" s="477" t="s">
        <v>148</v>
      </c>
      <c r="E126" s="543">
        <v>30</v>
      </c>
      <c r="F126" s="456">
        <v>30</v>
      </c>
      <c r="G126" s="478">
        <v>17500</v>
      </c>
      <c r="H126" s="478">
        <v>17500</v>
      </c>
      <c r="I126" s="454">
        <v>17500</v>
      </c>
      <c r="J126" s="454"/>
      <c r="K126" s="503" t="s">
        <v>210</v>
      </c>
      <c r="L126" s="509"/>
    </row>
    <row r="127" spans="1:12">
      <c r="A127" s="2" t="s">
        <v>119</v>
      </c>
      <c r="B127" s="481" t="s">
        <v>134</v>
      </c>
      <c r="C127" s="59"/>
      <c r="D127" s="59" t="s">
        <v>148</v>
      </c>
      <c r="E127" s="545">
        <v>30</v>
      </c>
      <c r="F127" s="47">
        <v>30</v>
      </c>
      <c r="G127" s="223">
        <v>17500</v>
      </c>
      <c r="H127" s="222">
        <v>17500</v>
      </c>
      <c r="I127" s="697">
        <v>17500</v>
      </c>
      <c r="J127" s="59"/>
      <c r="K127" s="230" t="s">
        <v>210</v>
      </c>
    </row>
    <row r="128" spans="1:12">
      <c r="A128" s="132"/>
      <c r="B128" s="29"/>
      <c r="C128" s="6"/>
      <c r="D128" s="8"/>
      <c r="E128" s="675"/>
      <c r="F128" s="221"/>
      <c r="G128" s="236" t="s">
        <v>177</v>
      </c>
      <c r="H128" s="264">
        <f t="shared" ref="H128:I128" si="8">SUM(H126:H127)</f>
        <v>35000</v>
      </c>
      <c r="I128" s="770">
        <f t="shared" si="8"/>
        <v>35000</v>
      </c>
      <c r="J128" s="59"/>
      <c r="K128" s="309"/>
    </row>
    <row r="129" spans="1:12">
      <c r="C129" s="499"/>
      <c r="E129" s="287"/>
      <c r="I129" s="499"/>
      <c r="K129" s="287"/>
    </row>
    <row r="130" spans="1:12">
      <c r="C130" s="499"/>
      <c r="E130" s="287"/>
      <c r="I130" s="499"/>
      <c r="K130" s="287"/>
    </row>
    <row r="131" spans="1:12">
      <c r="A131" s="219" t="s">
        <v>5</v>
      </c>
      <c r="B131" s="342" t="s">
        <v>326</v>
      </c>
      <c r="C131" s="187"/>
      <c r="D131" s="129" t="s">
        <v>10</v>
      </c>
      <c r="E131" s="288" t="s">
        <v>243</v>
      </c>
      <c r="F131" s="289" t="s">
        <v>244</v>
      </c>
      <c r="G131" s="290" t="s">
        <v>245</v>
      </c>
      <c r="H131" s="291" t="s">
        <v>246</v>
      </c>
      <c r="I131" s="217" t="s">
        <v>532</v>
      </c>
      <c r="J131" s="22" t="s">
        <v>13</v>
      </c>
      <c r="K131" s="717" t="s">
        <v>162</v>
      </c>
    </row>
    <row r="132" spans="1:12">
      <c r="A132" s="2" t="s">
        <v>114</v>
      </c>
      <c r="B132" s="481" t="s">
        <v>407</v>
      </c>
      <c r="C132" s="59"/>
      <c r="D132" s="51" t="s">
        <v>148</v>
      </c>
      <c r="E132" s="545">
        <v>30</v>
      </c>
      <c r="F132" s="47">
        <v>30</v>
      </c>
      <c r="G132" s="223">
        <v>21250</v>
      </c>
      <c r="H132" s="223">
        <v>21250</v>
      </c>
      <c r="I132" s="59">
        <v>21250</v>
      </c>
      <c r="J132" s="6"/>
      <c r="K132" s="230"/>
    </row>
    <row r="133" spans="1:12">
      <c r="A133" s="132" t="s">
        <v>119</v>
      </c>
      <c r="B133" s="4" t="s">
        <v>644</v>
      </c>
      <c r="C133" s="6"/>
      <c r="D133" s="45" t="s">
        <v>623</v>
      </c>
      <c r="E133" s="675">
        <v>30</v>
      </c>
      <c r="F133" s="222">
        <v>10</v>
      </c>
      <c r="G133" s="564">
        <v>10000</v>
      </c>
      <c r="H133" s="260">
        <v>10000</v>
      </c>
      <c r="I133" s="697">
        <v>10000</v>
      </c>
      <c r="J133" s="59"/>
      <c r="K133" s="309" t="s">
        <v>686</v>
      </c>
    </row>
    <row r="134" spans="1:12">
      <c r="A134" s="235"/>
      <c r="B134" s="235"/>
      <c r="C134" s="771"/>
      <c r="D134" s="235"/>
      <c r="E134" s="610"/>
      <c r="F134" s="235"/>
      <c r="G134" s="323" t="s">
        <v>177</v>
      </c>
      <c r="H134" s="772">
        <f t="shared" ref="H134:I134" si="9">SUM(H132:H133)</f>
        <v>31250</v>
      </c>
      <c r="I134" s="773">
        <f t="shared" si="9"/>
        <v>31250</v>
      </c>
      <c r="J134" s="774"/>
      <c r="K134" s="610"/>
    </row>
    <row r="135" spans="1:12">
      <c r="C135" s="499"/>
      <c r="E135" s="287"/>
      <c r="I135" s="499"/>
      <c r="K135" s="287"/>
    </row>
    <row r="136" spans="1:12">
      <c r="E136" s="287"/>
      <c r="I136" s="499"/>
      <c r="K136" s="287"/>
    </row>
    <row r="137" spans="1:12">
      <c r="A137" s="219" t="s">
        <v>5</v>
      </c>
      <c r="B137" s="342" t="s">
        <v>437</v>
      </c>
      <c r="C137" s="187"/>
      <c r="D137" s="129" t="s">
        <v>10</v>
      </c>
      <c r="E137" s="288" t="s">
        <v>243</v>
      </c>
      <c r="F137" s="289" t="s">
        <v>244</v>
      </c>
      <c r="G137" s="290" t="s">
        <v>245</v>
      </c>
      <c r="H137" s="291" t="s">
        <v>246</v>
      </c>
      <c r="I137" s="217" t="s">
        <v>532</v>
      </c>
      <c r="J137" s="22" t="s">
        <v>13</v>
      </c>
      <c r="K137" s="717" t="s">
        <v>162</v>
      </c>
      <c r="L137" s="14"/>
    </row>
    <row r="138" spans="1:12">
      <c r="A138" s="463" t="s">
        <v>114</v>
      </c>
      <c r="B138" s="821">
        <v>45786</v>
      </c>
      <c r="C138" s="463"/>
      <c r="D138" s="614"/>
      <c r="E138" s="776"/>
      <c r="F138" s="777"/>
      <c r="G138" s="778"/>
      <c r="H138" s="778"/>
      <c r="I138" s="779"/>
      <c r="J138" s="779"/>
      <c r="K138" s="503" t="s">
        <v>118</v>
      </c>
      <c r="L138" s="504"/>
    </row>
    <row r="139" spans="1:12">
      <c r="A139" s="260" t="s">
        <v>114</v>
      </c>
      <c r="B139" s="775" t="s">
        <v>646</v>
      </c>
      <c r="C139" s="260"/>
      <c r="D139" s="260" t="s">
        <v>731</v>
      </c>
      <c r="E139" s="587">
        <v>90</v>
      </c>
      <c r="F139" s="262"/>
      <c r="G139" s="270">
        <v>67500</v>
      </c>
      <c r="H139" s="270">
        <v>22500</v>
      </c>
      <c r="I139" s="794">
        <v>22500</v>
      </c>
      <c r="J139" s="150"/>
      <c r="K139" s="309"/>
      <c r="L139" s="781" t="s">
        <v>732</v>
      </c>
    </row>
    <row r="140" spans="1:12">
      <c r="A140" s="150" t="s">
        <v>119</v>
      </c>
      <c r="B140" s="639"/>
      <c r="C140" s="260"/>
      <c r="D140" s="260"/>
      <c r="E140" s="587">
        <v>31</v>
      </c>
      <c r="F140" s="262">
        <v>31</v>
      </c>
      <c r="G140" s="270"/>
      <c r="H140" s="237"/>
      <c r="I140" s="780"/>
      <c r="J140" s="150"/>
      <c r="K140" s="309"/>
      <c r="L140" s="482"/>
    </row>
    <row r="141" spans="1:12">
      <c r="A141" s="235"/>
      <c r="B141" s="4"/>
      <c r="C141" s="6"/>
      <c r="D141" s="45"/>
      <c r="E141" s="675"/>
      <c r="F141" s="221"/>
      <c r="G141" s="236" t="s">
        <v>177</v>
      </c>
      <c r="H141" s="264">
        <f t="shared" ref="H141:I141" si="10">SUM(H138:H140)</f>
        <v>22500</v>
      </c>
      <c r="I141" s="770">
        <f t="shared" si="10"/>
        <v>22500</v>
      </c>
      <c r="J141" s="59"/>
      <c r="K141" s="309"/>
      <c r="L141" s="341"/>
    </row>
    <row r="142" spans="1:12">
      <c r="A142" s="14"/>
      <c r="C142" s="499"/>
      <c r="E142" s="287"/>
      <c r="F142" s="286"/>
      <c r="G142" s="286"/>
      <c r="I142" s="499"/>
      <c r="K142" s="287"/>
    </row>
    <row r="143" spans="1:12">
      <c r="A143" s="219" t="s">
        <v>5</v>
      </c>
      <c r="B143" s="342" t="s">
        <v>441</v>
      </c>
      <c r="C143" s="187"/>
      <c r="D143" s="129" t="s">
        <v>10</v>
      </c>
      <c r="E143" s="288" t="s">
        <v>243</v>
      </c>
      <c r="F143" s="289" t="s">
        <v>244</v>
      </c>
      <c r="G143" s="290" t="s">
        <v>245</v>
      </c>
      <c r="H143" s="291" t="s">
        <v>246</v>
      </c>
      <c r="I143" s="217" t="s">
        <v>532</v>
      </c>
      <c r="J143" s="22" t="s">
        <v>13</v>
      </c>
      <c r="K143" s="717" t="s">
        <v>162</v>
      </c>
      <c r="L143" s="14"/>
    </row>
    <row r="144" spans="1:12">
      <c r="A144" s="132" t="s">
        <v>114</v>
      </c>
      <c r="B144" s="481" t="s">
        <v>649</v>
      </c>
      <c r="C144" s="59"/>
      <c r="D144" s="51" t="s">
        <v>665</v>
      </c>
      <c r="E144" s="545">
        <v>180</v>
      </c>
      <c r="F144" s="47">
        <v>7</v>
      </c>
      <c r="G144" s="223">
        <v>90000</v>
      </c>
      <c r="H144" s="222">
        <v>15000</v>
      </c>
      <c r="I144" s="59"/>
      <c r="J144" s="6"/>
      <c r="K144" s="230"/>
      <c r="L144" s="352" t="s">
        <v>733</v>
      </c>
    </row>
    <row r="145" spans="1:12">
      <c r="A145" s="452" t="s">
        <v>119</v>
      </c>
      <c r="B145" s="481" t="s">
        <v>444</v>
      </c>
      <c r="C145" s="454"/>
      <c r="D145" s="454" t="s">
        <v>148</v>
      </c>
      <c r="E145" s="543">
        <v>365</v>
      </c>
      <c r="F145" s="456">
        <v>30</v>
      </c>
      <c r="G145" s="478">
        <v>19000</v>
      </c>
      <c r="H145" s="478">
        <v>19000</v>
      </c>
      <c r="I145" s="783">
        <v>19000</v>
      </c>
      <c r="J145" s="479"/>
      <c r="K145" s="503"/>
      <c r="L145" s="132"/>
    </row>
    <row r="146" spans="1:12">
      <c r="A146" s="132"/>
      <c r="B146" s="4"/>
      <c r="C146" s="6"/>
      <c r="D146" s="45"/>
      <c r="E146" s="675"/>
      <c r="F146" s="221"/>
      <c r="G146" s="236" t="s">
        <v>177</v>
      </c>
      <c r="H146" s="264">
        <f t="shared" ref="H146:I146" si="11">SUM(H144:H145)</f>
        <v>34000</v>
      </c>
      <c r="I146" s="770">
        <f t="shared" si="11"/>
        <v>19000</v>
      </c>
      <c r="J146" s="59"/>
      <c r="K146" s="309"/>
      <c r="L146" s="341"/>
    </row>
    <row r="147" spans="1:12">
      <c r="A147" s="14"/>
      <c r="C147" s="499"/>
      <c r="E147" s="287"/>
      <c r="F147" s="286"/>
      <c r="G147" s="286"/>
      <c r="I147" s="499"/>
      <c r="K147" s="287"/>
    </row>
    <row r="148" spans="1:12">
      <c r="A148" s="219" t="s">
        <v>5</v>
      </c>
      <c r="B148" s="342" t="s">
        <v>445</v>
      </c>
      <c r="C148" s="187"/>
      <c r="D148" s="129" t="s">
        <v>10</v>
      </c>
      <c r="E148" s="288" t="s">
        <v>243</v>
      </c>
      <c r="F148" s="289" t="s">
        <v>244</v>
      </c>
      <c r="G148" s="290" t="s">
        <v>245</v>
      </c>
      <c r="H148" s="291" t="s">
        <v>246</v>
      </c>
      <c r="I148" s="217" t="s">
        <v>532</v>
      </c>
      <c r="J148" s="22" t="s">
        <v>13</v>
      </c>
      <c r="K148" s="717" t="s">
        <v>162</v>
      </c>
      <c r="L148" s="14"/>
    </row>
    <row r="149" spans="1:12">
      <c r="A149" s="2" t="s">
        <v>114</v>
      </c>
      <c r="B149" s="481" t="s">
        <v>446</v>
      </c>
      <c r="C149" s="59"/>
      <c r="D149" s="51" t="s">
        <v>725</v>
      </c>
      <c r="E149" s="545">
        <v>30</v>
      </c>
      <c r="F149" s="47">
        <v>28</v>
      </c>
      <c r="G149" s="223">
        <v>22500</v>
      </c>
      <c r="H149" s="222">
        <v>22500</v>
      </c>
      <c r="I149" s="59"/>
      <c r="J149" s="6"/>
      <c r="K149" s="230"/>
      <c r="L149" s="822"/>
    </row>
    <row r="150" spans="1:12">
      <c r="A150" s="452" t="s">
        <v>119</v>
      </c>
      <c r="B150" s="481" t="s">
        <v>695</v>
      </c>
      <c r="C150" s="454"/>
      <c r="D150" s="454" t="s">
        <v>735</v>
      </c>
      <c r="E150" s="543">
        <v>30</v>
      </c>
      <c r="F150" s="456"/>
      <c r="G150" s="478">
        <v>22500</v>
      </c>
      <c r="H150" s="478"/>
      <c r="I150" s="783">
        <v>22500</v>
      </c>
      <c r="J150" s="479"/>
      <c r="K150" s="503"/>
      <c r="L150" s="132" t="s">
        <v>736</v>
      </c>
    </row>
    <row r="151" spans="1:12">
      <c r="A151" s="132" t="s">
        <v>119</v>
      </c>
      <c r="B151" s="4"/>
      <c r="C151" s="6"/>
      <c r="D151" s="45"/>
      <c r="E151" s="675"/>
      <c r="F151" s="221"/>
      <c r="G151" s="236" t="s">
        <v>177</v>
      </c>
      <c r="H151" s="264">
        <f t="shared" ref="H151:I151" si="12">SUM(H149:H150)</f>
        <v>22500</v>
      </c>
      <c r="I151" s="785">
        <f t="shared" si="12"/>
        <v>22500</v>
      </c>
      <c r="J151" s="59"/>
      <c r="K151" s="309"/>
      <c r="L151" s="341"/>
    </row>
    <row r="152" spans="1:12">
      <c r="A152" s="14"/>
      <c r="C152" s="499"/>
      <c r="E152" s="287"/>
      <c r="F152" s="286"/>
      <c r="G152" s="286"/>
      <c r="I152" s="499"/>
      <c r="K152" s="287"/>
    </row>
    <row r="153" spans="1:12">
      <c r="E153" s="287"/>
      <c r="I153" s="499"/>
      <c r="K153" s="287"/>
    </row>
    <row r="154" spans="1:12">
      <c r="E154" s="287"/>
      <c r="H154" s="786" t="s">
        <v>668</v>
      </c>
      <c r="I154" s="787">
        <f>SUM(I151+I146+I141+I134+I128+I122+I116+I109+I103+I96+I89+I86+I73+I47+I23)</f>
        <v>931056.39</v>
      </c>
      <c r="K154" s="287"/>
    </row>
    <row r="155" spans="1:12">
      <c r="E155" s="287"/>
      <c r="I155" s="499"/>
      <c r="K155" s="287"/>
    </row>
    <row r="156" spans="1:12">
      <c r="E156" s="287"/>
      <c r="H156" s="788" t="s">
        <v>671</v>
      </c>
      <c r="I156" s="789">
        <f>SUM(H151+H146+H141+H134+H128+H122+H116+H109+H103+H96+H89+H86+H73+H47+H23)</f>
        <v>1154013.3900000001</v>
      </c>
      <c r="K156" s="287"/>
    </row>
    <row r="157" spans="1:12">
      <c r="E157" s="287"/>
      <c r="I157" s="499"/>
      <c r="K157" s="287"/>
    </row>
    <row r="158" spans="1:12">
      <c r="E158" s="287"/>
      <c r="I158" s="499"/>
      <c r="J158" s="1" t="s">
        <v>199</v>
      </c>
      <c r="K158" s="28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M158"/>
  <sheetViews>
    <sheetView workbookViewId="0"/>
  </sheetViews>
  <sheetFormatPr defaultColWidth="12.5703125" defaultRowHeight="15.75" customHeight="1"/>
  <cols>
    <col min="1" max="1" width="12" customWidth="1"/>
    <col min="2" max="2" width="27.42578125" customWidth="1"/>
    <col min="4" max="4" width="21.42578125" customWidth="1"/>
    <col min="11" max="11" width="20.28515625" customWidth="1"/>
    <col min="12" max="12" width="22.7109375" customWidth="1"/>
  </cols>
  <sheetData>
    <row r="1" spans="1:13">
      <c r="A1" s="1">
        <v>3</v>
      </c>
      <c r="C1" s="499"/>
      <c r="E1" s="287"/>
      <c r="I1" s="499"/>
      <c r="K1" s="287"/>
    </row>
    <row r="2" spans="1:13">
      <c r="C2" s="499"/>
      <c r="E2" s="287"/>
      <c r="I2" s="499"/>
      <c r="K2" s="287"/>
    </row>
    <row r="3" spans="1:13">
      <c r="A3" s="523" t="s">
        <v>5</v>
      </c>
      <c r="B3" s="524" t="s">
        <v>7</v>
      </c>
      <c r="C3" s="525" t="s">
        <v>159</v>
      </c>
      <c r="D3" s="526" t="s">
        <v>10</v>
      </c>
      <c r="E3" s="527" t="s">
        <v>243</v>
      </c>
      <c r="F3" s="528" t="s">
        <v>244</v>
      </c>
      <c r="G3" s="528" t="s">
        <v>245</v>
      </c>
      <c r="H3" s="529" t="s">
        <v>246</v>
      </c>
      <c r="I3" s="525" t="s">
        <v>532</v>
      </c>
      <c r="J3" s="530" t="s">
        <v>13</v>
      </c>
      <c r="K3" s="531" t="s">
        <v>162</v>
      </c>
      <c r="L3" s="14"/>
    </row>
    <row r="4" spans="1:13">
      <c r="A4" s="219"/>
      <c r="B4" s="4"/>
      <c r="C4" s="59"/>
      <c r="D4" s="45"/>
      <c r="E4" s="532"/>
      <c r="F4" s="220"/>
      <c r="G4" s="533"/>
      <c r="H4" s="533"/>
      <c r="I4" s="223"/>
      <c r="J4" s="223"/>
      <c r="K4" s="534"/>
      <c r="L4" s="33"/>
    </row>
    <row r="5" spans="1:13">
      <c r="A5" s="269">
        <v>1</v>
      </c>
      <c r="B5" s="617" t="s">
        <v>29</v>
      </c>
      <c r="C5" s="619">
        <v>7</v>
      </c>
      <c r="D5" s="621" t="s">
        <v>734</v>
      </c>
      <c r="E5" s="622" t="s">
        <v>534</v>
      </c>
      <c r="F5" s="619">
        <v>28</v>
      </c>
      <c r="G5" s="623"/>
      <c r="H5" s="623">
        <v>32000</v>
      </c>
      <c r="I5" s="619">
        <v>32000</v>
      </c>
      <c r="J5" s="619"/>
      <c r="K5" s="622" t="s">
        <v>535</v>
      </c>
      <c r="L5" s="14"/>
    </row>
    <row r="6" spans="1:13">
      <c r="A6" s="269">
        <v>2</v>
      </c>
      <c r="B6" s="625" t="s">
        <v>20</v>
      </c>
      <c r="C6" s="619"/>
      <c r="D6" s="627"/>
      <c r="E6" s="622"/>
      <c r="F6" s="619"/>
      <c r="G6" s="623"/>
      <c r="H6" s="623"/>
      <c r="I6" s="619"/>
      <c r="J6" s="619"/>
      <c r="K6" s="622" t="s">
        <v>118</v>
      </c>
      <c r="L6" s="324"/>
    </row>
    <row r="7" spans="1:13">
      <c r="A7" s="269">
        <v>3</v>
      </c>
      <c r="B7" s="617" t="s">
        <v>340</v>
      </c>
      <c r="C7" s="621">
        <v>5</v>
      </c>
      <c r="D7" s="621" t="s">
        <v>688</v>
      </c>
      <c r="E7" s="629" t="s">
        <v>534</v>
      </c>
      <c r="F7" s="621">
        <v>30</v>
      </c>
      <c r="G7" s="623">
        <v>210000</v>
      </c>
      <c r="H7" s="623">
        <v>17500</v>
      </c>
      <c r="I7" s="621">
        <v>17500</v>
      </c>
      <c r="J7" s="621"/>
      <c r="K7" s="629" t="s">
        <v>535</v>
      </c>
      <c r="L7" s="539"/>
      <c r="M7" s="509"/>
    </row>
    <row r="8" spans="1:13">
      <c r="A8" s="269">
        <v>4</v>
      </c>
      <c r="B8" s="625" t="s">
        <v>536</v>
      </c>
      <c r="C8" s="619">
        <v>5</v>
      </c>
      <c r="D8" s="619" t="s">
        <v>18</v>
      </c>
      <c r="E8" s="622"/>
      <c r="F8" s="619"/>
      <c r="G8" s="623"/>
      <c r="H8" s="623"/>
      <c r="I8" s="619"/>
      <c r="J8" s="619"/>
      <c r="K8" s="622" t="s">
        <v>118</v>
      </c>
      <c r="L8" s="324"/>
    </row>
    <row r="9" spans="1:13">
      <c r="A9" s="269">
        <v>5</v>
      </c>
      <c r="B9" s="784" t="s">
        <v>538</v>
      </c>
      <c r="C9" s="619">
        <v>5</v>
      </c>
      <c r="D9" s="619" t="s">
        <v>734</v>
      </c>
      <c r="E9" s="622">
        <v>60</v>
      </c>
      <c r="F9" s="619">
        <v>27</v>
      </c>
      <c r="G9" s="623">
        <v>59200</v>
      </c>
      <c r="H9" s="623">
        <v>29600</v>
      </c>
      <c r="I9" s="619">
        <v>29600</v>
      </c>
      <c r="J9" s="619"/>
      <c r="K9" s="622" t="s">
        <v>653</v>
      </c>
      <c r="L9" s="324"/>
    </row>
    <row r="10" spans="1:13">
      <c r="A10" s="269">
        <v>6</v>
      </c>
      <c r="B10" s="823"/>
      <c r="C10" s="824"/>
      <c r="D10" s="825"/>
      <c r="E10" s="826"/>
      <c r="F10" s="824"/>
      <c r="G10" s="827"/>
      <c r="H10" s="827"/>
      <c r="I10" s="619"/>
      <c r="J10" s="619"/>
      <c r="K10" s="622"/>
      <c r="L10" s="14"/>
    </row>
    <row r="11" spans="1:13">
      <c r="A11" s="269">
        <v>7</v>
      </c>
      <c r="B11" s="823"/>
      <c r="C11" s="825"/>
      <c r="D11" s="824"/>
      <c r="E11" s="828"/>
      <c r="F11" s="825"/>
      <c r="G11" s="827"/>
      <c r="H11" s="827"/>
      <c r="I11" s="621"/>
      <c r="J11" s="621"/>
      <c r="K11" s="629" t="s">
        <v>331</v>
      </c>
      <c r="L11" s="451"/>
      <c r="M11" s="509"/>
    </row>
    <row r="12" spans="1:13">
      <c r="A12" s="269">
        <v>8</v>
      </c>
      <c r="B12" s="617" t="s">
        <v>574</v>
      </c>
      <c r="C12" s="619">
        <v>5</v>
      </c>
      <c r="D12" s="621" t="s">
        <v>734</v>
      </c>
      <c r="E12" s="622">
        <v>180</v>
      </c>
      <c r="F12" s="619">
        <v>18</v>
      </c>
      <c r="G12" s="623">
        <v>155400</v>
      </c>
      <c r="H12" s="623">
        <v>12950</v>
      </c>
      <c r="I12" s="619">
        <v>12950</v>
      </c>
      <c r="J12" s="619"/>
      <c r="K12" s="622" t="s">
        <v>331</v>
      </c>
      <c r="L12" s="33" t="s">
        <v>664</v>
      </c>
      <c r="M12" s="1" t="s">
        <v>199</v>
      </c>
    </row>
    <row r="13" spans="1:13">
      <c r="A13" s="269">
        <v>9</v>
      </c>
      <c r="B13" s="617" t="s">
        <v>410</v>
      </c>
      <c r="C13" s="619">
        <v>5</v>
      </c>
      <c r="D13" s="619" t="s">
        <v>737</v>
      </c>
      <c r="E13" s="622">
        <v>90</v>
      </c>
      <c r="F13" s="619">
        <v>31</v>
      </c>
      <c r="G13" s="623">
        <v>88800</v>
      </c>
      <c r="H13" s="623">
        <v>29600</v>
      </c>
      <c r="I13" s="619">
        <v>29600</v>
      </c>
      <c r="J13" s="619"/>
      <c r="K13" s="622"/>
      <c r="L13" s="33"/>
    </row>
    <row r="14" spans="1:13">
      <c r="A14" s="269">
        <v>10</v>
      </c>
      <c r="B14" s="667" t="s">
        <v>577</v>
      </c>
      <c r="C14" s="619">
        <v>5</v>
      </c>
      <c r="D14" s="619" t="s">
        <v>738</v>
      </c>
      <c r="E14" s="622">
        <v>180</v>
      </c>
      <c r="F14" s="619"/>
      <c r="G14" s="623">
        <v>150000</v>
      </c>
      <c r="H14" s="623">
        <v>25000</v>
      </c>
      <c r="I14" s="619">
        <v>25000</v>
      </c>
      <c r="J14" s="619"/>
      <c r="K14" s="622" t="s">
        <v>579</v>
      </c>
      <c r="L14" s="303"/>
    </row>
    <row r="15" spans="1:13">
      <c r="A15" s="269">
        <v>11</v>
      </c>
      <c r="B15" s="617" t="s">
        <v>332</v>
      </c>
      <c r="C15" s="619">
        <v>5</v>
      </c>
      <c r="D15" s="619" t="s">
        <v>734</v>
      </c>
      <c r="E15" s="622">
        <v>30</v>
      </c>
      <c r="F15" s="619">
        <v>28</v>
      </c>
      <c r="G15" s="623">
        <v>20000</v>
      </c>
      <c r="H15" s="623">
        <v>20000</v>
      </c>
      <c r="I15" s="619">
        <v>20000</v>
      </c>
      <c r="J15" s="619"/>
      <c r="K15" s="622" t="s">
        <v>331</v>
      </c>
      <c r="L15" s="33"/>
    </row>
    <row r="16" spans="1:13">
      <c r="A16" s="269">
        <v>12</v>
      </c>
      <c r="B16" s="617" t="s">
        <v>23</v>
      </c>
      <c r="C16" s="619">
        <v>5</v>
      </c>
      <c r="D16" s="619" t="s">
        <v>734</v>
      </c>
      <c r="E16" s="622" t="s">
        <v>534</v>
      </c>
      <c r="F16" s="619">
        <v>31</v>
      </c>
      <c r="G16" s="623">
        <v>33000</v>
      </c>
      <c r="H16" s="623">
        <v>33000</v>
      </c>
      <c r="I16" s="619">
        <v>33000</v>
      </c>
      <c r="J16" s="619"/>
      <c r="K16" s="622"/>
      <c r="L16" s="341" t="s">
        <v>581</v>
      </c>
    </row>
    <row r="17" spans="1:12">
      <c r="A17" s="269">
        <v>13</v>
      </c>
      <c r="B17" s="4" t="s">
        <v>739</v>
      </c>
      <c r="C17" s="59">
        <v>5</v>
      </c>
      <c r="D17" s="59" t="s">
        <v>740</v>
      </c>
      <c r="E17" s="622">
        <v>90</v>
      </c>
      <c r="F17" s="59">
        <v>31</v>
      </c>
      <c r="G17" s="59">
        <v>29600</v>
      </c>
      <c r="H17" s="59"/>
      <c r="I17" s="59">
        <v>29600</v>
      </c>
      <c r="J17" s="59"/>
      <c r="K17" s="537" t="s">
        <v>741</v>
      </c>
      <c r="L17" s="33" t="s">
        <v>742</v>
      </c>
    </row>
    <row r="18" spans="1:12">
      <c r="A18" s="269">
        <v>14</v>
      </c>
      <c r="B18" s="481" t="s">
        <v>743</v>
      </c>
      <c r="C18" s="454">
        <v>5</v>
      </c>
      <c r="D18" s="477" t="s">
        <v>734</v>
      </c>
      <c r="E18" s="543">
        <v>90</v>
      </c>
      <c r="F18" s="478">
        <v>31</v>
      </c>
      <c r="G18" s="478"/>
      <c r="H18" s="478">
        <v>29600</v>
      </c>
      <c r="I18" s="498"/>
      <c r="J18" s="498"/>
      <c r="K18" s="503"/>
      <c r="L18" s="501" t="s">
        <v>148</v>
      </c>
    </row>
    <row r="19" spans="1:12">
      <c r="A19" s="269">
        <v>15</v>
      </c>
      <c r="B19" s="4" t="s">
        <v>448</v>
      </c>
      <c r="C19" s="59">
        <v>10</v>
      </c>
      <c r="D19" s="45" t="s">
        <v>595</v>
      </c>
      <c r="E19" s="545"/>
      <c r="F19" s="223"/>
      <c r="G19" s="223"/>
      <c r="H19" s="221"/>
      <c r="I19" s="220"/>
      <c r="J19" s="220"/>
      <c r="K19" s="230" t="s">
        <v>118</v>
      </c>
      <c r="L19" s="14"/>
    </row>
    <row r="20" spans="1:12">
      <c r="A20" s="269">
        <v>16</v>
      </c>
      <c r="B20" s="253" t="s">
        <v>92</v>
      </c>
      <c r="C20" s="59">
        <v>5</v>
      </c>
      <c r="D20" s="45"/>
      <c r="E20" s="545"/>
      <c r="F20" s="223"/>
      <c r="G20" s="223"/>
      <c r="H20" s="223"/>
      <c r="I20" s="233"/>
      <c r="J20" s="233"/>
      <c r="K20" s="230"/>
      <c r="L20" s="14"/>
    </row>
    <row r="21" spans="1:12">
      <c r="A21" s="269">
        <v>17</v>
      </c>
      <c r="B21" s="453" t="s">
        <v>739</v>
      </c>
      <c r="C21" s="454">
        <v>5</v>
      </c>
      <c r="D21" s="455" t="s">
        <v>744</v>
      </c>
      <c r="E21" s="543">
        <v>18</v>
      </c>
      <c r="F21" s="458">
        <v>18</v>
      </c>
      <c r="G21" s="458">
        <v>9500</v>
      </c>
      <c r="H21" s="458">
        <v>9500</v>
      </c>
      <c r="I21" s="829">
        <v>9500</v>
      </c>
      <c r="J21" s="548"/>
      <c r="K21" s="503" t="s">
        <v>745</v>
      </c>
      <c r="L21" s="451"/>
    </row>
    <row r="22" spans="1:12">
      <c r="A22" s="269"/>
      <c r="B22" s="253"/>
      <c r="C22" s="59"/>
      <c r="D22" s="251"/>
      <c r="E22" s="550"/>
      <c r="F22" s="401"/>
      <c r="G22" s="402"/>
      <c r="H22" s="222"/>
      <c r="I22" s="551"/>
      <c r="J22" s="395"/>
      <c r="K22" s="309"/>
      <c r="L22" s="682" t="s">
        <v>590</v>
      </c>
    </row>
    <row r="23" spans="1:12">
      <c r="A23" s="114"/>
      <c r="B23" s="236" t="s">
        <v>177</v>
      </c>
      <c r="C23" s="6">
        <f>SUM(C3:C22)</f>
        <v>77</v>
      </c>
      <c r="D23" s="109"/>
      <c r="E23" s="552"/>
      <c r="F23" s="237"/>
      <c r="G23" s="237">
        <f t="shared" ref="G23:H23" si="0">SUM(G4:G22)</f>
        <v>755500</v>
      </c>
      <c r="H23" s="553">
        <f t="shared" si="0"/>
        <v>238750</v>
      </c>
      <c r="I23" s="554">
        <f>SUM(I5:I22)</f>
        <v>238750</v>
      </c>
      <c r="J23" s="555">
        <f>SUM(J4:J22)</f>
        <v>0</v>
      </c>
      <c r="K23" s="556">
        <f>H23+J23</f>
        <v>238750</v>
      </c>
      <c r="L23" s="696">
        <f>K23/G23*100</f>
        <v>31.601588352084715</v>
      </c>
    </row>
    <row r="24" spans="1:12">
      <c r="A24" s="265"/>
      <c r="B24" s="206"/>
      <c r="C24" s="697"/>
      <c r="D24" s="185"/>
      <c r="E24" s="557"/>
      <c r="F24" s="558"/>
      <c r="G24" s="558"/>
      <c r="H24" s="265"/>
      <c r="I24" s="265"/>
      <c r="J24" s="265"/>
      <c r="K24" s="559"/>
      <c r="L24" s="14"/>
    </row>
    <row r="25" spans="1:12">
      <c r="A25" s="560"/>
      <c r="B25" s="561"/>
      <c r="C25" s="562"/>
      <c r="D25" s="561"/>
      <c r="E25" s="563"/>
      <c r="F25" s="561"/>
      <c r="G25" s="565"/>
      <c r="H25" s="565"/>
      <c r="I25" s="566"/>
      <c r="J25" s="566"/>
      <c r="K25" s="567"/>
      <c r="L25" s="33"/>
    </row>
    <row r="26" spans="1:12">
      <c r="A26" s="568"/>
      <c r="B26" s="569"/>
      <c r="C26" s="338"/>
      <c r="D26" s="570"/>
      <c r="E26" s="571"/>
      <c r="F26" s="572"/>
      <c r="G26" s="572"/>
      <c r="H26" s="573"/>
      <c r="I26" s="574"/>
      <c r="J26" s="574"/>
      <c r="K26" s="575"/>
      <c r="L26" s="33"/>
    </row>
    <row r="27" spans="1:12">
      <c r="A27" s="568"/>
      <c r="B27" s="576"/>
      <c r="C27" s="340"/>
      <c r="D27" s="577"/>
      <c r="E27" s="578"/>
      <c r="F27" s="319"/>
      <c r="G27" s="319"/>
      <c r="H27" s="320"/>
      <c r="I27" s="320"/>
      <c r="J27" s="320"/>
      <c r="K27" s="579"/>
      <c r="L27" s="33"/>
    </row>
    <row r="28" spans="1:12">
      <c r="A28" s="580"/>
      <c r="B28" s="581"/>
      <c r="C28" s="260"/>
      <c r="D28" s="260"/>
      <c r="E28" s="578"/>
      <c r="F28" s="582"/>
      <c r="G28" s="572"/>
      <c r="H28" s="270"/>
      <c r="I28" s="583"/>
      <c r="J28" s="584"/>
      <c r="K28" s="585"/>
      <c r="L28" s="303"/>
    </row>
    <row r="29" spans="1:12">
      <c r="A29" s="568"/>
      <c r="B29" s="586"/>
      <c r="C29" s="340"/>
      <c r="D29" s="577"/>
      <c r="E29" s="587"/>
      <c r="F29" s="582"/>
      <c r="G29" s="582"/>
      <c r="H29" s="237"/>
      <c r="I29" s="582"/>
      <c r="J29" s="582"/>
      <c r="K29" s="588"/>
      <c r="L29" s="33"/>
    </row>
    <row r="30" spans="1:12">
      <c r="A30" s="589"/>
      <c r="B30" s="590"/>
      <c r="C30" s="591"/>
      <c r="D30" s="590"/>
      <c r="E30" s="592"/>
      <c r="F30" s="590"/>
      <c r="G30" s="590"/>
      <c r="H30" s="590"/>
      <c r="I30" s="591"/>
      <c r="J30" s="590"/>
      <c r="K30" s="593"/>
    </row>
    <row r="31" spans="1:12">
      <c r="A31" s="2"/>
      <c r="B31" s="4"/>
      <c r="C31" s="6"/>
      <c r="D31" s="8"/>
      <c r="E31" s="532"/>
      <c r="F31" s="220"/>
      <c r="G31" s="220"/>
      <c r="H31" s="6"/>
      <c r="I31" s="6"/>
      <c r="J31" s="6"/>
      <c r="K31" s="594"/>
      <c r="L31" s="14"/>
    </row>
    <row r="32" spans="1:12">
      <c r="A32" s="595" t="s">
        <v>5</v>
      </c>
      <c r="B32" s="596" t="s">
        <v>74</v>
      </c>
      <c r="C32" s="597" t="s">
        <v>159</v>
      </c>
      <c r="D32" s="598" t="s">
        <v>10</v>
      </c>
      <c r="E32" s="599" t="s">
        <v>243</v>
      </c>
      <c r="F32" s="600" t="s">
        <v>244</v>
      </c>
      <c r="G32" s="600" t="s">
        <v>245</v>
      </c>
      <c r="H32" s="601" t="s">
        <v>246</v>
      </c>
      <c r="I32" s="597" t="s">
        <v>532</v>
      </c>
      <c r="J32" s="602" t="s">
        <v>13</v>
      </c>
      <c r="K32" s="603" t="s">
        <v>162</v>
      </c>
      <c r="L32" s="14"/>
    </row>
    <row r="33" spans="1:12">
      <c r="A33" s="269">
        <v>1</v>
      </c>
      <c r="B33" s="443" t="s">
        <v>135</v>
      </c>
      <c r="C33" s="144">
        <v>5</v>
      </c>
      <c r="D33" s="715" t="s">
        <v>734</v>
      </c>
      <c r="E33" s="606"/>
      <c r="F33" s="144">
        <v>28</v>
      </c>
      <c r="G33" s="608"/>
      <c r="H33" s="608">
        <v>32000</v>
      </c>
      <c r="I33" s="608">
        <v>32000</v>
      </c>
      <c r="J33" s="609"/>
      <c r="K33" s="503"/>
      <c r="L33" s="491"/>
    </row>
    <row r="34" spans="1:12">
      <c r="A34" s="269">
        <v>2</v>
      </c>
      <c r="B34" s="830"/>
      <c r="C34" s="192"/>
      <c r="D34" s="831"/>
      <c r="E34" s="832"/>
      <c r="F34" s="833"/>
      <c r="G34" s="834"/>
      <c r="H34" s="835"/>
      <c r="I34" s="613"/>
      <c r="J34" s="612"/>
      <c r="K34" s="503"/>
      <c r="L34" s="14"/>
    </row>
    <row r="35" spans="1:12">
      <c r="A35" s="269">
        <v>3</v>
      </c>
      <c r="B35" s="830"/>
      <c r="C35" s="192"/>
      <c r="D35" s="102"/>
      <c r="E35" s="295"/>
      <c r="F35" s="192"/>
      <c r="G35" s="836"/>
      <c r="H35" s="836"/>
      <c r="I35" s="609"/>
      <c r="J35" s="609"/>
      <c r="K35" s="503"/>
      <c r="L35" s="14"/>
    </row>
    <row r="36" spans="1:12">
      <c r="A36" s="269">
        <v>4</v>
      </c>
      <c r="B36" s="443" t="s">
        <v>23</v>
      </c>
      <c r="C36" s="144">
        <v>5</v>
      </c>
      <c r="D36" s="715" t="s">
        <v>734</v>
      </c>
      <c r="E36" s="230" t="s">
        <v>534</v>
      </c>
      <c r="F36" s="144">
        <v>22</v>
      </c>
      <c r="G36" s="538">
        <v>363000</v>
      </c>
      <c r="H36" s="538">
        <v>25928.5</v>
      </c>
      <c r="I36" s="608">
        <v>33000</v>
      </c>
      <c r="J36" s="609"/>
      <c r="K36" s="503" t="s">
        <v>535</v>
      </c>
      <c r="L36" s="33" t="s">
        <v>581</v>
      </c>
    </row>
    <row r="37" spans="1:12">
      <c r="A37" s="269">
        <v>5</v>
      </c>
      <c r="B37" s="443" t="s">
        <v>617</v>
      </c>
      <c r="C37" s="473">
        <v>5</v>
      </c>
      <c r="D37" s="725" t="s">
        <v>740</v>
      </c>
      <c r="E37" s="230"/>
      <c r="F37" s="144"/>
      <c r="G37" s="608"/>
      <c r="H37" s="608"/>
      <c r="I37" s="609"/>
      <c r="J37" s="609"/>
      <c r="K37" s="503" t="s">
        <v>619</v>
      </c>
      <c r="L37" s="33" t="s">
        <v>620</v>
      </c>
    </row>
    <row r="38" spans="1:12">
      <c r="A38" s="269">
        <v>6</v>
      </c>
      <c r="B38" s="443" t="s">
        <v>568</v>
      </c>
      <c r="C38" s="144">
        <v>5</v>
      </c>
      <c r="D38" s="203" t="s">
        <v>737</v>
      </c>
      <c r="E38" s="230">
        <v>180</v>
      </c>
      <c r="F38" s="144">
        <v>9</v>
      </c>
      <c r="G38" s="608">
        <v>147000</v>
      </c>
      <c r="H38" s="608">
        <v>24500</v>
      </c>
      <c r="I38" s="608"/>
      <c r="J38" s="609"/>
      <c r="K38" s="503"/>
      <c r="L38" s="792" t="s">
        <v>687</v>
      </c>
    </row>
    <row r="39" spans="1:12">
      <c r="A39" s="269">
        <v>7</v>
      </c>
      <c r="B39" s="443" t="s">
        <v>536</v>
      </c>
      <c r="C39" s="144">
        <v>5</v>
      </c>
      <c r="D39" s="203"/>
      <c r="E39" s="606"/>
      <c r="F39" s="607"/>
      <c r="G39" s="609"/>
      <c r="H39" s="609"/>
      <c r="I39" s="609"/>
      <c r="J39" s="609"/>
      <c r="K39" s="503" t="s">
        <v>118</v>
      </c>
      <c r="L39" s="491"/>
    </row>
    <row r="40" spans="1:12">
      <c r="A40" s="269">
        <v>8</v>
      </c>
      <c r="B40" s="443" t="s">
        <v>366</v>
      </c>
      <c r="C40" s="144">
        <v>5</v>
      </c>
      <c r="D40" s="203" t="s">
        <v>747</v>
      </c>
      <c r="E40" s="230">
        <v>31</v>
      </c>
      <c r="F40" s="144">
        <v>31</v>
      </c>
      <c r="G40" s="609">
        <v>17500</v>
      </c>
      <c r="H40" s="608">
        <v>17500</v>
      </c>
      <c r="I40" s="608">
        <v>17500</v>
      </c>
      <c r="J40" s="609"/>
      <c r="K40" s="503" t="s">
        <v>331</v>
      </c>
      <c r="L40" s="491"/>
    </row>
    <row r="41" spans="1:12">
      <c r="A41" s="269">
        <v>9</v>
      </c>
      <c r="B41" s="793" t="s">
        <v>92</v>
      </c>
      <c r="C41" s="144"/>
      <c r="D41" s="203"/>
      <c r="E41" s="230"/>
      <c r="F41" s="607"/>
      <c r="G41" s="609"/>
      <c r="H41" s="608"/>
      <c r="I41" s="609"/>
      <c r="J41" s="609"/>
      <c r="K41" s="503"/>
      <c r="L41" s="33"/>
    </row>
    <row r="42" spans="1:12">
      <c r="A42" s="269">
        <v>10</v>
      </c>
      <c r="B42" s="791" t="s">
        <v>332</v>
      </c>
      <c r="C42" s="277">
        <v>5</v>
      </c>
      <c r="D42" s="843" t="s">
        <v>734</v>
      </c>
      <c r="E42" s="268">
        <v>90</v>
      </c>
      <c r="F42" s="277">
        <v>28</v>
      </c>
      <c r="G42" s="844">
        <v>20000</v>
      </c>
      <c r="H42" s="845">
        <v>20000</v>
      </c>
      <c r="I42" s="845">
        <v>20000</v>
      </c>
      <c r="J42" s="844"/>
      <c r="K42" s="268" t="s">
        <v>331</v>
      </c>
      <c r="L42" s="846" t="s">
        <v>752</v>
      </c>
    </row>
    <row r="43" spans="1:12">
      <c r="A43" s="269">
        <v>11</v>
      </c>
      <c r="B43" s="453" t="s">
        <v>754</v>
      </c>
      <c r="C43" s="454">
        <v>5</v>
      </c>
      <c r="D43" s="477" t="s">
        <v>734</v>
      </c>
      <c r="E43" s="543">
        <v>90</v>
      </c>
      <c r="F43" s="478">
        <v>30</v>
      </c>
      <c r="G43" s="478">
        <v>58500</v>
      </c>
      <c r="H43" s="478">
        <v>19500</v>
      </c>
      <c r="I43" s="498"/>
      <c r="J43" s="498"/>
      <c r="K43" s="480" t="s">
        <v>755</v>
      </c>
      <c r="L43" s="792" t="s">
        <v>675</v>
      </c>
    </row>
    <row r="44" spans="1:12">
      <c r="A44" s="269">
        <v>12</v>
      </c>
      <c r="B44" s="443" t="s">
        <v>657</v>
      </c>
      <c r="C44" s="144">
        <v>5</v>
      </c>
      <c r="D44" s="203" t="s">
        <v>740</v>
      </c>
      <c r="E44" s="230">
        <v>90</v>
      </c>
      <c r="F44" s="608">
        <v>31</v>
      </c>
      <c r="G44" s="608">
        <v>28000</v>
      </c>
      <c r="H44" s="609"/>
      <c r="I44" s="608">
        <v>28000</v>
      </c>
      <c r="J44" s="609"/>
      <c r="K44" s="503"/>
      <c r="L44" s="792" t="s">
        <v>758</v>
      </c>
    </row>
    <row r="45" spans="1:12">
      <c r="A45" s="269">
        <v>13</v>
      </c>
      <c r="B45" s="443" t="s">
        <v>759</v>
      </c>
      <c r="C45" s="144">
        <v>5</v>
      </c>
      <c r="D45" s="203" t="s">
        <v>760</v>
      </c>
      <c r="E45" s="230">
        <v>16</v>
      </c>
      <c r="F45" s="608">
        <v>16</v>
      </c>
      <c r="G45" s="608">
        <v>20000</v>
      </c>
      <c r="H45" s="608">
        <v>20000</v>
      </c>
      <c r="I45" s="608">
        <v>20000</v>
      </c>
      <c r="J45" s="609"/>
      <c r="K45" s="503" t="s">
        <v>118</v>
      </c>
      <c r="L45" s="496"/>
    </row>
    <row r="46" spans="1:12">
      <c r="A46" s="269">
        <v>14</v>
      </c>
      <c r="B46" s="443" t="s">
        <v>657</v>
      </c>
      <c r="C46" s="144">
        <v>5</v>
      </c>
      <c r="D46" s="203" t="s">
        <v>744</v>
      </c>
      <c r="E46" s="230">
        <v>18</v>
      </c>
      <c r="F46" s="608">
        <v>18</v>
      </c>
      <c r="G46" s="608">
        <v>9500</v>
      </c>
      <c r="H46" s="608">
        <v>9500</v>
      </c>
      <c r="I46" s="848">
        <v>9500</v>
      </c>
      <c r="J46" s="609"/>
      <c r="K46" s="503" t="s">
        <v>745</v>
      </c>
      <c r="L46" s="682" t="s">
        <v>590</v>
      </c>
    </row>
    <row r="47" spans="1:12">
      <c r="A47" s="2"/>
      <c r="B47" s="236" t="s">
        <v>177</v>
      </c>
      <c r="C47" s="6">
        <f>SUM(C33:C46)</f>
        <v>55</v>
      </c>
      <c r="D47" s="8"/>
      <c r="E47" s="618">
        <f>SUM(E33:E46)</f>
        <v>515</v>
      </c>
      <c r="F47" s="620"/>
      <c r="G47" s="620">
        <f t="shared" ref="G47:J47" si="1">SUM(G33:G46)</f>
        <v>663500</v>
      </c>
      <c r="H47" s="624">
        <f t="shared" si="1"/>
        <v>168928.5</v>
      </c>
      <c r="I47" s="626">
        <f t="shared" si="1"/>
        <v>160000</v>
      </c>
      <c r="J47" s="620">
        <f t="shared" si="1"/>
        <v>0</v>
      </c>
      <c r="K47" s="628">
        <f>H47+J47</f>
        <v>168928.5</v>
      </c>
      <c r="L47" s="696">
        <f>K47/G47*100</f>
        <v>25.460211002260742</v>
      </c>
    </row>
    <row r="48" spans="1:12">
      <c r="A48" s="14"/>
      <c r="B48" s="206"/>
      <c r="C48" s="198"/>
      <c r="D48" s="185"/>
      <c r="E48" s="557"/>
      <c r="F48" s="209"/>
      <c r="G48" s="209"/>
      <c r="H48" s="14"/>
      <c r="I48" s="14"/>
      <c r="J48" s="14"/>
      <c r="K48" s="559"/>
      <c r="L48" s="14"/>
    </row>
    <row r="49" spans="1:13">
      <c r="A49" s="630"/>
      <c r="B49" s="631"/>
      <c r="C49" s="632"/>
      <c r="D49" s="633"/>
      <c r="E49" s="634"/>
      <c r="F49" s="631"/>
      <c r="G49" s="635"/>
      <c r="H49" s="635"/>
      <c r="I49" s="636"/>
      <c r="J49" s="636"/>
      <c r="K49" s="637"/>
      <c r="L49" s="14"/>
    </row>
    <row r="50" spans="1:13">
      <c r="A50" s="638"/>
      <c r="B50" s="639"/>
      <c r="C50" s="150"/>
      <c r="D50" s="641"/>
      <c r="E50" s="642"/>
      <c r="F50" s="237"/>
      <c r="G50" s="150"/>
      <c r="H50" s="270"/>
      <c r="I50" s="237"/>
      <c r="J50" s="237"/>
      <c r="K50" s="643"/>
      <c r="L50" s="451"/>
    </row>
    <row r="51" spans="1:13">
      <c r="A51" s="638"/>
      <c r="B51" s="644"/>
      <c r="C51" s="260"/>
      <c r="D51" s="645"/>
      <c r="E51" s="642"/>
      <c r="F51" s="237"/>
      <c r="G51" s="150"/>
      <c r="H51" s="237"/>
      <c r="I51" s="237"/>
      <c r="J51" s="237"/>
      <c r="K51" s="646"/>
      <c r="L51" s="14"/>
    </row>
    <row r="52" spans="1:13">
      <c r="A52" s="638"/>
      <c r="B52" s="647"/>
      <c r="C52" s="649"/>
      <c r="D52" s="651"/>
      <c r="E52" s="652"/>
      <c r="F52" s="653"/>
      <c r="G52" s="653"/>
      <c r="H52" s="653"/>
      <c r="I52" s="654"/>
      <c r="J52" s="653"/>
      <c r="K52" s="655"/>
      <c r="L52" s="14"/>
    </row>
    <row r="53" spans="1:13">
      <c r="A53" s="638"/>
      <c r="B53" s="644"/>
      <c r="C53" s="260"/>
      <c r="D53" s="645"/>
      <c r="E53" s="642"/>
      <c r="F53" s="237"/>
      <c r="G53" s="270"/>
      <c r="H53" s="270"/>
      <c r="I53" s="237"/>
      <c r="J53" s="237"/>
      <c r="K53" s="646"/>
      <c r="L53" s="14"/>
    </row>
    <row r="54" spans="1:13">
      <c r="A54" s="638"/>
      <c r="B54" s="639"/>
      <c r="C54" s="260"/>
      <c r="D54" s="645"/>
      <c r="E54" s="587"/>
      <c r="F54" s="270"/>
      <c r="G54" s="270"/>
      <c r="H54" s="237"/>
      <c r="I54" s="150"/>
      <c r="J54" s="150"/>
      <c r="K54" s="646"/>
      <c r="L54" s="14"/>
    </row>
    <row r="55" spans="1:13">
      <c r="A55" s="656"/>
      <c r="B55" s="639"/>
      <c r="C55" s="309"/>
      <c r="D55" s="657"/>
      <c r="E55" s="587"/>
      <c r="F55" s="658"/>
      <c r="G55" s="659"/>
      <c r="H55" s="660"/>
      <c r="I55" s="642"/>
      <c r="J55" s="642"/>
      <c r="K55" s="661"/>
      <c r="L55" s="14"/>
    </row>
    <row r="56" spans="1:13">
      <c r="A56" s="662"/>
      <c r="B56" s="663"/>
      <c r="C56" s="664"/>
      <c r="D56" s="665"/>
      <c r="E56" s="666"/>
      <c r="F56" s="668"/>
      <c r="G56" s="669"/>
      <c r="H56" s="670"/>
      <c r="I56" s="671"/>
      <c r="J56" s="671"/>
      <c r="K56" s="672"/>
      <c r="L56" s="14"/>
    </row>
    <row r="57" spans="1:13">
      <c r="A57" s="114"/>
      <c r="B57" s="283"/>
      <c r="C57" s="673"/>
      <c r="D57" s="674"/>
      <c r="E57" s="675"/>
      <c r="F57" s="676"/>
      <c r="G57" s="677"/>
      <c r="H57" s="678"/>
      <c r="I57" s="679"/>
      <c r="J57" s="679"/>
      <c r="K57" s="680"/>
      <c r="L57" s="265"/>
      <c r="M57" s="681"/>
    </row>
    <row r="58" spans="1:13">
      <c r="A58" s="683" t="s">
        <v>5</v>
      </c>
      <c r="B58" s="684" t="s">
        <v>315</v>
      </c>
      <c r="C58" s="685" t="s">
        <v>159</v>
      </c>
      <c r="D58" s="686" t="s">
        <v>10</v>
      </c>
      <c r="E58" s="687" t="s">
        <v>243</v>
      </c>
      <c r="F58" s="688" t="s">
        <v>244</v>
      </c>
      <c r="G58" s="688" t="s">
        <v>245</v>
      </c>
      <c r="H58" s="689" t="s">
        <v>246</v>
      </c>
      <c r="I58" s="525" t="s">
        <v>532</v>
      </c>
      <c r="J58" s="690" t="s">
        <v>13</v>
      </c>
      <c r="K58" s="691" t="s">
        <v>162</v>
      </c>
      <c r="L58" s="14"/>
    </row>
    <row r="59" spans="1:13">
      <c r="A59" s="139">
        <v>1</v>
      </c>
      <c r="B59" s="796" t="s">
        <v>700</v>
      </c>
      <c r="C59" s="144">
        <v>5</v>
      </c>
      <c r="D59" s="757" t="s">
        <v>777</v>
      </c>
      <c r="E59" s="693">
        <v>200</v>
      </c>
      <c r="F59" s="103"/>
      <c r="G59" s="608" t="s">
        <v>778</v>
      </c>
      <c r="H59" s="694"/>
      <c r="I59" s="100"/>
      <c r="J59" s="100"/>
      <c r="K59" s="230" t="s">
        <v>275</v>
      </c>
      <c r="L59" s="33" t="s">
        <v>779</v>
      </c>
      <c r="M59" s="499"/>
    </row>
    <row r="60" spans="1:13">
      <c r="A60" s="139">
        <v>2</v>
      </c>
      <c r="B60" s="805" t="s">
        <v>780</v>
      </c>
      <c r="C60" s="144">
        <v>5</v>
      </c>
      <c r="D60" s="463"/>
      <c r="E60" s="693"/>
      <c r="F60" s="103"/>
      <c r="G60" s="608"/>
      <c r="H60" s="694"/>
      <c r="I60" s="144"/>
      <c r="J60" s="144"/>
      <c r="K60" s="230"/>
      <c r="L60" s="14"/>
      <c r="M60" s="499"/>
    </row>
    <row r="61" spans="1:13">
      <c r="A61" s="134">
        <v>3</v>
      </c>
      <c r="B61" s="805" t="s">
        <v>617</v>
      </c>
      <c r="C61" s="144">
        <v>5</v>
      </c>
      <c r="D61" s="144" t="s">
        <v>781</v>
      </c>
      <c r="E61" s="693"/>
      <c r="F61" s="103"/>
      <c r="G61" s="608"/>
      <c r="H61" s="695"/>
      <c r="I61" s="100"/>
      <c r="J61" s="100"/>
      <c r="K61" s="295" t="s">
        <v>619</v>
      </c>
      <c r="L61" s="33" t="s">
        <v>637</v>
      </c>
      <c r="M61" s="33"/>
    </row>
    <row r="62" spans="1:13">
      <c r="A62" s="139">
        <v>4</v>
      </c>
      <c r="B62" s="805" t="s">
        <v>600</v>
      </c>
      <c r="C62" s="144">
        <v>5</v>
      </c>
      <c r="D62" s="144" t="s">
        <v>782</v>
      </c>
      <c r="E62" s="693">
        <v>180</v>
      </c>
      <c r="F62" s="103">
        <v>28</v>
      </c>
      <c r="G62" s="608">
        <v>14000</v>
      </c>
      <c r="H62" s="694">
        <v>14000</v>
      </c>
      <c r="I62" s="144">
        <v>14000</v>
      </c>
      <c r="J62" s="100"/>
      <c r="K62" s="520"/>
      <c r="L62" s="33" t="s">
        <v>602</v>
      </c>
      <c r="M62" s="499"/>
    </row>
    <row r="63" spans="1:13">
      <c r="A63" s="139">
        <v>5</v>
      </c>
      <c r="B63" s="692" t="s">
        <v>639</v>
      </c>
      <c r="C63" s="144">
        <v>5.03</v>
      </c>
      <c r="D63" s="144" t="s">
        <v>467</v>
      </c>
      <c r="E63" s="693"/>
      <c r="F63" s="103"/>
      <c r="G63" s="608"/>
      <c r="H63" s="695"/>
      <c r="I63" s="100"/>
      <c r="J63" s="100"/>
      <c r="K63" s="230" t="s">
        <v>118</v>
      </c>
      <c r="L63" s="14"/>
      <c r="M63" s="499"/>
    </row>
    <row r="64" spans="1:13">
      <c r="A64" s="139">
        <v>6</v>
      </c>
      <c r="B64" s="805" t="s">
        <v>461</v>
      </c>
      <c r="C64" s="144">
        <v>5</v>
      </c>
      <c r="D64" s="144" t="s">
        <v>783</v>
      </c>
      <c r="E64" s="693">
        <v>365</v>
      </c>
      <c r="F64" s="103">
        <v>28</v>
      </c>
      <c r="G64" s="608">
        <v>14000</v>
      </c>
      <c r="H64" s="694">
        <v>14000</v>
      </c>
      <c r="I64" s="144"/>
      <c r="J64" s="100"/>
      <c r="K64" s="230" t="s">
        <v>784</v>
      </c>
      <c r="L64" s="33"/>
      <c r="M64" s="499"/>
    </row>
    <row r="65" spans="1:13">
      <c r="A65" s="139">
        <v>7</v>
      </c>
      <c r="B65" s="692" t="s">
        <v>448</v>
      </c>
      <c r="C65" s="144">
        <v>10</v>
      </c>
      <c r="D65" s="144" t="s">
        <v>467</v>
      </c>
      <c r="E65" s="552"/>
      <c r="F65" s="233"/>
      <c r="G65" s="609"/>
      <c r="H65" s="609"/>
      <c r="I65" s="100"/>
      <c r="J65" s="100"/>
      <c r="K65" s="230" t="s">
        <v>118</v>
      </c>
      <c r="L65" s="14"/>
      <c r="M65" s="499"/>
    </row>
    <row r="66" spans="1:13">
      <c r="A66" s="139">
        <v>8</v>
      </c>
      <c r="B66" s="805" t="s">
        <v>134</v>
      </c>
      <c r="C66" s="144">
        <v>5</v>
      </c>
      <c r="D66" s="715" t="s">
        <v>734</v>
      </c>
      <c r="E66" s="693" t="s">
        <v>534</v>
      </c>
      <c r="F66" s="144">
        <v>22</v>
      </c>
      <c r="G66" s="538">
        <v>363000</v>
      </c>
      <c r="H66" s="538">
        <v>25928.5</v>
      </c>
      <c r="I66" s="144">
        <v>33000</v>
      </c>
      <c r="J66" s="100"/>
      <c r="K66" s="230" t="s">
        <v>535</v>
      </c>
      <c r="L66" s="33" t="s">
        <v>581</v>
      </c>
      <c r="M66" s="499"/>
    </row>
    <row r="67" spans="1:13">
      <c r="A67" s="139">
        <v>9</v>
      </c>
      <c r="B67" s="853" t="s">
        <v>606</v>
      </c>
      <c r="C67" s="144">
        <v>5</v>
      </c>
      <c r="D67" s="699" t="s">
        <v>786</v>
      </c>
      <c r="E67" s="587"/>
      <c r="F67" s="270"/>
      <c r="G67" s="700"/>
      <c r="H67" s="620"/>
      <c r="I67" s="59"/>
      <c r="J67" s="144"/>
      <c r="K67" s="309" t="s">
        <v>118</v>
      </c>
      <c r="L67" s="33" t="s">
        <v>608</v>
      </c>
      <c r="M67" s="499"/>
    </row>
    <row r="68" spans="1:13">
      <c r="A68" s="134">
        <v>10</v>
      </c>
      <c r="B68" s="497" t="s">
        <v>657</v>
      </c>
      <c r="C68" s="59">
        <v>5</v>
      </c>
      <c r="D68" s="477" t="s">
        <v>740</v>
      </c>
      <c r="E68" s="537">
        <v>90</v>
      </c>
      <c r="F68" s="223">
        <v>31</v>
      </c>
      <c r="G68" s="533"/>
      <c r="H68" s="533">
        <v>16000</v>
      </c>
      <c r="I68" s="858">
        <v>16000</v>
      </c>
      <c r="J68" s="220"/>
      <c r="K68" s="594"/>
      <c r="L68" s="682"/>
      <c r="M68" s="499"/>
    </row>
    <row r="69" spans="1:13">
      <c r="A69" s="134">
        <v>11</v>
      </c>
      <c r="B69" s="236" t="s">
        <v>92</v>
      </c>
      <c r="C69" s="806">
        <v>5</v>
      </c>
      <c r="D69" s="45" t="s">
        <v>734</v>
      </c>
      <c r="E69" s="537"/>
      <c r="F69" s="220"/>
      <c r="G69" s="533"/>
      <c r="H69" s="807"/>
      <c r="I69" s="808"/>
      <c r="J69" s="220"/>
      <c r="K69" s="809"/>
      <c r="L69" s="810"/>
      <c r="M69" s="499"/>
    </row>
    <row r="70" spans="1:13">
      <c r="A70" s="134">
        <v>12</v>
      </c>
      <c r="B70" s="310" t="s">
        <v>712</v>
      </c>
      <c r="C70" s="806">
        <v>5</v>
      </c>
      <c r="D70" s="45" t="s">
        <v>787</v>
      </c>
      <c r="E70" s="618"/>
      <c r="F70" s="220"/>
      <c r="G70" s="620"/>
      <c r="H70" s="701"/>
      <c r="I70" s="859"/>
      <c r="J70" s="220"/>
      <c r="K70" s="809"/>
      <c r="L70" s="696"/>
      <c r="M70" s="499"/>
    </row>
    <row r="71" spans="1:13">
      <c r="A71" s="134">
        <v>13</v>
      </c>
      <c r="B71" s="236" t="s">
        <v>714</v>
      </c>
      <c r="C71" s="806">
        <v>5</v>
      </c>
      <c r="D71" s="45" t="s">
        <v>663</v>
      </c>
      <c r="E71" s="537">
        <v>60</v>
      </c>
      <c r="F71" s="223">
        <v>16</v>
      </c>
      <c r="G71" s="620"/>
      <c r="H71" s="807">
        <v>16000</v>
      </c>
      <c r="I71" s="808">
        <v>16000</v>
      </c>
      <c r="J71" s="220"/>
      <c r="K71" s="809"/>
      <c r="L71" s="810" t="s">
        <v>788</v>
      </c>
      <c r="M71" s="499"/>
    </row>
    <row r="72" spans="1:13">
      <c r="A72" s="134">
        <v>14</v>
      </c>
      <c r="B72" s="236" t="s">
        <v>789</v>
      </c>
      <c r="C72" s="806">
        <v>5</v>
      </c>
      <c r="D72" s="45" t="s">
        <v>790</v>
      </c>
      <c r="E72" s="537">
        <v>90</v>
      </c>
      <c r="F72" s="223">
        <v>19</v>
      </c>
      <c r="G72" s="533">
        <v>48000</v>
      </c>
      <c r="H72" s="807">
        <v>16000</v>
      </c>
      <c r="I72" s="808">
        <v>16000</v>
      </c>
      <c r="J72" s="220"/>
      <c r="K72" s="809"/>
      <c r="L72" s="696"/>
      <c r="M72" s="499"/>
    </row>
    <row r="73" spans="1:13">
      <c r="A73" s="132"/>
      <c r="B73" s="236" t="s">
        <v>177</v>
      </c>
      <c r="C73" s="769">
        <f>SUM(C54:C72)</f>
        <v>75.03</v>
      </c>
      <c r="D73" s="8"/>
      <c r="E73" s="532">
        <f>SUM(E54:E72)</f>
        <v>985</v>
      </c>
      <c r="F73" s="220"/>
      <c r="G73" s="620">
        <f t="shared" ref="G73:I73" si="2">SUM(G59:G72)</f>
        <v>439000</v>
      </c>
      <c r="H73" s="701">
        <f t="shared" si="2"/>
        <v>101928.5</v>
      </c>
      <c r="I73" s="554">
        <f t="shared" si="2"/>
        <v>95000</v>
      </c>
      <c r="J73" s="220">
        <f>SUM(J59:J68)</f>
        <v>0</v>
      </c>
      <c r="K73" s="628">
        <f>H73+J73</f>
        <v>101928.5</v>
      </c>
      <c r="L73" s="696">
        <f>K73/G73*100</f>
        <v>23.218337129840545</v>
      </c>
      <c r="M73" s="499"/>
    </row>
    <row r="74" spans="1:13">
      <c r="A74" s="702"/>
      <c r="B74" s="811"/>
      <c r="C74" s="673"/>
      <c r="D74" s="812"/>
      <c r="E74" s="675"/>
      <c r="F74" s="676"/>
      <c r="G74" s="677"/>
      <c r="H74" s="703"/>
      <c r="I74" s="704"/>
      <c r="J74" s="220"/>
      <c r="K74" s="309"/>
      <c r="L74" s="265"/>
      <c r="M74" s="681"/>
    </row>
    <row r="75" spans="1:13">
      <c r="A75" s="630"/>
      <c r="B75" s="631"/>
      <c r="C75" s="632"/>
      <c r="D75" s="633"/>
      <c r="E75" s="634"/>
      <c r="F75" s="631"/>
      <c r="G75" s="635"/>
      <c r="H75" s="635"/>
      <c r="I75" s="636"/>
      <c r="J75" s="636"/>
      <c r="K75" s="637"/>
      <c r="L75" s="14"/>
    </row>
    <row r="76" spans="1:13">
      <c r="A76" s="638"/>
      <c r="B76" s="639"/>
      <c r="C76" s="150"/>
      <c r="D76" s="641"/>
      <c r="E76" s="642"/>
      <c r="F76" s="237"/>
      <c r="G76" s="150"/>
      <c r="H76" s="270"/>
      <c r="I76" s="237"/>
      <c r="J76" s="237"/>
      <c r="K76" s="643"/>
      <c r="L76" s="14"/>
    </row>
    <row r="77" spans="1:13">
      <c r="A77" s="638"/>
      <c r="B77" s="644"/>
      <c r="C77" s="260"/>
      <c r="D77" s="645"/>
      <c r="E77" s="642"/>
      <c r="F77" s="237"/>
      <c r="G77" s="150"/>
      <c r="H77" s="237"/>
      <c r="I77" s="237"/>
      <c r="J77" s="237"/>
      <c r="K77" s="646"/>
      <c r="L77" s="14"/>
    </row>
    <row r="78" spans="1:13">
      <c r="A78" s="638"/>
      <c r="B78" s="647"/>
      <c r="C78" s="649"/>
      <c r="D78" s="651"/>
      <c r="E78" s="652"/>
      <c r="F78" s="653"/>
      <c r="G78" s="653"/>
      <c r="H78" s="653"/>
      <c r="I78" s="654"/>
      <c r="J78" s="653"/>
      <c r="K78" s="655"/>
      <c r="L78" s="14"/>
    </row>
    <row r="79" spans="1:13">
      <c r="A79" s="638"/>
      <c r="B79" s="644"/>
      <c r="C79" s="260"/>
      <c r="D79" s="645"/>
      <c r="E79" s="642"/>
      <c r="F79" s="237"/>
      <c r="G79" s="270"/>
      <c r="H79" s="270"/>
      <c r="I79" s="237"/>
      <c r="J79" s="237"/>
      <c r="K79" s="646"/>
      <c r="L79" s="14"/>
    </row>
    <row r="80" spans="1:13">
      <c r="A80" s="638"/>
      <c r="B80" s="639"/>
      <c r="C80" s="260"/>
      <c r="D80" s="645"/>
      <c r="E80" s="587"/>
      <c r="F80" s="270"/>
      <c r="G80" s="270"/>
      <c r="H80" s="237"/>
      <c r="I80" s="150"/>
      <c r="J80" s="150"/>
      <c r="K80" s="646"/>
      <c r="L80" s="14"/>
    </row>
    <row r="81" spans="1:13">
      <c r="A81" s="656"/>
      <c r="B81" s="639"/>
      <c r="C81" s="309"/>
      <c r="D81" s="657"/>
      <c r="E81" s="587"/>
      <c r="F81" s="658"/>
      <c r="G81" s="659"/>
      <c r="H81" s="660"/>
      <c r="I81" s="642"/>
      <c r="J81" s="642"/>
      <c r="K81" s="661"/>
      <c r="L81" s="14"/>
    </row>
    <row r="82" spans="1:13">
      <c r="A82" s="662"/>
      <c r="B82" s="663"/>
      <c r="C82" s="664"/>
      <c r="D82" s="665"/>
      <c r="E82" s="666"/>
      <c r="F82" s="668"/>
      <c r="G82" s="669"/>
      <c r="H82" s="670"/>
      <c r="I82" s="671"/>
      <c r="J82" s="671"/>
      <c r="K82" s="672"/>
      <c r="L82" s="14"/>
    </row>
    <row r="83" spans="1:13">
      <c r="A83" s="705"/>
      <c r="B83" s="706"/>
      <c r="C83" s="707"/>
      <c r="D83" s="708"/>
      <c r="E83" s="709"/>
      <c r="F83" s="710"/>
      <c r="G83" s="711"/>
      <c r="H83" s="712"/>
      <c r="I83" s="707"/>
      <c r="J83" s="713"/>
      <c r="K83" s="714"/>
      <c r="L83" s="265"/>
      <c r="M83" s="681"/>
    </row>
    <row r="84" spans="1:13">
      <c r="A84" s="269"/>
      <c r="B84" s="335" t="s">
        <v>375</v>
      </c>
      <c r="C84" s="217"/>
      <c r="D84" s="129" t="s">
        <v>10</v>
      </c>
      <c r="E84" s="288" t="s">
        <v>243</v>
      </c>
      <c r="F84" s="289" t="s">
        <v>244</v>
      </c>
      <c r="G84" s="290" t="s">
        <v>245</v>
      </c>
      <c r="H84" s="291" t="s">
        <v>246</v>
      </c>
      <c r="I84" s="716" t="s">
        <v>532</v>
      </c>
      <c r="J84" s="22" t="s">
        <v>13</v>
      </c>
      <c r="K84" s="717" t="s">
        <v>162</v>
      </c>
      <c r="L84" s="14"/>
    </row>
    <row r="85" spans="1:13">
      <c r="A85" s="2">
        <v>1</v>
      </c>
      <c r="B85" s="813" t="s">
        <v>101</v>
      </c>
      <c r="C85" s="59"/>
      <c r="D85" s="45" t="s">
        <v>148</v>
      </c>
      <c r="E85" s="545">
        <v>31</v>
      </c>
      <c r="F85" s="59">
        <v>31</v>
      </c>
      <c r="G85" s="223">
        <v>27000</v>
      </c>
      <c r="H85" s="718">
        <v>27000</v>
      </c>
      <c r="I85" s="59">
        <v>27000</v>
      </c>
      <c r="J85" s="6"/>
      <c r="K85" s="230" t="s">
        <v>331</v>
      </c>
      <c r="L85" s="340" t="s">
        <v>492</v>
      </c>
    </row>
    <row r="86" spans="1:13">
      <c r="A86" s="116"/>
      <c r="B86" s="172"/>
      <c r="C86" s="116"/>
      <c r="D86" s="118"/>
      <c r="E86" s="719"/>
      <c r="F86" s="255"/>
      <c r="G86" s="323" t="s">
        <v>177</v>
      </c>
      <c r="H86" s="873">
        <f>H85</f>
        <v>27000</v>
      </c>
      <c r="I86" s="720">
        <f>SUM(I85)</f>
        <v>27000</v>
      </c>
      <c r="J86" s="116"/>
      <c r="K86" s="606"/>
      <c r="L86" s="14"/>
    </row>
    <row r="87" spans="1:13">
      <c r="A87" s="219" t="s">
        <v>5</v>
      </c>
      <c r="B87" s="177" t="s">
        <v>106</v>
      </c>
      <c r="C87" s="217"/>
      <c r="D87" s="129" t="s">
        <v>10</v>
      </c>
      <c r="E87" s="288" t="s">
        <v>243</v>
      </c>
      <c r="F87" s="289" t="s">
        <v>244</v>
      </c>
      <c r="G87" s="290" t="s">
        <v>245</v>
      </c>
      <c r="H87" s="291" t="s">
        <v>246</v>
      </c>
      <c r="I87" s="716" t="s">
        <v>532</v>
      </c>
      <c r="J87" s="22" t="s">
        <v>13</v>
      </c>
      <c r="K87" s="717" t="s">
        <v>162</v>
      </c>
      <c r="L87" s="14"/>
    </row>
    <row r="88" spans="1:13">
      <c r="A88" s="100">
        <v>1</v>
      </c>
      <c r="B88" s="814" t="s">
        <v>101</v>
      </c>
      <c r="C88" s="144"/>
      <c r="D88" s="203" t="s">
        <v>148</v>
      </c>
      <c r="E88" s="693">
        <v>31</v>
      </c>
      <c r="F88" s="144">
        <v>31</v>
      </c>
      <c r="G88" s="258">
        <v>25000</v>
      </c>
      <c r="H88" s="722">
        <v>25000</v>
      </c>
      <c r="I88" s="59">
        <v>25000</v>
      </c>
      <c r="J88" s="723"/>
      <c r="K88" s="230" t="s">
        <v>331</v>
      </c>
      <c r="L88" s="340" t="s">
        <v>492</v>
      </c>
    </row>
    <row r="89" spans="1:13">
      <c r="A89" s="14"/>
      <c r="B89" s="183"/>
      <c r="C89" s="14"/>
      <c r="D89" s="185"/>
      <c r="E89" s="557"/>
      <c r="F89" s="209"/>
      <c r="G89" s="323" t="s">
        <v>177</v>
      </c>
      <c r="H89" s="238">
        <f>H88</f>
        <v>25000</v>
      </c>
      <c r="I89" s="720">
        <f>SUM(I88)</f>
        <v>25000</v>
      </c>
      <c r="J89" s="14"/>
      <c r="K89" s="606"/>
      <c r="L89" s="14"/>
    </row>
    <row r="90" spans="1:13">
      <c r="A90" s="219" t="s">
        <v>5</v>
      </c>
      <c r="B90" s="191" t="s">
        <v>122</v>
      </c>
      <c r="C90" s="189"/>
      <c r="D90" s="129" t="s">
        <v>10</v>
      </c>
      <c r="E90" s="288" t="s">
        <v>243</v>
      </c>
      <c r="F90" s="289" t="s">
        <v>244</v>
      </c>
      <c r="G90" s="290" t="s">
        <v>245</v>
      </c>
      <c r="H90" s="291" t="s">
        <v>246</v>
      </c>
      <c r="I90" s="217" t="s">
        <v>532</v>
      </c>
      <c r="J90" s="22" t="s">
        <v>13</v>
      </c>
      <c r="K90" s="717" t="s">
        <v>162</v>
      </c>
      <c r="L90" s="33" t="s">
        <v>470</v>
      </c>
    </row>
    <row r="91" spans="1:13">
      <c r="A91" s="2" t="s">
        <v>114</v>
      </c>
      <c r="B91" s="481" t="s">
        <v>128</v>
      </c>
      <c r="C91" s="59"/>
      <c r="D91" s="45" t="s">
        <v>148</v>
      </c>
      <c r="E91" s="545">
        <v>31</v>
      </c>
      <c r="F91" s="47">
        <v>31</v>
      </c>
      <c r="G91" s="223">
        <v>29000</v>
      </c>
      <c r="H91" s="221">
        <f>G91/E91*F91</f>
        <v>29000</v>
      </c>
      <c r="I91" s="59">
        <v>29000</v>
      </c>
      <c r="J91" s="6"/>
      <c r="K91" s="230"/>
      <c r="L91" s="14"/>
    </row>
    <row r="92" spans="1:13">
      <c r="A92" s="59" t="s">
        <v>151</v>
      </c>
      <c r="B92" s="4" t="s">
        <v>802</v>
      </c>
      <c r="C92" s="59"/>
      <c r="D92" s="45"/>
      <c r="E92" s="545"/>
      <c r="F92" s="47"/>
      <c r="G92" s="223"/>
      <c r="H92" s="221"/>
      <c r="I92" s="6"/>
      <c r="J92" s="6"/>
      <c r="K92" s="726"/>
      <c r="L92" s="14"/>
    </row>
    <row r="93" spans="1:13">
      <c r="A93" s="59" t="s">
        <v>152</v>
      </c>
      <c r="B93" s="453" t="s">
        <v>622</v>
      </c>
      <c r="C93" s="59"/>
      <c r="D93" s="45" t="s">
        <v>804</v>
      </c>
      <c r="E93" s="545">
        <v>180</v>
      </c>
      <c r="F93" s="47"/>
      <c r="G93" s="223">
        <v>127500</v>
      </c>
      <c r="H93" s="222">
        <v>21250</v>
      </c>
      <c r="I93" s="59"/>
      <c r="J93" s="6"/>
      <c r="K93" s="309"/>
      <c r="L93" s="33" t="s">
        <v>655</v>
      </c>
    </row>
    <row r="94" spans="1:13">
      <c r="A94" s="454" t="s">
        <v>153</v>
      </c>
      <c r="B94" s="815" t="s">
        <v>716</v>
      </c>
      <c r="C94" s="454"/>
      <c r="D94" s="477" t="s">
        <v>734</v>
      </c>
      <c r="E94" s="543">
        <v>180</v>
      </c>
      <c r="F94" s="456"/>
      <c r="G94" s="478"/>
      <c r="H94" s="478">
        <v>25000</v>
      </c>
      <c r="I94" s="454">
        <v>25000</v>
      </c>
      <c r="J94" s="479"/>
      <c r="K94" s="503"/>
      <c r="L94" s="501" t="s">
        <v>718</v>
      </c>
    </row>
    <row r="95" spans="1:13">
      <c r="A95" s="454" t="s">
        <v>132</v>
      </c>
      <c r="B95" s="453" t="s">
        <v>660</v>
      </c>
      <c r="C95" s="454"/>
      <c r="D95" s="477" t="s">
        <v>663</v>
      </c>
      <c r="E95" s="543">
        <v>90</v>
      </c>
      <c r="F95" s="456"/>
      <c r="G95" s="478"/>
      <c r="H95" s="478">
        <v>16200</v>
      </c>
      <c r="I95" s="783"/>
      <c r="J95" s="479"/>
      <c r="K95" s="503"/>
      <c r="L95" s="501" t="s">
        <v>719</v>
      </c>
    </row>
    <row r="96" spans="1:13">
      <c r="A96" s="33" t="s">
        <v>132</v>
      </c>
      <c r="B96" s="875" t="s">
        <v>807</v>
      </c>
      <c r="C96" s="1208" t="s">
        <v>808</v>
      </c>
      <c r="D96" s="1203"/>
      <c r="E96" s="1203"/>
      <c r="F96" s="1203"/>
      <c r="G96" s="236" t="s">
        <v>177</v>
      </c>
      <c r="H96" s="728">
        <f t="shared" ref="H96:I96" si="3">SUM(H91:H95)</f>
        <v>91450</v>
      </c>
      <c r="I96" s="729">
        <f t="shared" si="3"/>
        <v>54000</v>
      </c>
      <c r="J96" s="14"/>
      <c r="K96" s="606"/>
      <c r="L96" s="14"/>
    </row>
    <row r="97" spans="1:12">
      <c r="A97" s="265"/>
      <c r="B97" s="730"/>
      <c r="C97" s="265"/>
      <c r="D97" s="731"/>
      <c r="E97" s="732"/>
      <c r="F97" s="733"/>
      <c r="G97" s="732"/>
      <c r="H97" s="732"/>
      <c r="I97" s="734"/>
      <c r="J97" s="704"/>
      <c r="K97" s="309"/>
      <c r="L97" s="14"/>
    </row>
    <row r="98" spans="1:12">
      <c r="A98" s="265"/>
      <c r="B98" s="730"/>
      <c r="C98" s="265"/>
      <c r="D98" s="731"/>
      <c r="E98" s="732"/>
      <c r="F98" s="733"/>
      <c r="G98" s="732"/>
      <c r="H98" s="732"/>
      <c r="I98" s="734"/>
      <c r="J98" s="704"/>
      <c r="K98" s="309"/>
      <c r="L98" s="14"/>
    </row>
    <row r="99" spans="1:12">
      <c r="A99" s="219" t="s">
        <v>5</v>
      </c>
      <c r="B99" s="342" t="s">
        <v>316</v>
      </c>
      <c r="C99" s="217"/>
      <c r="D99" s="129" t="s">
        <v>10</v>
      </c>
      <c r="E99" s="288" t="s">
        <v>243</v>
      </c>
      <c r="F99" s="289" t="s">
        <v>244</v>
      </c>
      <c r="G99" s="290" t="s">
        <v>245</v>
      </c>
      <c r="H99" s="291" t="s">
        <v>246</v>
      </c>
      <c r="I99" s="217" t="s">
        <v>532</v>
      </c>
      <c r="J99" s="22" t="s">
        <v>13</v>
      </c>
      <c r="K99" s="717" t="s">
        <v>162</v>
      </c>
      <c r="L99" s="287"/>
    </row>
    <row r="100" spans="1:12">
      <c r="A100" s="132" t="s">
        <v>458</v>
      </c>
      <c r="B100" s="775" t="s">
        <v>317</v>
      </c>
      <c r="C100" s="144"/>
      <c r="D100" s="645" t="s">
        <v>740</v>
      </c>
      <c r="E100" s="693">
        <v>90</v>
      </c>
      <c r="F100" s="103">
        <v>28</v>
      </c>
      <c r="G100" s="353">
        <v>28000</v>
      </c>
      <c r="H100" s="353">
        <v>28000</v>
      </c>
      <c r="I100" s="144">
        <v>28000</v>
      </c>
      <c r="J100" s="100"/>
      <c r="K100" s="230"/>
      <c r="L100" s="287"/>
    </row>
    <row r="101" spans="1:12">
      <c r="A101" s="132" t="s">
        <v>459</v>
      </c>
      <c r="B101" s="775" t="s">
        <v>568</v>
      </c>
      <c r="C101" s="100"/>
      <c r="D101" s="203" t="s">
        <v>815</v>
      </c>
      <c r="E101" s="587">
        <v>180</v>
      </c>
      <c r="F101" s="237"/>
      <c r="G101" s="449"/>
      <c r="H101" s="353">
        <v>21250</v>
      </c>
      <c r="I101" s="144"/>
      <c r="J101" s="144"/>
      <c r="K101" s="309"/>
      <c r="L101" s="325" t="s">
        <v>721</v>
      </c>
    </row>
    <row r="102" spans="1:12">
      <c r="A102" s="132" t="s">
        <v>460</v>
      </c>
      <c r="B102" s="883" t="s">
        <v>722</v>
      </c>
      <c r="C102" s="100"/>
      <c r="D102" s="203" t="s">
        <v>783</v>
      </c>
      <c r="E102" s="587"/>
      <c r="F102" s="237"/>
      <c r="G102" s="355"/>
      <c r="H102" s="473"/>
      <c r="I102" s="144"/>
      <c r="J102" s="144"/>
      <c r="K102" s="309" t="s">
        <v>717</v>
      </c>
      <c r="L102" s="325"/>
    </row>
    <row r="103" spans="1:12">
      <c r="A103" s="132"/>
      <c r="B103" s="181"/>
      <c r="C103" s="100"/>
      <c r="D103" s="109"/>
      <c r="E103" s="587"/>
      <c r="F103" s="237"/>
      <c r="G103" s="323" t="s">
        <v>177</v>
      </c>
      <c r="H103" s="238">
        <f t="shared" ref="H103:I103" si="4">SUM(H100:H102)</f>
        <v>49250</v>
      </c>
      <c r="I103" s="736">
        <f t="shared" si="4"/>
        <v>28000</v>
      </c>
      <c r="J103" s="144"/>
      <c r="K103" s="309"/>
      <c r="L103" s="287"/>
    </row>
    <row r="104" spans="1:12">
      <c r="A104" s="265"/>
      <c r="B104" s="730"/>
      <c r="C104" s="265"/>
      <c r="D104" s="731"/>
      <c r="E104" s="732"/>
      <c r="F104" s="733"/>
      <c r="G104" s="737"/>
      <c r="H104" s="703"/>
      <c r="I104" s="734"/>
      <c r="J104" s="704"/>
      <c r="K104" s="734"/>
      <c r="L104" s="14"/>
    </row>
    <row r="105" spans="1:12">
      <c r="A105" s="265"/>
      <c r="B105" s="730"/>
      <c r="C105" s="265"/>
      <c r="D105" s="731"/>
      <c r="E105" s="732"/>
      <c r="F105" s="733"/>
      <c r="G105" s="737"/>
      <c r="H105" s="703"/>
      <c r="I105" s="734"/>
      <c r="J105" s="704"/>
      <c r="K105" s="734"/>
      <c r="L105" s="14"/>
    </row>
    <row r="106" spans="1:12">
      <c r="A106" s="219" t="s">
        <v>5</v>
      </c>
      <c r="B106" s="196" t="s">
        <v>111</v>
      </c>
      <c r="C106" s="189"/>
      <c r="D106" s="514" t="s">
        <v>10</v>
      </c>
      <c r="E106" s="515" t="s">
        <v>243</v>
      </c>
      <c r="F106" s="516" t="s">
        <v>244</v>
      </c>
      <c r="G106" s="738" t="s">
        <v>245</v>
      </c>
      <c r="H106" s="739" t="s">
        <v>246</v>
      </c>
      <c r="I106" s="217" t="s">
        <v>532</v>
      </c>
      <c r="J106" s="740" t="s">
        <v>13</v>
      </c>
      <c r="K106" s="741" t="s">
        <v>162</v>
      </c>
      <c r="L106" s="14"/>
    </row>
    <row r="107" spans="1:12">
      <c r="A107" s="2" t="s">
        <v>114</v>
      </c>
      <c r="B107" s="742" t="s">
        <v>628</v>
      </c>
      <c r="C107" s="59"/>
      <c r="D107" s="45" t="s">
        <v>734</v>
      </c>
      <c r="E107" s="545">
        <v>180</v>
      </c>
      <c r="F107" s="47">
        <v>28</v>
      </c>
      <c r="G107" s="223">
        <v>37800</v>
      </c>
      <c r="H107" s="223">
        <v>6300</v>
      </c>
      <c r="I107" s="59"/>
      <c r="J107" s="6"/>
      <c r="K107" s="230"/>
      <c r="L107" s="33" t="s">
        <v>724</v>
      </c>
    </row>
    <row r="108" spans="1:12">
      <c r="A108" s="6" t="s">
        <v>119</v>
      </c>
      <c r="B108" s="742" t="s">
        <v>673</v>
      </c>
      <c r="C108" s="59"/>
      <c r="D108" s="312" t="s">
        <v>822</v>
      </c>
      <c r="E108" s="545">
        <v>90</v>
      </c>
      <c r="F108" s="47"/>
      <c r="G108" s="223"/>
      <c r="H108" s="223">
        <v>5400</v>
      </c>
      <c r="I108" s="697">
        <v>5400</v>
      </c>
      <c r="J108" s="6"/>
      <c r="K108" s="230" t="s">
        <v>331</v>
      </c>
      <c r="L108" s="885" t="s">
        <v>726</v>
      </c>
    </row>
    <row r="109" spans="1:12">
      <c r="A109" s="817" t="s">
        <v>727</v>
      </c>
      <c r="B109" s="818" t="s">
        <v>728</v>
      </c>
      <c r="C109" s="819">
        <v>89245593366</v>
      </c>
      <c r="D109" s="118"/>
      <c r="E109" s="719"/>
      <c r="F109" s="255"/>
      <c r="G109" s="236" t="s">
        <v>177</v>
      </c>
      <c r="H109" s="522">
        <f t="shared" ref="H109:I109" si="5">SUM(H107:H108)</f>
        <v>11700</v>
      </c>
      <c r="I109" s="729">
        <f t="shared" si="5"/>
        <v>5400</v>
      </c>
      <c r="J109" s="116"/>
      <c r="K109" s="642"/>
      <c r="L109" s="33"/>
    </row>
    <row r="110" spans="1:12">
      <c r="A110" s="324" t="s">
        <v>727</v>
      </c>
      <c r="B110" s="887" t="s">
        <v>824</v>
      </c>
      <c r="C110" s="14"/>
      <c r="D110" s="185"/>
      <c r="E110" s="557"/>
      <c r="F110" s="209"/>
      <c r="G110" s="209"/>
      <c r="H110" s="14"/>
      <c r="I110" s="14"/>
      <c r="J110" s="14"/>
      <c r="K110" s="743"/>
      <c r="L110" s="14"/>
    </row>
    <row r="111" spans="1:12">
      <c r="A111" s="889" t="s">
        <v>825</v>
      </c>
      <c r="C111" s="499"/>
      <c r="E111" s="287"/>
      <c r="I111" s="499"/>
      <c r="K111" s="287"/>
      <c r="L111" s="287"/>
    </row>
    <row r="112" spans="1:12">
      <c r="A112" s="357" t="s">
        <v>5</v>
      </c>
      <c r="B112" s="358" t="s">
        <v>319</v>
      </c>
      <c r="C112" s="510"/>
      <c r="D112" s="360" t="s">
        <v>10</v>
      </c>
      <c r="E112" s="361" t="s">
        <v>243</v>
      </c>
      <c r="F112" s="362" t="s">
        <v>244</v>
      </c>
      <c r="G112" s="362" t="s">
        <v>245</v>
      </c>
      <c r="H112" s="363" t="s">
        <v>246</v>
      </c>
      <c r="I112" s="744" t="s">
        <v>532</v>
      </c>
      <c r="J112" s="363" t="s">
        <v>13</v>
      </c>
      <c r="K112" s="745" t="s">
        <v>162</v>
      </c>
      <c r="L112" s="287"/>
    </row>
    <row r="113" spans="1:12">
      <c r="A113" s="365" t="s">
        <v>676</v>
      </c>
      <c r="B113" s="820" t="s">
        <v>317</v>
      </c>
      <c r="C113" s="511"/>
      <c r="D113" s="457" t="s">
        <v>734</v>
      </c>
      <c r="E113" s="746">
        <v>90</v>
      </c>
      <c r="F113" s="747">
        <v>28</v>
      </c>
      <c r="G113" s="547">
        <v>25000</v>
      </c>
      <c r="H113" s="547">
        <v>25000</v>
      </c>
      <c r="I113" s="748">
        <v>25000</v>
      </c>
      <c r="J113" s="7"/>
      <c r="K113" s="230"/>
      <c r="L113" s="325"/>
    </row>
    <row r="114" spans="1:12">
      <c r="A114" s="370"/>
      <c r="B114" s="371"/>
      <c r="C114" s="511"/>
      <c r="D114" s="371"/>
      <c r="E114" s="749"/>
      <c r="F114" s="368"/>
      <c r="G114" s="549"/>
      <c r="H114" s="547"/>
      <c r="I114" s="750"/>
      <c r="J114" s="7"/>
      <c r="K114" s="752"/>
      <c r="L114" s="287"/>
    </row>
    <row r="115" spans="1:12">
      <c r="A115" s="365" t="s">
        <v>677</v>
      </c>
      <c r="B115" s="790" t="s">
        <v>660</v>
      </c>
      <c r="C115" s="755"/>
      <c r="D115" s="756" t="s">
        <v>663</v>
      </c>
      <c r="E115" s="758">
        <v>90</v>
      </c>
      <c r="F115" s="759"/>
      <c r="G115" s="761"/>
      <c r="H115" s="762">
        <v>27000</v>
      </c>
      <c r="I115" s="753"/>
      <c r="J115" s="369"/>
      <c r="K115" s="230"/>
      <c r="L115" s="325" t="s">
        <v>719</v>
      </c>
    </row>
    <row r="116" spans="1:12">
      <c r="A116" s="753"/>
      <c r="B116" s="891" t="s">
        <v>827</v>
      </c>
      <c r="C116" s="755"/>
      <c r="D116" s="235"/>
      <c r="E116" s="652"/>
      <c r="F116" s="653"/>
      <c r="G116" s="764" t="s">
        <v>177</v>
      </c>
      <c r="H116" s="765">
        <f t="shared" ref="H116:I116" si="6">SUM(H113:H115)</f>
        <v>52000</v>
      </c>
      <c r="I116" s="766">
        <f t="shared" si="6"/>
        <v>25000</v>
      </c>
      <c r="J116" s="369"/>
      <c r="K116" s="767"/>
    </row>
    <row r="117" spans="1:12">
      <c r="C117" s="499"/>
      <c r="E117" s="287"/>
      <c r="I117" s="499"/>
      <c r="K117" s="287"/>
      <c r="L117" s="768"/>
    </row>
    <row r="118" spans="1:12">
      <c r="C118" s="499"/>
      <c r="E118" s="287"/>
      <c r="I118" s="499"/>
      <c r="K118" s="287"/>
    </row>
    <row r="119" spans="1:12">
      <c r="A119" s="219" t="s">
        <v>5</v>
      </c>
      <c r="B119" s="342" t="s">
        <v>323</v>
      </c>
      <c r="C119" s="187"/>
      <c r="D119" s="129" t="s">
        <v>10</v>
      </c>
      <c r="E119" s="288" t="s">
        <v>243</v>
      </c>
      <c r="F119" s="289" t="s">
        <v>244</v>
      </c>
      <c r="G119" s="290" t="s">
        <v>245</v>
      </c>
      <c r="H119" s="291" t="s">
        <v>246</v>
      </c>
      <c r="I119" s="217" t="s">
        <v>532</v>
      </c>
      <c r="J119" s="22" t="s">
        <v>13</v>
      </c>
      <c r="K119" s="717" t="s">
        <v>162</v>
      </c>
    </row>
    <row r="120" spans="1:12">
      <c r="A120" s="132" t="s">
        <v>114</v>
      </c>
      <c r="B120" s="481" t="s">
        <v>681</v>
      </c>
      <c r="C120" s="59"/>
      <c r="D120" s="51" t="s">
        <v>829</v>
      </c>
      <c r="E120" s="545">
        <v>90</v>
      </c>
      <c r="F120" s="47"/>
      <c r="G120" s="223">
        <v>57000</v>
      </c>
      <c r="H120" s="222">
        <v>19000</v>
      </c>
      <c r="I120" s="59">
        <v>57000</v>
      </c>
      <c r="J120" s="6"/>
      <c r="K120" s="230" t="s">
        <v>331</v>
      </c>
      <c r="L120" s="1" t="s">
        <v>831</v>
      </c>
    </row>
    <row r="121" spans="1:12">
      <c r="A121" s="482" t="s">
        <v>119</v>
      </c>
      <c r="B121" s="481"/>
      <c r="C121" s="454"/>
      <c r="D121" s="454"/>
      <c r="E121" s="543"/>
      <c r="F121" s="456"/>
      <c r="G121" s="478"/>
      <c r="H121" s="498"/>
      <c r="I121" s="727"/>
      <c r="J121" s="479"/>
      <c r="K121" s="503"/>
      <c r="L121" s="521"/>
    </row>
    <row r="122" spans="1:12">
      <c r="A122" s="132"/>
      <c r="B122" s="29"/>
      <c r="C122" s="6"/>
      <c r="D122" s="8"/>
      <c r="E122" s="675"/>
      <c r="F122" s="221"/>
      <c r="G122" s="236" t="s">
        <v>177</v>
      </c>
      <c r="H122" s="264">
        <f t="shared" ref="H122:I122" si="7">SUM(H120:H121)</f>
        <v>19000</v>
      </c>
      <c r="I122" s="770">
        <f t="shared" si="7"/>
        <v>57000</v>
      </c>
      <c r="J122" s="59"/>
      <c r="K122" s="309"/>
    </row>
    <row r="123" spans="1:12">
      <c r="C123" s="499"/>
      <c r="E123" s="287"/>
      <c r="I123" s="499"/>
      <c r="K123" s="287"/>
    </row>
    <row r="124" spans="1:12">
      <c r="C124" s="499"/>
      <c r="E124" s="287"/>
      <c r="I124" s="499"/>
      <c r="K124" s="287"/>
    </row>
    <row r="125" spans="1:12">
      <c r="A125" s="219" t="s">
        <v>5</v>
      </c>
      <c r="B125" s="342" t="s">
        <v>325</v>
      </c>
      <c r="C125" s="187"/>
      <c r="D125" s="129" t="s">
        <v>10</v>
      </c>
      <c r="E125" s="288" t="s">
        <v>243</v>
      </c>
      <c r="F125" s="289" t="s">
        <v>244</v>
      </c>
      <c r="G125" s="290" t="s">
        <v>245</v>
      </c>
      <c r="H125" s="291" t="s">
        <v>246</v>
      </c>
      <c r="I125" s="217" t="s">
        <v>532</v>
      </c>
      <c r="J125" s="22" t="s">
        <v>13</v>
      </c>
      <c r="K125" s="717" t="s">
        <v>162</v>
      </c>
    </row>
    <row r="126" spans="1:12">
      <c r="A126" s="452" t="s">
        <v>114</v>
      </c>
      <c r="B126" s="481" t="s">
        <v>134</v>
      </c>
      <c r="C126" s="454"/>
      <c r="D126" s="477" t="s">
        <v>148</v>
      </c>
      <c r="E126" s="543">
        <v>30</v>
      </c>
      <c r="F126" s="456">
        <v>30</v>
      </c>
      <c r="G126" s="478">
        <v>17500</v>
      </c>
      <c r="H126" s="478">
        <v>17500</v>
      </c>
      <c r="I126" s="454">
        <v>17500</v>
      </c>
      <c r="J126" s="454"/>
      <c r="K126" s="503" t="s">
        <v>210</v>
      </c>
      <c r="L126" s="509"/>
    </row>
    <row r="127" spans="1:12">
      <c r="A127" s="2" t="s">
        <v>119</v>
      </c>
      <c r="B127" s="481" t="s">
        <v>134</v>
      </c>
      <c r="C127" s="59"/>
      <c r="D127" s="59" t="s">
        <v>148</v>
      </c>
      <c r="E127" s="545">
        <v>30</v>
      </c>
      <c r="F127" s="47">
        <v>30</v>
      </c>
      <c r="G127" s="223">
        <v>17500</v>
      </c>
      <c r="H127" s="222">
        <v>17500</v>
      </c>
      <c r="I127" s="697">
        <v>17500</v>
      </c>
      <c r="J127" s="59"/>
      <c r="K127" s="230" t="s">
        <v>210</v>
      </c>
    </row>
    <row r="128" spans="1:12">
      <c r="A128" s="132"/>
      <c r="B128" s="29"/>
      <c r="C128" s="6"/>
      <c r="D128" s="8"/>
      <c r="E128" s="675"/>
      <c r="F128" s="221"/>
      <c r="G128" s="236" t="s">
        <v>177</v>
      </c>
      <c r="H128" s="264">
        <f t="shared" ref="H128:I128" si="8">SUM(H126:H127)</f>
        <v>35000</v>
      </c>
      <c r="I128" s="770">
        <f t="shared" si="8"/>
        <v>35000</v>
      </c>
      <c r="J128" s="59"/>
      <c r="K128" s="309"/>
    </row>
    <row r="129" spans="1:12">
      <c r="C129" s="499"/>
      <c r="E129" s="287"/>
      <c r="I129" s="499"/>
      <c r="K129" s="287"/>
    </row>
    <row r="130" spans="1:12">
      <c r="C130" s="499"/>
      <c r="E130" s="287"/>
      <c r="I130" s="499"/>
      <c r="K130" s="287"/>
    </row>
    <row r="131" spans="1:12">
      <c r="A131" s="219" t="s">
        <v>5</v>
      </c>
      <c r="B131" s="342" t="s">
        <v>326</v>
      </c>
      <c r="C131" s="187"/>
      <c r="D131" s="129" t="s">
        <v>10</v>
      </c>
      <c r="E131" s="288" t="s">
        <v>243</v>
      </c>
      <c r="F131" s="289" t="s">
        <v>244</v>
      </c>
      <c r="G131" s="290" t="s">
        <v>245</v>
      </c>
      <c r="H131" s="291" t="s">
        <v>246</v>
      </c>
      <c r="I131" s="217" t="s">
        <v>532</v>
      </c>
      <c r="J131" s="22" t="s">
        <v>13</v>
      </c>
      <c r="K131" s="717" t="s">
        <v>162</v>
      </c>
    </row>
    <row r="132" spans="1:12">
      <c r="A132" s="2" t="s">
        <v>114</v>
      </c>
      <c r="B132" s="481" t="s">
        <v>407</v>
      </c>
      <c r="C132" s="59"/>
      <c r="D132" s="51" t="s">
        <v>148</v>
      </c>
      <c r="E132" s="545">
        <v>30</v>
      </c>
      <c r="F132" s="47">
        <v>30</v>
      </c>
      <c r="G132" s="223">
        <v>21250</v>
      </c>
      <c r="H132" s="223">
        <v>21250</v>
      </c>
      <c r="I132" s="59">
        <v>21250</v>
      </c>
      <c r="J132" s="6"/>
      <c r="K132" s="230"/>
    </row>
    <row r="133" spans="1:12">
      <c r="A133" s="132" t="s">
        <v>119</v>
      </c>
      <c r="B133" s="4" t="s">
        <v>644</v>
      </c>
      <c r="C133" s="6"/>
      <c r="D133" s="45" t="s">
        <v>623</v>
      </c>
      <c r="E133" s="675">
        <v>30</v>
      </c>
      <c r="F133" s="222">
        <v>10</v>
      </c>
      <c r="G133" s="564">
        <v>10000</v>
      </c>
      <c r="H133" s="260">
        <v>10000</v>
      </c>
      <c r="I133" s="697">
        <v>10000</v>
      </c>
      <c r="J133" s="59"/>
      <c r="K133" s="309" t="s">
        <v>686</v>
      </c>
    </row>
    <row r="134" spans="1:12">
      <c r="A134" s="235"/>
      <c r="B134" s="235"/>
      <c r="C134" s="771"/>
      <c r="D134" s="235"/>
      <c r="E134" s="610"/>
      <c r="F134" s="235"/>
      <c r="G134" s="323" t="s">
        <v>177</v>
      </c>
      <c r="H134" s="772">
        <f t="shared" ref="H134:I134" si="9">SUM(H132:H133)</f>
        <v>31250</v>
      </c>
      <c r="I134" s="773">
        <f t="shared" si="9"/>
        <v>31250</v>
      </c>
      <c r="J134" s="774"/>
      <c r="K134" s="610"/>
    </row>
    <row r="135" spans="1:12">
      <c r="C135" s="499"/>
      <c r="E135" s="287"/>
      <c r="I135" s="499"/>
      <c r="K135" s="287"/>
    </row>
    <row r="136" spans="1:12">
      <c r="E136" s="287"/>
      <c r="I136" s="499"/>
      <c r="K136" s="287"/>
    </row>
    <row r="137" spans="1:12">
      <c r="A137" s="219" t="s">
        <v>5</v>
      </c>
      <c r="B137" s="342" t="s">
        <v>437</v>
      </c>
      <c r="C137" s="187"/>
      <c r="D137" s="129" t="s">
        <v>10</v>
      </c>
      <c r="E137" s="288" t="s">
        <v>243</v>
      </c>
      <c r="F137" s="289" t="s">
        <v>244</v>
      </c>
      <c r="G137" s="290" t="s">
        <v>245</v>
      </c>
      <c r="H137" s="291" t="s">
        <v>246</v>
      </c>
      <c r="I137" s="217" t="s">
        <v>532</v>
      </c>
      <c r="J137" s="22" t="s">
        <v>13</v>
      </c>
      <c r="K137" s="717" t="s">
        <v>162</v>
      </c>
      <c r="L137" s="14"/>
    </row>
    <row r="138" spans="1:12">
      <c r="A138" s="463" t="s">
        <v>114</v>
      </c>
      <c r="B138" s="775"/>
      <c r="C138" s="463"/>
      <c r="D138" s="614"/>
      <c r="E138" s="776"/>
      <c r="F138" s="777"/>
      <c r="G138" s="778"/>
      <c r="H138" s="778"/>
      <c r="I138" s="779"/>
      <c r="J138" s="779"/>
      <c r="K138" s="503"/>
      <c r="L138" s="504"/>
    </row>
    <row r="139" spans="1:12">
      <c r="A139" s="260" t="s">
        <v>114</v>
      </c>
      <c r="B139" s="896" t="s">
        <v>646</v>
      </c>
      <c r="C139" s="260"/>
      <c r="D139" s="260" t="s">
        <v>731</v>
      </c>
      <c r="E139" s="587">
        <v>90</v>
      </c>
      <c r="F139" s="262"/>
      <c r="G139" s="270">
        <v>67500</v>
      </c>
      <c r="H139" s="270">
        <v>22500</v>
      </c>
      <c r="I139" s="794"/>
      <c r="J139" s="150"/>
      <c r="K139" s="309"/>
      <c r="L139" s="781" t="s">
        <v>732</v>
      </c>
    </row>
    <row r="140" spans="1:12">
      <c r="A140" s="150" t="s">
        <v>119</v>
      </c>
      <c r="B140" s="639"/>
      <c r="C140" s="260"/>
      <c r="D140" s="260"/>
      <c r="E140" s="587">
        <v>31</v>
      </c>
      <c r="F140" s="262">
        <v>31</v>
      </c>
      <c r="G140" s="270"/>
      <c r="H140" s="237"/>
      <c r="I140" s="780"/>
      <c r="J140" s="150"/>
      <c r="K140" s="309"/>
      <c r="L140" s="482"/>
    </row>
    <row r="141" spans="1:12">
      <c r="A141" s="235"/>
      <c r="B141" s="4"/>
      <c r="C141" s="6"/>
      <c r="D141" s="45"/>
      <c r="E141" s="675"/>
      <c r="F141" s="221"/>
      <c r="G141" s="236" t="s">
        <v>177</v>
      </c>
      <c r="H141" s="264">
        <f t="shared" ref="H141:I141" si="10">SUM(H138:H140)</f>
        <v>22500</v>
      </c>
      <c r="I141" s="770">
        <f t="shared" si="10"/>
        <v>0</v>
      </c>
      <c r="J141" s="59"/>
      <c r="K141" s="309"/>
      <c r="L141" s="341"/>
    </row>
    <row r="142" spans="1:12">
      <c r="A142" s="14"/>
      <c r="C142" s="499"/>
      <c r="E142" s="287"/>
      <c r="F142" s="286"/>
      <c r="G142" s="286"/>
      <c r="I142" s="499"/>
      <c r="K142" s="287"/>
    </row>
    <row r="143" spans="1:12">
      <c r="A143" s="219" t="s">
        <v>5</v>
      </c>
      <c r="B143" s="342" t="s">
        <v>441</v>
      </c>
      <c r="C143" s="187"/>
      <c r="D143" s="129" t="s">
        <v>10</v>
      </c>
      <c r="E143" s="288" t="s">
        <v>243</v>
      </c>
      <c r="F143" s="289" t="s">
        <v>244</v>
      </c>
      <c r="G143" s="290" t="s">
        <v>245</v>
      </c>
      <c r="H143" s="291" t="s">
        <v>246</v>
      </c>
      <c r="I143" s="217" t="s">
        <v>532</v>
      </c>
      <c r="J143" s="22" t="s">
        <v>13</v>
      </c>
      <c r="K143" s="717" t="s">
        <v>162</v>
      </c>
      <c r="L143" s="14"/>
    </row>
    <row r="144" spans="1:12">
      <c r="A144" s="132" t="s">
        <v>114</v>
      </c>
      <c r="B144" s="481" t="s">
        <v>649</v>
      </c>
      <c r="C144" s="59"/>
      <c r="D144" s="51" t="s">
        <v>737</v>
      </c>
      <c r="E144" s="545">
        <v>180</v>
      </c>
      <c r="F144" s="47">
        <v>7</v>
      </c>
      <c r="G144" s="223">
        <v>90000</v>
      </c>
      <c r="H144" s="222">
        <v>15000</v>
      </c>
      <c r="I144" s="59"/>
      <c r="J144" s="6"/>
      <c r="K144" s="230" t="s">
        <v>614</v>
      </c>
      <c r="L144" s="352" t="s">
        <v>733</v>
      </c>
    </row>
    <row r="145" spans="1:12">
      <c r="A145" s="452" t="s">
        <v>119</v>
      </c>
      <c r="B145" s="481" t="s">
        <v>444</v>
      </c>
      <c r="C145" s="454"/>
      <c r="D145" s="454" t="s">
        <v>148</v>
      </c>
      <c r="E145" s="543">
        <v>365</v>
      </c>
      <c r="F145" s="456">
        <v>30</v>
      </c>
      <c r="G145" s="478">
        <v>19000</v>
      </c>
      <c r="H145" s="478">
        <v>19000</v>
      </c>
      <c r="I145" s="783">
        <v>19000</v>
      </c>
      <c r="J145" s="479"/>
      <c r="K145" s="503"/>
      <c r="L145" s="132"/>
    </row>
    <row r="146" spans="1:12">
      <c r="A146" s="132"/>
      <c r="B146" s="4"/>
      <c r="C146" s="6"/>
      <c r="D146" s="45"/>
      <c r="E146" s="675"/>
      <c r="F146" s="221"/>
      <c r="G146" s="236" t="s">
        <v>177</v>
      </c>
      <c r="H146" s="264">
        <f t="shared" ref="H146:I146" si="11">SUM(H144:H145)</f>
        <v>34000</v>
      </c>
      <c r="I146" s="770">
        <f t="shared" si="11"/>
        <v>19000</v>
      </c>
      <c r="J146" s="59"/>
      <c r="K146" s="309"/>
      <c r="L146" s="341"/>
    </row>
    <row r="147" spans="1:12">
      <c r="A147" s="14"/>
      <c r="C147" s="499"/>
      <c r="E147" s="287"/>
      <c r="F147" s="286"/>
      <c r="G147" s="286"/>
      <c r="I147" s="499"/>
      <c r="K147" s="287"/>
    </row>
    <row r="148" spans="1:12">
      <c r="A148" s="219" t="s">
        <v>5</v>
      </c>
      <c r="B148" s="342" t="s">
        <v>445</v>
      </c>
      <c r="C148" s="187"/>
      <c r="D148" s="129" t="s">
        <v>10</v>
      </c>
      <c r="E148" s="288" t="s">
        <v>243</v>
      </c>
      <c r="F148" s="289" t="s">
        <v>244</v>
      </c>
      <c r="G148" s="290" t="s">
        <v>245</v>
      </c>
      <c r="H148" s="291" t="s">
        <v>246</v>
      </c>
      <c r="I148" s="217" t="s">
        <v>532</v>
      </c>
      <c r="J148" s="22" t="s">
        <v>13</v>
      </c>
      <c r="K148" s="717" t="s">
        <v>162</v>
      </c>
      <c r="L148" s="14"/>
    </row>
    <row r="149" spans="1:12">
      <c r="A149" s="2" t="s">
        <v>114</v>
      </c>
      <c r="B149" s="481" t="s">
        <v>446</v>
      </c>
      <c r="C149" s="59"/>
      <c r="D149" s="51" t="s">
        <v>822</v>
      </c>
      <c r="E149" s="545">
        <v>30</v>
      </c>
      <c r="F149" s="47">
        <v>28</v>
      </c>
      <c r="G149" s="223">
        <v>22500</v>
      </c>
      <c r="H149" s="222">
        <v>22500</v>
      </c>
      <c r="I149" s="59">
        <v>22500</v>
      </c>
      <c r="J149" s="6"/>
      <c r="K149" s="230"/>
      <c r="L149" s="822"/>
    </row>
    <row r="150" spans="1:12">
      <c r="A150" s="452" t="s">
        <v>119</v>
      </c>
      <c r="B150" s="481" t="s">
        <v>695</v>
      </c>
      <c r="C150" s="454"/>
      <c r="D150" s="454" t="s">
        <v>840</v>
      </c>
      <c r="E150" s="543">
        <v>30</v>
      </c>
      <c r="F150" s="456"/>
      <c r="G150" s="478">
        <v>19000</v>
      </c>
      <c r="H150" s="478">
        <v>19000</v>
      </c>
      <c r="I150" s="783">
        <v>19000</v>
      </c>
      <c r="J150" s="479"/>
      <c r="K150" s="503"/>
      <c r="L150" s="132" t="s">
        <v>736</v>
      </c>
    </row>
    <row r="151" spans="1:12">
      <c r="A151" s="132" t="s">
        <v>119</v>
      </c>
      <c r="B151" s="4"/>
      <c r="C151" s="6"/>
      <c r="D151" s="45"/>
      <c r="E151" s="675"/>
      <c r="F151" s="221"/>
      <c r="G151" s="236" t="s">
        <v>177</v>
      </c>
      <c r="H151" s="264">
        <f t="shared" ref="H151:I151" si="12">SUM(H149:H150)</f>
        <v>41500</v>
      </c>
      <c r="I151" s="785">
        <f t="shared" si="12"/>
        <v>41500</v>
      </c>
      <c r="J151" s="59"/>
      <c r="K151" s="309"/>
      <c r="L151" s="341"/>
    </row>
    <row r="152" spans="1:12">
      <c r="A152" s="14"/>
      <c r="C152" s="499"/>
      <c r="E152" s="287"/>
      <c r="F152" s="286"/>
      <c r="G152" s="286"/>
      <c r="I152" s="499"/>
      <c r="K152" s="287"/>
    </row>
    <row r="153" spans="1:12">
      <c r="E153" s="287"/>
      <c r="I153" s="499"/>
      <c r="K153" s="287"/>
    </row>
    <row r="154" spans="1:12">
      <c r="E154" s="287"/>
      <c r="H154" s="786" t="s">
        <v>668</v>
      </c>
      <c r="I154" s="787">
        <f>SUM(I151+I146+I141+I134+I128+I122+I116+I109+I103+I96+I89+I86+I73+I47+I23)</f>
        <v>841900</v>
      </c>
      <c r="K154" s="287"/>
    </row>
    <row r="155" spans="1:12">
      <c r="E155" s="287"/>
      <c r="I155" s="499"/>
      <c r="K155" s="287"/>
    </row>
    <row r="156" spans="1:12">
      <c r="E156" s="287"/>
      <c r="H156" s="788" t="s">
        <v>671</v>
      </c>
      <c r="I156" s="789">
        <f>SUM(H151+H146+H141+H134+H128+H122+H116+H109+H103+H96+H89+H86+H73+H47+H23)</f>
        <v>949257</v>
      </c>
      <c r="K156" s="287"/>
    </row>
    <row r="157" spans="1:12">
      <c r="E157" s="287"/>
      <c r="I157" s="499"/>
      <c r="K157" s="287"/>
    </row>
    <row r="158" spans="1:12">
      <c r="E158" s="287"/>
      <c r="I158" s="499"/>
      <c r="J158" s="1" t="s">
        <v>199</v>
      </c>
      <c r="K158" s="287"/>
    </row>
  </sheetData>
  <mergeCells count="1">
    <mergeCell ref="C96:F9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Z158"/>
  <sheetViews>
    <sheetView workbookViewId="0"/>
  </sheetViews>
  <sheetFormatPr defaultColWidth="12.5703125" defaultRowHeight="15.75" customHeight="1"/>
  <cols>
    <col min="1" max="1" width="12" customWidth="1"/>
    <col min="2" max="2" width="27.42578125" customWidth="1"/>
    <col min="4" max="4" width="21.42578125" customWidth="1"/>
    <col min="11" max="11" width="20.28515625" customWidth="1"/>
    <col min="12" max="12" width="22.7109375" customWidth="1"/>
  </cols>
  <sheetData>
    <row r="1" spans="1:26">
      <c r="A1" s="1">
        <v>3</v>
      </c>
      <c r="C1" s="499"/>
      <c r="E1" s="287"/>
      <c r="I1" s="499"/>
      <c r="K1" s="287"/>
    </row>
    <row r="2" spans="1:26">
      <c r="C2" s="499"/>
      <c r="E2" s="287"/>
      <c r="I2" s="499"/>
      <c r="K2" s="287"/>
    </row>
    <row r="3" spans="1:26">
      <c r="A3" s="523" t="s">
        <v>5</v>
      </c>
      <c r="B3" s="524" t="s">
        <v>7</v>
      </c>
      <c r="C3" s="525" t="s">
        <v>159</v>
      </c>
      <c r="D3" s="526" t="s">
        <v>10</v>
      </c>
      <c r="E3" s="527" t="s">
        <v>243</v>
      </c>
      <c r="F3" s="528" t="s">
        <v>244</v>
      </c>
      <c r="G3" s="528" t="s">
        <v>245</v>
      </c>
      <c r="H3" s="529" t="s">
        <v>246</v>
      </c>
      <c r="I3" s="525" t="s">
        <v>532</v>
      </c>
      <c r="J3" s="530" t="s">
        <v>13</v>
      </c>
      <c r="K3" s="531" t="s">
        <v>162</v>
      </c>
      <c r="L3" s="14"/>
    </row>
    <row r="4" spans="1:26">
      <c r="A4" s="219"/>
      <c r="B4" s="4"/>
      <c r="C4" s="59"/>
      <c r="D4" s="45"/>
      <c r="E4" s="532"/>
      <c r="F4" s="220"/>
      <c r="G4" s="533"/>
      <c r="H4" s="533"/>
      <c r="I4" s="223"/>
      <c r="J4" s="223"/>
      <c r="K4" s="534"/>
      <c r="L4" s="33"/>
    </row>
    <row r="5" spans="1:26">
      <c r="A5" s="269">
        <v>1</v>
      </c>
      <c r="B5" s="617" t="s">
        <v>29</v>
      </c>
      <c r="C5" s="619">
        <v>7</v>
      </c>
      <c r="D5" s="621" t="s">
        <v>746</v>
      </c>
      <c r="E5" s="622" t="s">
        <v>534</v>
      </c>
      <c r="F5" s="619">
        <v>28</v>
      </c>
      <c r="G5" s="623">
        <v>32000</v>
      </c>
      <c r="H5" s="623">
        <v>32000</v>
      </c>
      <c r="I5" s="619">
        <v>32000</v>
      </c>
      <c r="J5" s="619"/>
      <c r="K5" s="622" t="s">
        <v>535</v>
      </c>
      <c r="L5" s="14"/>
    </row>
    <row r="6" spans="1:26">
      <c r="A6" s="269">
        <v>2</v>
      </c>
      <c r="B6" s="625" t="s">
        <v>20</v>
      </c>
      <c r="C6" s="619"/>
      <c r="D6" s="627"/>
      <c r="E6" s="622"/>
      <c r="F6" s="619"/>
      <c r="G6" s="623"/>
      <c r="H6" s="623"/>
      <c r="I6" s="619"/>
      <c r="J6" s="619"/>
      <c r="K6" s="622" t="s">
        <v>118</v>
      </c>
      <c r="L6" s="324"/>
    </row>
    <row r="7" spans="1:26">
      <c r="A7" s="269">
        <v>3</v>
      </c>
      <c r="B7" s="617" t="s">
        <v>340</v>
      </c>
      <c r="C7" s="621">
        <v>5</v>
      </c>
      <c r="D7" s="621" t="s">
        <v>747</v>
      </c>
      <c r="E7" s="629" t="s">
        <v>534</v>
      </c>
      <c r="F7" s="621">
        <v>30</v>
      </c>
      <c r="G7" s="623">
        <v>210000</v>
      </c>
      <c r="H7" s="623">
        <v>17500</v>
      </c>
      <c r="I7" s="621">
        <v>17500</v>
      </c>
      <c r="J7" s="621"/>
      <c r="K7" s="629" t="s">
        <v>535</v>
      </c>
      <c r="L7" s="539"/>
      <c r="M7" s="509"/>
    </row>
    <row r="8" spans="1:26">
      <c r="A8" s="269">
        <v>4</v>
      </c>
      <c r="B8" s="625" t="s">
        <v>536</v>
      </c>
      <c r="C8" s="619">
        <v>5</v>
      </c>
      <c r="D8" s="619" t="s">
        <v>18</v>
      </c>
      <c r="E8" s="622"/>
      <c r="F8" s="619"/>
      <c r="G8" s="623"/>
      <c r="H8" s="623"/>
      <c r="I8" s="619"/>
      <c r="J8" s="619"/>
      <c r="K8" s="622" t="s">
        <v>118</v>
      </c>
      <c r="L8" s="324"/>
    </row>
    <row r="9" spans="1:26">
      <c r="A9" s="269">
        <v>5</v>
      </c>
      <c r="B9" s="784" t="s">
        <v>538</v>
      </c>
      <c r="C9" s="619">
        <v>5</v>
      </c>
      <c r="D9" s="619" t="s">
        <v>746</v>
      </c>
      <c r="E9" s="622">
        <v>60</v>
      </c>
      <c r="F9" s="619">
        <v>27</v>
      </c>
      <c r="G9" s="623">
        <v>59200</v>
      </c>
      <c r="H9" s="623">
        <v>29600</v>
      </c>
      <c r="I9" s="619">
        <v>29600</v>
      </c>
      <c r="J9" s="619"/>
      <c r="K9" s="622" t="s">
        <v>748</v>
      </c>
      <c r="L9" s="324"/>
    </row>
    <row r="10" spans="1:26">
      <c r="A10" s="837">
        <v>6</v>
      </c>
      <c r="B10" s="823" t="s">
        <v>749</v>
      </c>
      <c r="C10" s="838">
        <v>5</v>
      </c>
      <c r="D10" s="839" t="s">
        <v>746</v>
      </c>
      <c r="E10" s="840">
        <v>90</v>
      </c>
      <c r="F10" s="838">
        <v>30</v>
      </c>
      <c r="G10" s="841">
        <v>29600</v>
      </c>
      <c r="H10" s="841"/>
      <c r="I10" s="838"/>
      <c r="J10" s="838"/>
      <c r="K10" s="840" t="s">
        <v>748</v>
      </c>
      <c r="L10" s="176"/>
      <c r="M10" s="842"/>
      <c r="N10" s="842"/>
      <c r="O10" s="842"/>
      <c r="P10" s="842"/>
      <c r="Q10" s="842"/>
      <c r="R10" s="842"/>
      <c r="S10" s="842"/>
      <c r="T10" s="842"/>
      <c r="U10" s="842"/>
      <c r="V10" s="842"/>
      <c r="W10" s="842"/>
      <c r="X10" s="842"/>
      <c r="Y10" s="842"/>
      <c r="Z10" s="842"/>
    </row>
    <row r="11" spans="1:26">
      <c r="A11" s="269">
        <v>7</v>
      </c>
      <c r="B11" s="823"/>
      <c r="C11" s="825"/>
      <c r="D11" s="824"/>
      <c r="E11" s="828"/>
      <c r="F11" s="825"/>
      <c r="G11" s="827"/>
      <c r="H11" s="827"/>
      <c r="I11" s="621"/>
      <c r="J11" s="621"/>
      <c r="K11" s="629" t="s">
        <v>331</v>
      </c>
      <c r="L11" s="451"/>
      <c r="M11" s="509"/>
    </row>
    <row r="12" spans="1:26">
      <c r="A12" s="269">
        <v>8</v>
      </c>
      <c r="B12" s="617" t="s">
        <v>574</v>
      </c>
      <c r="C12" s="619">
        <v>5</v>
      </c>
      <c r="D12" s="621" t="s">
        <v>746</v>
      </c>
      <c r="E12" s="622">
        <v>180</v>
      </c>
      <c r="F12" s="619">
        <v>18</v>
      </c>
      <c r="G12" s="623">
        <v>155400</v>
      </c>
      <c r="H12" s="623" t="s">
        <v>753</v>
      </c>
      <c r="I12" s="619">
        <v>25900</v>
      </c>
      <c r="J12" s="619"/>
      <c r="K12" s="622" t="s">
        <v>331</v>
      </c>
      <c r="L12" s="33" t="s">
        <v>664</v>
      </c>
      <c r="M12" s="1" t="s">
        <v>199</v>
      </c>
    </row>
    <row r="13" spans="1:26">
      <c r="A13" s="269">
        <v>9</v>
      </c>
      <c r="B13" s="847" t="s">
        <v>410</v>
      </c>
      <c r="C13" s="619">
        <v>5</v>
      </c>
      <c r="D13" s="619" t="s">
        <v>756</v>
      </c>
      <c r="E13" s="622">
        <v>90</v>
      </c>
      <c r="F13" s="619">
        <v>31</v>
      </c>
      <c r="G13" s="623">
        <v>88800</v>
      </c>
      <c r="H13" s="623">
        <v>29600</v>
      </c>
      <c r="I13" s="619"/>
      <c r="J13" s="619"/>
      <c r="K13" s="622" t="s">
        <v>748</v>
      </c>
      <c r="L13" s="33"/>
    </row>
    <row r="14" spans="1:26">
      <c r="A14" s="269">
        <v>10</v>
      </c>
      <c r="B14" s="617" t="s">
        <v>577</v>
      </c>
      <c r="C14" s="619">
        <v>5</v>
      </c>
      <c r="D14" s="619" t="s">
        <v>757</v>
      </c>
      <c r="E14" s="622">
        <v>180</v>
      </c>
      <c r="F14" s="619"/>
      <c r="G14" s="623">
        <v>150000</v>
      </c>
      <c r="H14" s="623">
        <v>25000</v>
      </c>
      <c r="I14" s="619">
        <v>25000</v>
      </c>
      <c r="J14" s="619"/>
      <c r="K14" s="622" t="s">
        <v>579</v>
      </c>
      <c r="L14" s="303"/>
    </row>
    <row r="15" spans="1:26">
      <c r="A15" s="269">
        <v>11</v>
      </c>
      <c r="B15" s="617"/>
      <c r="C15" s="619"/>
      <c r="D15" s="619"/>
      <c r="E15" s="622"/>
      <c r="F15" s="619"/>
      <c r="G15" s="623"/>
      <c r="H15" s="623"/>
      <c r="I15" s="619"/>
      <c r="J15" s="619"/>
      <c r="K15" s="622"/>
      <c r="L15" s="33"/>
    </row>
    <row r="16" spans="1:26">
      <c r="A16" s="269">
        <v>12</v>
      </c>
      <c r="B16" s="617" t="s">
        <v>23</v>
      </c>
      <c r="C16" s="619">
        <v>5</v>
      </c>
      <c r="D16" s="619" t="s">
        <v>746</v>
      </c>
      <c r="E16" s="622" t="s">
        <v>534</v>
      </c>
      <c r="F16" s="619">
        <v>31</v>
      </c>
      <c r="G16" s="623">
        <v>33000</v>
      </c>
      <c r="H16" s="623">
        <v>33000</v>
      </c>
      <c r="I16" s="619">
        <v>33000</v>
      </c>
      <c r="J16" s="619"/>
      <c r="K16" s="622"/>
      <c r="L16" s="341" t="s">
        <v>581</v>
      </c>
    </row>
    <row r="17" spans="1:12">
      <c r="A17" s="269">
        <v>13</v>
      </c>
      <c r="B17" s="4" t="s">
        <v>739</v>
      </c>
      <c r="C17" s="59">
        <v>5</v>
      </c>
      <c r="D17" s="59" t="s">
        <v>762</v>
      </c>
      <c r="E17" s="622">
        <v>90</v>
      </c>
      <c r="F17" s="59">
        <v>31</v>
      </c>
      <c r="G17" s="59">
        <v>29600</v>
      </c>
      <c r="H17" s="59">
        <v>29600</v>
      </c>
      <c r="I17" s="59">
        <v>29600</v>
      </c>
      <c r="J17" s="59"/>
      <c r="K17" s="537" t="s">
        <v>741</v>
      </c>
      <c r="L17" s="33" t="s">
        <v>742</v>
      </c>
    </row>
    <row r="18" spans="1:12">
      <c r="A18" s="269">
        <v>14</v>
      </c>
      <c r="B18" s="481" t="s">
        <v>743</v>
      </c>
      <c r="C18" s="454">
        <v>5</v>
      </c>
      <c r="D18" s="477" t="s">
        <v>209</v>
      </c>
      <c r="E18" s="543"/>
      <c r="F18" s="478">
        <v>31</v>
      </c>
      <c r="G18" s="478"/>
      <c r="H18" s="478">
        <v>25900</v>
      </c>
      <c r="I18" s="478">
        <v>25900</v>
      </c>
      <c r="J18" s="498"/>
      <c r="K18" s="503"/>
      <c r="L18" s="501" t="s">
        <v>148</v>
      </c>
    </row>
    <row r="19" spans="1:12">
      <c r="A19" s="269">
        <v>15</v>
      </c>
      <c r="B19" s="4"/>
      <c r="C19" s="59"/>
      <c r="D19" s="45"/>
      <c r="E19" s="545"/>
      <c r="F19" s="223"/>
      <c r="G19" s="223"/>
      <c r="H19" s="221"/>
      <c r="I19" s="220"/>
      <c r="J19" s="220"/>
      <c r="K19" s="230" t="s">
        <v>118</v>
      </c>
      <c r="L19" s="14"/>
    </row>
    <row r="20" spans="1:12">
      <c r="A20" s="269">
        <v>16</v>
      </c>
      <c r="B20" s="253" t="s">
        <v>92</v>
      </c>
      <c r="C20" s="59">
        <v>5</v>
      </c>
      <c r="D20" s="45" t="s">
        <v>766</v>
      </c>
      <c r="E20" s="545"/>
      <c r="F20" s="223"/>
      <c r="G20" s="223">
        <v>37000</v>
      </c>
      <c r="H20" s="273">
        <v>37000</v>
      </c>
      <c r="I20" s="233"/>
      <c r="J20" s="233"/>
      <c r="K20" s="230"/>
      <c r="L20" s="14"/>
    </row>
    <row r="21" spans="1:12">
      <c r="A21" s="269">
        <v>17</v>
      </c>
      <c r="B21" s="453"/>
      <c r="C21" s="454"/>
      <c r="D21" s="455"/>
      <c r="E21" s="543"/>
      <c r="F21" s="458"/>
      <c r="G21" s="458"/>
      <c r="H21" s="458"/>
      <c r="I21" s="829"/>
      <c r="J21" s="548"/>
      <c r="K21" s="503"/>
      <c r="L21" s="451"/>
    </row>
    <row r="22" spans="1:12">
      <c r="A22" s="269"/>
      <c r="B22" s="253"/>
      <c r="C22" s="59"/>
      <c r="D22" s="251"/>
      <c r="E22" s="550"/>
      <c r="F22" s="401"/>
      <c r="G22" s="402"/>
      <c r="H22" s="222"/>
      <c r="I22" s="551"/>
      <c r="J22" s="395"/>
      <c r="K22" s="309"/>
      <c r="L22" s="682" t="s">
        <v>590</v>
      </c>
    </row>
    <row r="23" spans="1:12">
      <c r="A23" s="114"/>
      <c r="B23" s="236" t="s">
        <v>177</v>
      </c>
      <c r="C23" s="6">
        <f>SUM(C3:C22)</f>
        <v>62</v>
      </c>
      <c r="D23" s="109"/>
      <c r="E23" s="552"/>
      <c r="F23" s="237"/>
      <c r="G23" s="237">
        <f t="shared" ref="G23:H23" si="0">SUM(G4:G22)</f>
        <v>824600</v>
      </c>
      <c r="H23" s="553">
        <f t="shared" si="0"/>
        <v>259200</v>
      </c>
      <c r="I23" s="554">
        <f>SUM(I5:I22)</f>
        <v>218500</v>
      </c>
      <c r="J23" s="555">
        <f>SUM(J4:J22)</f>
        <v>0</v>
      </c>
      <c r="K23" s="556">
        <f>H23+J23</f>
        <v>259200</v>
      </c>
      <c r="L23" s="696">
        <f>K23/G23*100</f>
        <v>31.43342226534077</v>
      </c>
    </row>
    <row r="24" spans="1:12">
      <c r="A24" s="265"/>
      <c r="B24" s="206"/>
      <c r="C24" s="697"/>
      <c r="D24" s="185"/>
      <c r="E24" s="557"/>
      <c r="F24" s="558"/>
      <c r="G24" s="558"/>
      <c r="H24" s="265"/>
      <c r="I24" s="265"/>
      <c r="J24" s="265"/>
      <c r="K24" s="559"/>
      <c r="L24" s="14"/>
    </row>
    <row r="25" spans="1:12">
      <c r="A25" s="560"/>
      <c r="B25" s="561"/>
      <c r="C25" s="562"/>
      <c r="D25" s="561"/>
      <c r="E25" s="563"/>
      <c r="F25" s="561"/>
      <c r="G25" s="565"/>
      <c r="H25" s="565"/>
      <c r="I25" s="566"/>
      <c r="J25" s="566"/>
      <c r="K25" s="567"/>
      <c r="L25" s="33"/>
    </row>
    <row r="26" spans="1:12">
      <c r="A26" s="568"/>
      <c r="B26" s="569"/>
      <c r="C26" s="338"/>
      <c r="D26" s="570"/>
      <c r="E26" s="571"/>
      <c r="F26" s="572"/>
      <c r="G26" s="572"/>
      <c r="H26" s="573"/>
      <c r="I26" s="574"/>
      <c r="J26" s="574"/>
      <c r="K26" s="575"/>
      <c r="L26" s="33"/>
    </row>
    <row r="27" spans="1:12">
      <c r="A27" s="568"/>
      <c r="B27" s="576"/>
      <c r="C27" s="340"/>
      <c r="D27" s="577"/>
      <c r="E27" s="578"/>
      <c r="F27" s="319"/>
      <c r="G27" s="319"/>
      <c r="H27" s="320"/>
      <c r="I27" s="320"/>
      <c r="J27" s="320"/>
      <c r="K27" s="579"/>
      <c r="L27" s="33"/>
    </row>
    <row r="28" spans="1:12">
      <c r="A28" s="580"/>
      <c r="B28" s="581"/>
      <c r="C28" s="260"/>
      <c r="D28" s="260"/>
      <c r="E28" s="578"/>
      <c r="F28" s="582"/>
      <c r="G28" s="572"/>
      <c r="H28" s="270"/>
      <c r="I28" s="583"/>
      <c r="J28" s="584"/>
      <c r="K28" s="585"/>
      <c r="L28" s="303"/>
    </row>
    <row r="29" spans="1:12">
      <c r="A29" s="568"/>
      <c r="B29" s="586"/>
      <c r="C29" s="340"/>
      <c r="D29" s="577"/>
      <c r="E29" s="587"/>
      <c r="F29" s="582"/>
      <c r="G29" s="582"/>
      <c r="H29" s="237"/>
      <c r="I29" s="582"/>
      <c r="J29" s="582"/>
      <c r="K29" s="588"/>
      <c r="L29" s="33"/>
    </row>
    <row r="30" spans="1:12">
      <c r="A30" s="589"/>
      <c r="B30" s="590"/>
      <c r="C30" s="591"/>
      <c r="D30" s="590"/>
      <c r="E30" s="592"/>
      <c r="F30" s="590"/>
      <c r="G30" s="590"/>
      <c r="H30" s="590"/>
      <c r="I30" s="591"/>
      <c r="J30" s="590"/>
      <c r="K30" s="593"/>
    </row>
    <row r="31" spans="1:12">
      <c r="A31" s="2"/>
      <c r="B31" s="4"/>
      <c r="C31" s="6"/>
      <c r="D31" s="8"/>
      <c r="E31" s="532"/>
      <c r="F31" s="220"/>
      <c r="G31" s="220"/>
      <c r="H31" s="6"/>
      <c r="I31" s="6"/>
      <c r="J31" s="6"/>
      <c r="K31" s="594"/>
      <c r="L31" s="14"/>
    </row>
    <row r="32" spans="1:12">
      <c r="A32" s="595" t="s">
        <v>5</v>
      </c>
      <c r="B32" s="596" t="s">
        <v>74</v>
      </c>
      <c r="C32" s="597" t="s">
        <v>159</v>
      </c>
      <c r="D32" s="598" t="s">
        <v>10</v>
      </c>
      <c r="E32" s="599" t="s">
        <v>243</v>
      </c>
      <c r="F32" s="600" t="s">
        <v>244</v>
      </c>
      <c r="G32" s="600" t="s">
        <v>245</v>
      </c>
      <c r="H32" s="601" t="s">
        <v>246</v>
      </c>
      <c r="I32" s="597" t="s">
        <v>532</v>
      </c>
      <c r="J32" s="602" t="s">
        <v>13</v>
      </c>
      <c r="K32" s="603" t="s">
        <v>162</v>
      </c>
      <c r="L32" s="14"/>
    </row>
    <row r="33" spans="1:12">
      <c r="A33" s="269">
        <v>1</v>
      </c>
      <c r="B33" s="443" t="s">
        <v>135</v>
      </c>
      <c r="C33" s="144">
        <v>5</v>
      </c>
      <c r="D33" s="715" t="s">
        <v>746</v>
      </c>
      <c r="E33" s="230" t="s">
        <v>148</v>
      </c>
      <c r="F33" s="144">
        <v>28</v>
      </c>
      <c r="G33" s="608"/>
      <c r="H33" s="608">
        <v>32000</v>
      </c>
      <c r="I33" s="608">
        <v>32000</v>
      </c>
      <c r="J33" s="609"/>
      <c r="K33" s="503"/>
      <c r="L33" s="491"/>
    </row>
    <row r="34" spans="1:12">
      <c r="A34" s="269">
        <v>2</v>
      </c>
      <c r="B34" s="830" t="s">
        <v>785</v>
      </c>
      <c r="C34" s="178">
        <v>5</v>
      </c>
      <c r="D34" s="854" t="s">
        <v>746</v>
      </c>
      <c r="E34" s="855">
        <v>90</v>
      </c>
      <c r="F34" s="854">
        <v>30</v>
      </c>
      <c r="G34" s="856"/>
      <c r="H34" s="857">
        <v>28000</v>
      </c>
      <c r="I34" s="613"/>
      <c r="J34" s="612"/>
      <c r="K34" s="503" t="s">
        <v>748</v>
      </c>
      <c r="L34" s="14"/>
    </row>
    <row r="35" spans="1:12">
      <c r="A35" s="269">
        <v>3</v>
      </c>
      <c r="B35" s="830"/>
      <c r="C35" s="192"/>
      <c r="D35" s="102"/>
      <c r="E35" s="295"/>
      <c r="F35" s="192"/>
      <c r="G35" s="836"/>
      <c r="H35" s="836"/>
      <c r="I35" s="609"/>
      <c r="J35" s="609"/>
      <c r="K35" s="503"/>
      <c r="L35" s="14"/>
    </row>
    <row r="36" spans="1:12">
      <c r="A36" s="269">
        <v>4</v>
      </c>
      <c r="B36" s="443" t="s">
        <v>23</v>
      </c>
      <c r="C36" s="144">
        <v>5</v>
      </c>
      <c r="D36" s="715" t="s">
        <v>734</v>
      </c>
      <c r="E36" s="230" t="s">
        <v>534</v>
      </c>
      <c r="F36" s="144">
        <v>22</v>
      </c>
      <c r="G36" s="538">
        <v>363000</v>
      </c>
      <c r="H36" s="538">
        <v>25928.5</v>
      </c>
      <c r="I36" s="608">
        <v>33000</v>
      </c>
      <c r="J36" s="609"/>
      <c r="K36" s="503" t="s">
        <v>535</v>
      </c>
      <c r="L36" s="33" t="s">
        <v>581</v>
      </c>
    </row>
    <row r="37" spans="1:12">
      <c r="A37" s="269">
        <v>5</v>
      </c>
      <c r="B37" s="443" t="s">
        <v>617</v>
      </c>
      <c r="C37" s="473">
        <v>5</v>
      </c>
      <c r="D37" s="725" t="s">
        <v>762</v>
      </c>
      <c r="E37" s="230"/>
      <c r="F37" s="144"/>
      <c r="G37" s="608"/>
      <c r="H37" s="608">
        <v>35000</v>
      </c>
      <c r="I37" s="608">
        <v>35000</v>
      </c>
      <c r="J37" s="609"/>
      <c r="K37" s="503" t="s">
        <v>619</v>
      </c>
      <c r="L37" s="33" t="s">
        <v>758</v>
      </c>
    </row>
    <row r="38" spans="1:12">
      <c r="A38" s="269">
        <v>6</v>
      </c>
      <c r="B38" s="860" t="s">
        <v>568</v>
      </c>
      <c r="C38" s="144">
        <v>5</v>
      </c>
      <c r="D38" s="203" t="s">
        <v>756</v>
      </c>
      <c r="E38" s="230">
        <v>180</v>
      </c>
      <c r="F38" s="144">
        <v>9</v>
      </c>
      <c r="G38" s="608">
        <v>147000</v>
      </c>
      <c r="H38" s="608">
        <v>24500</v>
      </c>
      <c r="I38" s="608">
        <v>24500</v>
      </c>
      <c r="J38" s="609"/>
      <c r="K38" s="503"/>
      <c r="L38" s="792" t="s">
        <v>687</v>
      </c>
    </row>
    <row r="39" spans="1:12">
      <c r="A39" s="269">
        <v>7</v>
      </c>
      <c r="B39" s="443" t="s">
        <v>536</v>
      </c>
      <c r="C39" s="144">
        <v>5</v>
      </c>
      <c r="D39" s="203"/>
      <c r="E39" s="606"/>
      <c r="F39" s="607"/>
      <c r="G39" s="609"/>
      <c r="H39" s="609"/>
      <c r="I39" s="609"/>
      <c r="J39" s="609"/>
      <c r="K39" s="503" t="s">
        <v>118</v>
      </c>
      <c r="L39" s="491"/>
    </row>
    <row r="40" spans="1:12">
      <c r="A40" s="269">
        <v>8</v>
      </c>
      <c r="B40" s="443" t="s">
        <v>366</v>
      </c>
      <c r="C40" s="144">
        <v>5</v>
      </c>
      <c r="D40" s="203" t="s">
        <v>747</v>
      </c>
      <c r="E40" s="230" t="s">
        <v>148</v>
      </c>
      <c r="F40" s="144">
        <v>31</v>
      </c>
      <c r="G40" s="609">
        <v>17500</v>
      </c>
      <c r="H40" s="608">
        <v>17500</v>
      </c>
      <c r="I40" s="608">
        <v>17500</v>
      </c>
      <c r="J40" s="609"/>
      <c r="K40" s="503" t="s">
        <v>331</v>
      </c>
      <c r="L40" s="491"/>
    </row>
    <row r="41" spans="1:12">
      <c r="A41" s="269">
        <v>9</v>
      </c>
      <c r="B41" s="793" t="s">
        <v>92</v>
      </c>
      <c r="C41" s="144">
        <v>5</v>
      </c>
      <c r="D41" s="203" t="s">
        <v>791</v>
      </c>
      <c r="E41" s="230"/>
      <c r="F41" s="144">
        <v>10</v>
      </c>
      <c r="G41" s="609"/>
      <c r="H41" s="836">
        <v>35000</v>
      </c>
      <c r="I41" s="609"/>
      <c r="J41" s="609"/>
      <c r="K41" s="503"/>
      <c r="L41" s="33"/>
    </row>
    <row r="42" spans="1:12">
      <c r="A42" s="269">
        <v>10</v>
      </c>
      <c r="B42" s="443" t="s">
        <v>332</v>
      </c>
      <c r="C42" s="463">
        <v>5</v>
      </c>
      <c r="D42" s="715" t="s">
        <v>746</v>
      </c>
      <c r="E42" s="503">
        <v>90</v>
      </c>
      <c r="F42" s="463">
        <v>30</v>
      </c>
      <c r="G42" s="861">
        <v>20000</v>
      </c>
      <c r="H42" s="862">
        <v>20000</v>
      </c>
      <c r="I42" s="862" t="s">
        <v>105</v>
      </c>
      <c r="J42" s="861"/>
      <c r="K42" s="503" t="s">
        <v>331</v>
      </c>
      <c r="L42" s="863"/>
    </row>
    <row r="43" spans="1:12">
      <c r="A43" s="269">
        <v>11</v>
      </c>
      <c r="B43" s="453" t="s">
        <v>754</v>
      </c>
      <c r="C43" s="454">
        <v>5</v>
      </c>
      <c r="D43" s="477" t="s">
        <v>746</v>
      </c>
      <c r="E43" s="543">
        <v>90</v>
      </c>
      <c r="F43" s="478">
        <v>30</v>
      </c>
      <c r="G43" s="478">
        <v>58500</v>
      </c>
      <c r="H43" s="478">
        <v>19500</v>
      </c>
      <c r="I43" s="478">
        <v>19500</v>
      </c>
      <c r="J43" s="498"/>
      <c r="K43" s="480"/>
      <c r="L43" s="792" t="s">
        <v>792</v>
      </c>
    </row>
    <row r="44" spans="1:12">
      <c r="A44" s="269">
        <v>12</v>
      </c>
      <c r="B44" s="443" t="s">
        <v>657</v>
      </c>
      <c r="C44" s="144">
        <v>5</v>
      </c>
      <c r="D44" s="203" t="s">
        <v>762</v>
      </c>
      <c r="E44" s="230">
        <v>90</v>
      </c>
      <c r="F44" s="608">
        <v>31</v>
      </c>
      <c r="G44" s="608">
        <v>28000</v>
      </c>
      <c r="H44" s="608">
        <v>28000</v>
      </c>
      <c r="I44" s="608">
        <v>28000</v>
      </c>
      <c r="J44" s="609"/>
      <c r="K44" s="503"/>
      <c r="L44" s="792" t="s">
        <v>758</v>
      </c>
    </row>
    <row r="45" spans="1:12">
      <c r="A45" s="269">
        <v>13</v>
      </c>
      <c r="B45" s="443"/>
      <c r="C45" s="144"/>
      <c r="D45" s="203"/>
      <c r="E45" s="230"/>
      <c r="F45" s="608"/>
      <c r="G45" s="608"/>
      <c r="H45" s="608"/>
      <c r="I45" s="608"/>
      <c r="J45" s="609"/>
      <c r="K45" s="503"/>
      <c r="L45" s="496"/>
    </row>
    <row r="46" spans="1:12">
      <c r="A46" s="269">
        <v>14</v>
      </c>
      <c r="B46" s="443"/>
      <c r="C46" s="144"/>
      <c r="D46" s="203"/>
      <c r="E46" s="230"/>
      <c r="F46" s="608"/>
      <c r="G46" s="608"/>
      <c r="H46" s="608"/>
      <c r="I46" s="848"/>
      <c r="J46" s="609"/>
      <c r="K46" s="503"/>
      <c r="L46" s="682"/>
    </row>
    <row r="47" spans="1:12">
      <c r="A47" s="2"/>
      <c r="B47" s="236" t="s">
        <v>177</v>
      </c>
      <c r="C47" s="6">
        <f>SUM(C33:C46)</f>
        <v>55</v>
      </c>
      <c r="D47" s="8"/>
      <c r="E47" s="618">
        <f>SUM(E33:E46)</f>
        <v>540</v>
      </c>
      <c r="F47" s="620"/>
      <c r="G47" s="620">
        <f t="shared" ref="G47:J47" si="1">SUM(G33:G46)</f>
        <v>634000</v>
      </c>
      <c r="H47" s="624">
        <f t="shared" si="1"/>
        <v>265428.5</v>
      </c>
      <c r="I47" s="626">
        <f t="shared" si="1"/>
        <v>189500</v>
      </c>
      <c r="J47" s="620">
        <f t="shared" si="1"/>
        <v>0</v>
      </c>
      <c r="K47" s="628">
        <f>H47+J47</f>
        <v>265428.5</v>
      </c>
      <c r="L47" s="696">
        <f>K47/G47*100</f>
        <v>41.865694006309148</v>
      </c>
    </row>
    <row r="48" spans="1:12">
      <c r="A48" s="14"/>
      <c r="B48" s="206"/>
      <c r="C48" s="198"/>
      <c r="D48" s="185"/>
      <c r="E48" s="557"/>
      <c r="F48" s="209"/>
      <c r="G48" s="209"/>
      <c r="H48" s="14"/>
      <c r="I48" s="14"/>
      <c r="J48" s="14"/>
      <c r="K48" s="559"/>
      <c r="L48" s="14"/>
    </row>
    <row r="49" spans="1:13">
      <c r="A49" s="630"/>
      <c r="B49" s="631"/>
      <c r="C49" s="632"/>
      <c r="D49" s="633"/>
      <c r="E49" s="634"/>
      <c r="F49" s="631"/>
      <c r="G49" s="635"/>
      <c r="H49" s="635"/>
      <c r="I49" s="636"/>
      <c r="J49" s="636"/>
      <c r="K49" s="637"/>
      <c r="L49" s="14"/>
    </row>
    <row r="50" spans="1:13">
      <c r="A50" s="638"/>
      <c r="B50" s="639"/>
      <c r="C50" s="150"/>
      <c r="D50" s="641"/>
      <c r="E50" s="642"/>
      <c r="F50" s="237"/>
      <c r="G50" s="150"/>
      <c r="H50" s="270"/>
      <c r="I50" s="237"/>
      <c r="J50" s="237"/>
      <c r="K50" s="643"/>
      <c r="L50" s="451"/>
    </row>
    <row r="51" spans="1:13">
      <c r="A51" s="638"/>
      <c r="B51" s="644"/>
      <c r="C51" s="260"/>
      <c r="D51" s="645"/>
      <c r="E51" s="642"/>
      <c r="F51" s="237"/>
      <c r="G51" s="150"/>
      <c r="H51" s="237"/>
      <c r="I51" s="237"/>
      <c r="J51" s="237"/>
      <c r="K51" s="646"/>
      <c r="L51" s="14"/>
    </row>
    <row r="52" spans="1:13">
      <c r="A52" s="638"/>
      <c r="B52" s="647"/>
      <c r="C52" s="649"/>
      <c r="D52" s="651"/>
      <c r="E52" s="652"/>
      <c r="F52" s="653"/>
      <c r="G52" s="653"/>
      <c r="H52" s="653"/>
      <c r="I52" s="654"/>
      <c r="J52" s="653"/>
      <c r="K52" s="655"/>
      <c r="L52" s="14"/>
    </row>
    <row r="53" spans="1:13">
      <c r="A53" s="638"/>
      <c r="B53" s="644"/>
      <c r="C53" s="260"/>
      <c r="D53" s="645"/>
      <c r="E53" s="642"/>
      <c r="F53" s="237"/>
      <c r="G53" s="270"/>
      <c r="H53" s="270"/>
      <c r="I53" s="237"/>
      <c r="J53" s="237"/>
      <c r="K53" s="646"/>
      <c r="L53" s="14"/>
    </row>
    <row r="54" spans="1:13">
      <c r="A54" s="638"/>
      <c r="B54" s="639"/>
      <c r="C54" s="260"/>
      <c r="D54" s="645"/>
      <c r="E54" s="587"/>
      <c r="F54" s="270"/>
      <c r="G54" s="270"/>
      <c r="H54" s="237"/>
      <c r="I54" s="150"/>
      <c r="J54" s="150"/>
      <c r="K54" s="646"/>
      <c r="L54" s="14"/>
    </row>
    <row r="55" spans="1:13">
      <c r="A55" s="656"/>
      <c r="B55" s="639"/>
      <c r="C55" s="309"/>
      <c r="D55" s="657"/>
      <c r="E55" s="587"/>
      <c r="F55" s="658"/>
      <c r="G55" s="659"/>
      <c r="H55" s="660"/>
      <c r="I55" s="642"/>
      <c r="J55" s="642"/>
      <c r="K55" s="661"/>
      <c r="L55" s="14"/>
    </row>
    <row r="56" spans="1:13">
      <c r="A56" s="662"/>
      <c r="B56" s="663"/>
      <c r="C56" s="664"/>
      <c r="D56" s="665"/>
      <c r="E56" s="666"/>
      <c r="F56" s="668"/>
      <c r="G56" s="669"/>
      <c r="H56" s="670"/>
      <c r="I56" s="671"/>
      <c r="J56" s="671"/>
      <c r="K56" s="672"/>
      <c r="L56" s="14"/>
    </row>
    <row r="57" spans="1:13">
      <c r="A57" s="114"/>
      <c r="B57" s="283"/>
      <c r="C57" s="673"/>
      <c r="D57" s="674"/>
      <c r="E57" s="675"/>
      <c r="F57" s="676"/>
      <c r="G57" s="677"/>
      <c r="H57" s="678"/>
      <c r="I57" s="679"/>
      <c r="J57" s="679"/>
      <c r="K57" s="680"/>
      <c r="L57" s="265"/>
      <c r="M57" s="681"/>
    </row>
    <row r="58" spans="1:13">
      <c r="A58" s="683" t="s">
        <v>5</v>
      </c>
      <c r="B58" s="684" t="s">
        <v>315</v>
      </c>
      <c r="C58" s="685" t="s">
        <v>159</v>
      </c>
      <c r="D58" s="686" t="s">
        <v>10</v>
      </c>
      <c r="E58" s="687" t="s">
        <v>243</v>
      </c>
      <c r="F58" s="688" t="s">
        <v>244</v>
      </c>
      <c r="G58" s="688" t="s">
        <v>245</v>
      </c>
      <c r="H58" s="689" t="s">
        <v>246</v>
      </c>
      <c r="I58" s="525" t="s">
        <v>532</v>
      </c>
      <c r="J58" s="690" t="s">
        <v>13</v>
      </c>
      <c r="K58" s="691" t="s">
        <v>162</v>
      </c>
      <c r="L58" s="14"/>
    </row>
    <row r="59" spans="1:13">
      <c r="A59" s="139">
        <v>1</v>
      </c>
      <c r="B59" s="796" t="s">
        <v>700</v>
      </c>
      <c r="C59" s="144">
        <v>5</v>
      </c>
      <c r="D59" s="757" t="s">
        <v>798</v>
      </c>
      <c r="E59" s="693">
        <v>200</v>
      </c>
      <c r="F59" s="103"/>
      <c r="G59" s="608" t="s">
        <v>778</v>
      </c>
      <c r="H59" s="694">
        <v>14000</v>
      </c>
      <c r="I59" s="144">
        <v>14000</v>
      </c>
      <c r="J59" s="100"/>
      <c r="K59" s="230" t="s">
        <v>275</v>
      </c>
      <c r="L59" s="33" t="s">
        <v>779</v>
      </c>
      <c r="M59" s="499"/>
    </row>
    <row r="60" spans="1:13">
      <c r="A60" s="139">
        <v>2</v>
      </c>
      <c r="B60" s="805" t="s">
        <v>780</v>
      </c>
      <c r="C60" s="144">
        <v>5</v>
      </c>
      <c r="D60" s="463" t="s">
        <v>800</v>
      </c>
      <c r="E60" s="693">
        <v>90</v>
      </c>
      <c r="F60" s="103"/>
      <c r="G60" s="608">
        <v>32000</v>
      </c>
      <c r="H60" s="694">
        <v>14000</v>
      </c>
      <c r="I60" s="144">
        <v>14000</v>
      </c>
      <c r="J60" s="144"/>
      <c r="K60" s="230" t="s">
        <v>748</v>
      </c>
      <c r="L60" s="33" t="s">
        <v>803</v>
      </c>
      <c r="M60" s="499"/>
    </row>
    <row r="61" spans="1:13">
      <c r="A61" s="134">
        <v>3</v>
      </c>
      <c r="B61" s="805" t="s">
        <v>617</v>
      </c>
      <c r="C61" s="144">
        <v>5</v>
      </c>
      <c r="D61" s="144" t="s">
        <v>781</v>
      </c>
      <c r="E61" s="693"/>
      <c r="F61" s="103"/>
      <c r="G61" s="608"/>
      <c r="H61" s="694">
        <v>17500</v>
      </c>
      <c r="I61" s="144">
        <v>17500</v>
      </c>
      <c r="J61" s="100"/>
      <c r="K61" s="295" t="s">
        <v>619</v>
      </c>
      <c r="L61" s="33" t="s">
        <v>805</v>
      </c>
      <c r="M61" s="33"/>
    </row>
    <row r="62" spans="1:13">
      <c r="A62" s="139">
        <v>4</v>
      </c>
      <c r="B62" s="874" t="s">
        <v>600</v>
      </c>
      <c r="C62" s="144">
        <v>5</v>
      </c>
      <c r="D62" s="144" t="s">
        <v>782</v>
      </c>
      <c r="E62" s="693">
        <v>180</v>
      </c>
      <c r="F62" s="103">
        <v>28</v>
      </c>
      <c r="G62" s="608">
        <v>14000</v>
      </c>
      <c r="H62" s="694">
        <v>14000</v>
      </c>
      <c r="I62" s="144">
        <v>14000</v>
      </c>
      <c r="J62" s="100"/>
      <c r="K62" s="520"/>
      <c r="L62" s="33" t="s">
        <v>602</v>
      </c>
      <c r="M62" s="499"/>
    </row>
    <row r="63" spans="1:13">
      <c r="A63" s="139">
        <v>5</v>
      </c>
      <c r="B63" s="692" t="s">
        <v>639</v>
      </c>
      <c r="C63" s="144">
        <v>5.03</v>
      </c>
      <c r="D63" s="144" t="s">
        <v>467</v>
      </c>
      <c r="E63" s="693"/>
      <c r="F63" s="103"/>
      <c r="G63" s="608"/>
      <c r="H63" s="695"/>
      <c r="I63" s="100"/>
      <c r="J63" s="100"/>
      <c r="K63" s="230" t="s">
        <v>118</v>
      </c>
      <c r="L63" s="14"/>
      <c r="M63" s="499"/>
    </row>
    <row r="64" spans="1:13">
      <c r="A64" s="139">
        <v>6</v>
      </c>
      <c r="B64" s="805" t="s">
        <v>461</v>
      </c>
      <c r="C64" s="144">
        <v>5</v>
      </c>
      <c r="D64" s="144" t="s">
        <v>783</v>
      </c>
      <c r="E64" s="693">
        <v>365</v>
      </c>
      <c r="F64" s="103">
        <v>28</v>
      </c>
      <c r="G64" s="608">
        <v>14000</v>
      </c>
      <c r="H64" s="694">
        <v>14000</v>
      </c>
      <c r="I64" s="144">
        <v>14000</v>
      </c>
      <c r="J64" s="100"/>
      <c r="K64" s="230" t="s">
        <v>784</v>
      </c>
      <c r="L64" s="33"/>
      <c r="M64" s="499"/>
    </row>
    <row r="65" spans="1:13">
      <c r="A65" s="139">
        <v>7</v>
      </c>
      <c r="B65" s="692"/>
      <c r="C65" s="144"/>
      <c r="D65" s="144"/>
      <c r="E65" s="552"/>
      <c r="F65" s="233"/>
      <c r="G65" s="609"/>
      <c r="H65" s="609"/>
      <c r="I65" s="100"/>
      <c r="J65" s="100"/>
      <c r="K65" s="230"/>
      <c r="L65" s="14"/>
      <c r="M65" s="499"/>
    </row>
    <row r="66" spans="1:13">
      <c r="A66" s="139">
        <v>8</v>
      </c>
      <c r="B66" s="805" t="s">
        <v>134</v>
      </c>
      <c r="C66" s="144">
        <v>5</v>
      </c>
      <c r="D66" s="715" t="s">
        <v>734</v>
      </c>
      <c r="E66" s="693" t="s">
        <v>534</v>
      </c>
      <c r="F66" s="144">
        <v>22</v>
      </c>
      <c r="G66" s="538">
        <v>363000</v>
      </c>
      <c r="H66" s="538">
        <v>25928.5</v>
      </c>
      <c r="I66" s="144">
        <v>33000</v>
      </c>
      <c r="J66" s="100"/>
      <c r="K66" s="230" t="s">
        <v>535</v>
      </c>
      <c r="L66" s="33" t="s">
        <v>581</v>
      </c>
      <c r="M66" s="499"/>
    </row>
    <row r="67" spans="1:13">
      <c r="A67" s="139">
        <v>9</v>
      </c>
      <c r="B67" s="874" t="s">
        <v>660</v>
      </c>
      <c r="C67" s="144">
        <v>5</v>
      </c>
      <c r="D67" s="699" t="s">
        <v>809</v>
      </c>
      <c r="E67" s="587">
        <v>15</v>
      </c>
      <c r="F67" s="270">
        <v>15</v>
      </c>
      <c r="G67" s="700"/>
      <c r="H67" s="620"/>
      <c r="I67" s="59"/>
      <c r="J67" s="144"/>
      <c r="K67" s="309" t="s">
        <v>810</v>
      </c>
      <c r="L67" s="33"/>
      <c r="M67" s="499"/>
    </row>
    <row r="68" spans="1:13">
      <c r="A68" s="134">
        <v>10</v>
      </c>
      <c r="B68" s="497" t="s">
        <v>657</v>
      </c>
      <c r="C68" s="59">
        <v>5</v>
      </c>
      <c r="D68" s="477" t="s">
        <v>762</v>
      </c>
      <c r="E68" s="537">
        <v>90</v>
      </c>
      <c r="F68" s="223">
        <v>31</v>
      </c>
      <c r="G68" s="533"/>
      <c r="H68" s="533">
        <v>16000</v>
      </c>
      <c r="I68" s="270">
        <v>16000</v>
      </c>
      <c r="J68" s="220"/>
      <c r="K68" s="594"/>
      <c r="L68" s="682" t="s">
        <v>758</v>
      </c>
      <c r="M68" s="499"/>
    </row>
    <row r="69" spans="1:13">
      <c r="A69" s="134">
        <v>11</v>
      </c>
      <c r="B69" s="236" t="s">
        <v>92</v>
      </c>
      <c r="C69" s="806">
        <v>5</v>
      </c>
      <c r="D69" s="45" t="s">
        <v>811</v>
      </c>
      <c r="E69" s="537">
        <v>10</v>
      </c>
      <c r="F69" s="223">
        <v>10</v>
      </c>
      <c r="G69" s="533"/>
      <c r="H69" s="877">
        <v>14000</v>
      </c>
      <c r="I69" s="778"/>
      <c r="J69" s="498"/>
      <c r="K69" s="878"/>
      <c r="L69" s="810"/>
      <c r="M69" s="499"/>
    </row>
    <row r="70" spans="1:13">
      <c r="A70" s="134">
        <v>12</v>
      </c>
      <c r="B70" s="497"/>
      <c r="C70" s="806"/>
      <c r="D70" s="45"/>
      <c r="E70" s="618"/>
      <c r="F70" s="220"/>
      <c r="G70" s="620"/>
      <c r="H70" s="879"/>
      <c r="I70" s="880"/>
      <c r="J70" s="498"/>
      <c r="K70" s="878"/>
      <c r="L70" s="696"/>
      <c r="M70" s="499"/>
    </row>
    <row r="71" spans="1:13">
      <c r="A71" s="134">
        <v>13</v>
      </c>
      <c r="B71" s="236" t="s">
        <v>714</v>
      </c>
      <c r="C71" s="806">
        <v>5</v>
      </c>
      <c r="D71" s="45" t="s">
        <v>813</v>
      </c>
      <c r="E71" s="537">
        <v>60</v>
      </c>
      <c r="F71" s="223">
        <v>16</v>
      </c>
      <c r="G71" s="620"/>
      <c r="H71" s="538">
        <v>16000</v>
      </c>
      <c r="I71" s="778">
        <v>16000</v>
      </c>
      <c r="J71" s="498"/>
      <c r="K71" s="878"/>
      <c r="L71" s="810" t="s">
        <v>788</v>
      </c>
      <c r="M71" s="499"/>
    </row>
    <row r="72" spans="1:13">
      <c r="A72" s="134">
        <v>14</v>
      </c>
      <c r="B72" s="431" t="s">
        <v>789</v>
      </c>
      <c r="C72" s="806">
        <v>5</v>
      </c>
      <c r="D72" s="45" t="s">
        <v>814</v>
      </c>
      <c r="E72" s="537">
        <v>90</v>
      </c>
      <c r="F72" s="223">
        <v>19</v>
      </c>
      <c r="G72" s="533">
        <v>48000</v>
      </c>
      <c r="H72" s="538">
        <v>3733</v>
      </c>
      <c r="I72" s="881">
        <v>3733</v>
      </c>
      <c r="J72" s="498"/>
      <c r="K72" s="878"/>
      <c r="L72" s="810" t="s">
        <v>816</v>
      </c>
      <c r="M72" s="499"/>
    </row>
    <row r="73" spans="1:13">
      <c r="A73" s="132"/>
      <c r="B73" s="236" t="s">
        <v>177</v>
      </c>
      <c r="C73" s="769">
        <f>SUM(C54:C72)</f>
        <v>60.03</v>
      </c>
      <c r="D73" s="8"/>
      <c r="E73" s="532">
        <f>SUM(E54:E72)</f>
        <v>1100</v>
      </c>
      <c r="F73" s="220"/>
      <c r="G73" s="620">
        <f t="shared" ref="G73:I73" si="2">SUM(G59:G72)</f>
        <v>471000</v>
      </c>
      <c r="H73" s="701">
        <f t="shared" si="2"/>
        <v>149161.5</v>
      </c>
      <c r="I73" s="554">
        <f t="shared" si="2"/>
        <v>142233</v>
      </c>
      <c r="J73" s="220">
        <f>SUM(J59:J68)</f>
        <v>0</v>
      </c>
      <c r="K73" s="628">
        <f>H73+J73</f>
        <v>149161.5</v>
      </c>
      <c r="L73" s="696">
        <f>K73/G73*100</f>
        <v>31.669108280254775</v>
      </c>
      <c r="M73" s="499"/>
    </row>
    <row r="74" spans="1:13">
      <c r="A74" s="702"/>
      <c r="B74" s="811"/>
      <c r="C74" s="673"/>
      <c r="D74" s="812"/>
      <c r="E74" s="675"/>
      <c r="F74" s="676"/>
      <c r="G74" s="677"/>
      <c r="H74" s="703"/>
      <c r="I74" s="704"/>
      <c r="J74" s="220"/>
      <c r="K74" s="309"/>
      <c r="L74" s="265"/>
      <c r="M74" s="681"/>
    </row>
    <row r="75" spans="1:13">
      <c r="A75" s="630"/>
      <c r="B75" s="631"/>
      <c r="C75" s="632"/>
      <c r="D75" s="633"/>
      <c r="E75" s="634"/>
      <c r="F75" s="631"/>
      <c r="G75" s="635"/>
      <c r="H75" s="635"/>
      <c r="I75" s="636"/>
      <c r="J75" s="636"/>
      <c r="K75" s="637"/>
      <c r="L75" s="14"/>
    </row>
    <row r="76" spans="1:13">
      <c r="A76" s="638"/>
      <c r="B76" s="639"/>
      <c r="C76" s="150"/>
      <c r="D76" s="641"/>
      <c r="E76" s="642"/>
      <c r="F76" s="237"/>
      <c r="G76" s="150"/>
      <c r="H76" s="270"/>
      <c r="I76" s="237"/>
      <c r="J76" s="237"/>
      <c r="K76" s="643"/>
      <c r="L76" s="14"/>
    </row>
    <row r="77" spans="1:13">
      <c r="A77" s="638"/>
      <c r="B77" s="644"/>
      <c r="C77" s="260"/>
      <c r="D77" s="645"/>
      <c r="E77" s="642"/>
      <c r="F77" s="237"/>
      <c r="G77" s="150"/>
      <c r="H77" s="237"/>
      <c r="I77" s="237"/>
      <c r="J77" s="237"/>
      <c r="K77" s="646"/>
      <c r="L77" s="14"/>
    </row>
    <row r="78" spans="1:13">
      <c r="A78" s="638"/>
      <c r="B78" s="647"/>
      <c r="C78" s="649"/>
      <c r="D78" s="651"/>
      <c r="E78" s="652"/>
      <c r="F78" s="653"/>
      <c r="G78" s="653"/>
      <c r="H78" s="653"/>
      <c r="I78" s="654"/>
      <c r="J78" s="653"/>
      <c r="K78" s="655"/>
      <c r="L78" s="14"/>
    </row>
    <row r="79" spans="1:13">
      <c r="A79" s="638"/>
      <c r="B79" s="644"/>
      <c r="C79" s="260"/>
      <c r="D79" s="645"/>
      <c r="E79" s="642"/>
      <c r="F79" s="237"/>
      <c r="G79" s="270"/>
      <c r="H79" s="270"/>
      <c r="I79" s="237"/>
      <c r="J79" s="237"/>
      <c r="K79" s="646"/>
      <c r="L79" s="14"/>
    </row>
    <row r="80" spans="1:13">
      <c r="A80" s="638"/>
      <c r="B80" s="639"/>
      <c r="C80" s="260"/>
      <c r="D80" s="645"/>
      <c r="E80" s="587"/>
      <c r="F80" s="270"/>
      <c r="G80" s="270"/>
      <c r="H80" s="237"/>
      <c r="I80" s="150"/>
      <c r="J80" s="150"/>
      <c r="K80" s="646"/>
      <c r="L80" s="14"/>
    </row>
    <row r="81" spans="1:13">
      <c r="A81" s="656"/>
      <c r="B81" s="639"/>
      <c r="C81" s="309"/>
      <c r="D81" s="657"/>
      <c r="E81" s="587"/>
      <c r="F81" s="658"/>
      <c r="G81" s="659"/>
      <c r="H81" s="660"/>
      <c r="I81" s="642"/>
      <c r="J81" s="642"/>
      <c r="K81" s="661"/>
      <c r="L81" s="14"/>
    </row>
    <row r="82" spans="1:13">
      <c r="A82" s="662"/>
      <c r="B82" s="663"/>
      <c r="C82" s="664"/>
      <c r="D82" s="665"/>
      <c r="E82" s="666"/>
      <c r="F82" s="668"/>
      <c r="G82" s="669"/>
      <c r="H82" s="670"/>
      <c r="I82" s="671"/>
      <c r="J82" s="671"/>
      <c r="K82" s="672"/>
      <c r="L82" s="14"/>
    </row>
    <row r="83" spans="1:13">
      <c r="A83" s="705"/>
      <c r="B83" s="706"/>
      <c r="C83" s="707"/>
      <c r="D83" s="708"/>
      <c r="E83" s="709"/>
      <c r="F83" s="710"/>
      <c r="G83" s="711"/>
      <c r="H83" s="712"/>
      <c r="I83" s="707"/>
      <c r="J83" s="713"/>
      <c r="K83" s="714"/>
      <c r="L83" s="265"/>
      <c r="M83" s="681"/>
    </row>
    <row r="84" spans="1:13">
      <c r="A84" s="269"/>
      <c r="B84" s="335" t="s">
        <v>375</v>
      </c>
      <c r="C84" s="217"/>
      <c r="D84" s="129" t="s">
        <v>10</v>
      </c>
      <c r="E84" s="288" t="s">
        <v>243</v>
      </c>
      <c r="F84" s="289" t="s">
        <v>244</v>
      </c>
      <c r="G84" s="290" t="s">
        <v>245</v>
      </c>
      <c r="H84" s="291" t="s">
        <v>246</v>
      </c>
      <c r="I84" s="716" t="s">
        <v>532</v>
      </c>
      <c r="J84" s="22" t="s">
        <v>13</v>
      </c>
      <c r="K84" s="717" t="s">
        <v>162</v>
      </c>
      <c r="L84" s="14"/>
    </row>
    <row r="85" spans="1:13">
      <c r="A85" s="2">
        <v>1</v>
      </c>
      <c r="B85" s="481" t="s">
        <v>101</v>
      </c>
      <c r="C85" s="59"/>
      <c r="D85" s="45" t="s">
        <v>148</v>
      </c>
      <c r="E85" s="545">
        <v>31</v>
      </c>
      <c r="F85" s="59">
        <v>31</v>
      </c>
      <c r="G85" s="223">
        <v>27000</v>
      </c>
      <c r="H85" s="718">
        <v>27000</v>
      </c>
      <c r="I85" s="59"/>
      <c r="J85" s="6"/>
      <c r="K85" s="230" t="s">
        <v>331</v>
      </c>
      <c r="L85" s="340" t="s">
        <v>492</v>
      </c>
    </row>
    <row r="86" spans="1:13">
      <c r="A86" s="116"/>
      <c r="B86" s="172"/>
      <c r="C86" s="116"/>
      <c r="D86" s="118"/>
      <c r="E86" s="719"/>
      <c r="F86" s="255"/>
      <c r="G86" s="323" t="s">
        <v>177</v>
      </c>
      <c r="H86" s="238">
        <f>H85</f>
        <v>27000</v>
      </c>
      <c r="I86" s="720">
        <f>SUM(I85)</f>
        <v>0</v>
      </c>
      <c r="J86" s="116"/>
      <c r="K86" s="606"/>
      <c r="L86" s="14"/>
    </row>
    <row r="87" spans="1:13">
      <c r="A87" s="219" t="s">
        <v>5</v>
      </c>
      <c r="B87" s="177" t="s">
        <v>106</v>
      </c>
      <c r="C87" s="217"/>
      <c r="D87" s="129" t="s">
        <v>10</v>
      </c>
      <c r="E87" s="288" t="s">
        <v>243</v>
      </c>
      <c r="F87" s="289" t="s">
        <v>244</v>
      </c>
      <c r="G87" s="290" t="s">
        <v>245</v>
      </c>
      <c r="H87" s="291" t="s">
        <v>246</v>
      </c>
      <c r="I87" s="716" t="s">
        <v>532</v>
      </c>
      <c r="J87" s="22" t="s">
        <v>13</v>
      </c>
      <c r="K87" s="717" t="s">
        <v>162</v>
      </c>
      <c r="L87" s="14"/>
    </row>
    <row r="88" spans="1:13">
      <c r="A88" s="100">
        <v>1</v>
      </c>
      <c r="B88" s="890" t="s">
        <v>101</v>
      </c>
      <c r="C88" s="144"/>
      <c r="D88" s="203" t="s">
        <v>148</v>
      </c>
      <c r="E88" s="693">
        <v>31</v>
      </c>
      <c r="F88" s="144">
        <v>31</v>
      </c>
      <c r="G88" s="258">
        <v>25000</v>
      </c>
      <c r="H88" s="722">
        <v>25000</v>
      </c>
      <c r="I88" s="59"/>
      <c r="J88" s="723"/>
      <c r="K88" s="230" t="s">
        <v>331</v>
      </c>
      <c r="L88" s="340" t="s">
        <v>492</v>
      </c>
    </row>
    <row r="89" spans="1:13">
      <c r="A89" s="14"/>
      <c r="B89" s="183"/>
      <c r="C89" s="14"/>
      <c r="D89" s="185"/>
      <c r="E89" s="557"/>
      <c r="F89" s="209"/>
      <c r="G89" s="323" t="s">
        <v>177</v>
      </c>
      <c r="H89" s="238">
        <f>H88</f>
        <v>25000</v>
      </c>
      <c r="I89" s="720">
        <f>SUM(I88)</f>
        <v>0</v>
      </c>
      <c r="J89" s="14"/>
      <c r="K89" s="606"/>
      <c r="L89" s="14"/>
    </row>
    <row r="90" spans="1:13">
      <c r="A90" s="219" t="s">
        <v>5</v>
      </c>
      <c r="B90" s="191" t="s">
        <v>122</v>
      </c>
      <c r="C90" s="189"/>
      <c r="D90" s="129" t="s">
        <v>10</v>
      </c>
      <c r="E90" s="288" t="s">
        <v>243</v>
      </c>
      <c r="F90" s="289" t="s">
        <v>244</v>
      </c>
      <c r="G90" s="290" t="s">
        <v>245</v>
      </c>
      <c r="H90" s="291" t="s">
        <v>246</v>
      </c>
      <c r="I90" s="217" t="s">
        <v>532</v>
      </c>
      <c r="J90" s="22" t="s">
        <v>13</v>
      </c>
      <c r="K90" s="717" t="s">
        <v>162</v>
      </c>
      <c r="L90" s="33" t="s">
        <v>470</v>
      </c>
    </row>
    <row r="91" spans="1:13">
      <c r="A91" s="2" t="s">
        <v>114</v>
      </c>
      <c r="B91" s="481" t="s">
        <v>128</v>
      </c>
      <c r="C91" s="59"/>
      <c r="D91" s="45" t="s">
        <v>148</v>
      </c>
      <c r="E91" s="545">
        <v>31</v>
      </c>
      <c r="F91" s="47">
        <v>31</v>
      </c>
      <c r="G91" s="223">
        <v>29000</v>
      </c>
      <c r="H91" s="221">
        <f>G91/E91*F91</f>
        <v>29000</v>
      </c>
      <c r="I91" s="59">
        <v>29000</v>
      </c>
      <c r="J91" s="6"/>
      <c r="K91" s="230"/>
      <c r="L91" s="14"/>
    </row>
    <row r="92" spans="1:13">
      <c r="A92" s="59" t="s">
        <v>151</v>
      </c>
      <c r="B92" s="4" t="s">
        <v>785</v>
      </c>
      <c r="C92" s="59"/>
      <c r="D92" s="45" t="s">
        <v>746</v>
      </c>
      <c r="E92" s="545">
        <v>30</v>
      </c>
      <c r="F92" s="47">
        <v>30</v>
      </c>
      <c r="G92" s="223">
        <v>27900</v>
      </c>
      <c r="H92" s="222">
        <v>27900</v>
      </c>
      <c r="I92" s="6"/>
      <c r="J92" s="6"/>
      <c r="K92" s="726"/>
      <c r="L92" s="14"/>
    </row>
    <row r="93" spans="1:13">
      <c r="A93" s="59" t="s">
        <v>152</v>
      </c>
      <c r="B93" s="384" t="s">
        <v>622</v>
      </c>
      <c r="C93" s="59"/>
      <c r="D93" s="45" t="s">
        <v>828</v>
      </c>
      <c r="E93" s="545">
        <v>180</v>
      </c>
      <c r="F93" s="47"/>
      <c r="G93" s="223">
        <v>127500</v>
      </c>
      <c r="H93" s="222">
        <v>21250</v>
      </c>
      <c r="I93" s="59">
        <v>21250</v>
      </c>
      <c r="J93" s="6"/>
      <c r="K93" s="309"/>
      <c r="L93" s="33" t="s">
        <v>830</v>
      </c>
    </row>
    <row r="94" spans="1:13">
      <c r="A94" s="454" t="s">
        <v>153</v>
      </c>
      <c r="B94" s="815" t="s">
        <v>716</v>
      </c>
      <c r="C94" s="454"/>
      <c r="D94" s="477" t="s">
        <v>734</v>
      </c>
      <c r="E94" s="543">
        <v>180</v>
      </c>
      <c r="F94" s="456"/>
      <c r="G94" s="478"/>
      <c r="H94" s="478">
        <v>25000</v>
      </c>
      <c r="I94" s="454">
        <v>25000</v>
      </c>
      <c r="J94" s="479"/>
      <c r="K94" s="503"/>
      <c r="L94" s="501" t="s">
        <v>718</v>
      </c>
    </row>
    <row r="95" spans="1:13">
      <c r="A95" s="454" t="s">
        <v>132</v>
      </c>
      <c r="B95" s="453" t="s">
        <v>832</v>
      </c>
      <c r="C95" s="454"/>
      <c r="D95" s="477" t="s">
        <v>826</v>
      </c>
      <c r="E95" s="543">
        <v>30</v>
      </c>
      <c r="F95" s="456"/>
      <c r="G95" s="478"/>
      <c r="H95" s="478">
        <v>18000</v>
      </c>
      <c r="I95" s="783">
        <v>18000</v>
      </c>
      <c r="J95" s="479"/>
      <c r="K95" s="503"/>
      <c r="L95" s="501"/>
    </row>
    <row r="96" spans="1:13">
      <c r="A96" s="144" t="s">
        <v>132</v>
      </c>
      <c r="B96" s="892" t="s">
        <v>807</v>
      </c>
      <c r="C96" s="1209" t="s">
        <v>808</v>
      </c>
      <c r="D96" s="1210"/>
      <c r="E96" s="1210"/>
      <c r="F96" s="1211"/>
      <c r="G96" s="323" t="s">
        <v>177</v>
      </c>
      <c r="H96" s="728">
        <f t="shared" ref="H96:I96" si="3">SUM(H91:H95)</f>
        <v>121150</v>
      </c>
      <c r="I96" s="729">
        <f t="shared" si="3"/>
        <v>93250</v>
      </c>
      <c r="J96" s="14"/>
      <c r="K96" s="606"/>
      <c r="L96" s="14"/>
    </row>
    <row r="97" spans="1:12">
      <c r="A97" s="265"/>
      <c r="B97" s="730"/>
      <c r="C97" s="265"/>
      <c r="D97" s="731"/>
      <c r="E97" s="732"/>
      <c r="F97" s="733"/>
      <c r="G97" s="732"/>
      <c r="H97" s="732"/>
      <c r="I97" s="734"/>
      <c r="J97" s="704"/>
      <c r="K97" s="309"/>
      <c r="L97" s="14"/>
    </row>
    <row r="98" spans="1:12">
      <c r="A98" s="265"/>
      <c r="B98" s="730"/>
      <c r="C98" s="265"/>
      <c r="D98" s="731"/>
      <c r="E98" s="732"/>
      <c r="F98" s="733"/>
      <c r="G98" s="732"/>
      <c r="H98" s="732"/>
      <c r="I98" s="734"/>
      <c r="J98" s="704"/>
      <c r="K98" s="309"/>
      <c r="L98" s="14"/>
    </row>
    <row r="99" spans="1:12">
      <c r="A99" s="219" t="s">
        <v>5</v>
      </c>
      <c r="B99" s="342" t="s">
        <v>316</v>
      </c>
      <c r="C99" s="217"/>
      <c r="D99" s="129" t="s">
        <v>10</v>
      </c>
      <c r="E99" s="288" t="s">
        <v>243</v>
      </c>
      <c r="F99" s="289" t="s">
        <v>244</v>
      </c>
      <c r="G99" s="290" t="s">
        <v>245</v>
      </c>
      <c r="H99" s="291" t="s">
        <v>246</v>
      </c>
      <c r="I99" s="217" t="s">
        <v>532</v>
      </c>
      <c r="J99" s="22" t="s">
        <v>13</v>
      </c>
      <c r="K99" s="717" t="s">
        <v>162</v>
      </c>
      <c r="L99" s="287"/>
    </row>
    <row r="100" spans="1:12">
      <c r="A100" s="132" t="s">
        <v>458</v>
      </c>
      <c r="B100" s="775" t="s">
        <v>317</v>
      </c>
      <c r="C100" s="144"/>
      <c r="D100" s="645" t="s">
        <v>762</v>
      </c>
      <c r="E100" s="693">
        <v>90</v>
      </c>
      <c r="F100" s="103">
        <v>28</v>
      </c>
      <c r="G100" s="353">
        <v>28000</v>
      </c>
      <c r="H100" s="353">
        <v>28000</v>
      </c>
      <c r="I100" s="144">
        <v>28000</v>
      </c>
      <c r="J100" s="100"/>
      <c r="K100" s="230"/>
      <c r="L100" s="287"/>
    </row>
    <row r="101" spans="1:12">
      <c r="A101" s="132" t="s">
        <v>459</v>
      </c>
      <c r="B101" s="894" t="s">
        <v>568</v>
      </c>
      <c r="C101" s="100"/>
      <c r="D101" s="203" t="s">
        <v>834</v>
      </c>
      <c r="E101" s="587">
        <v>180</v>
      </c>
      <c r="F101" s="237"/>
      <c r="G101" s="449"/>
      <c r="H101" s="353">
        <v>21250</v>
      </c>
      <c r="I101" s="144">
        <v>21250</v>
      </c>
      <c r="J101" s="144"/>
      <c r="K101" s="309"/>
      <c r="L101" s="325" t="s">
        <v>835</v>
      </c>
    </row>
    <row r="102" spans="1:12">
      <c r="A102" s="132" t="s">
        <v>460</v>
      </c>
      <c r="B102" s="895" t="s">
        <v>722</v>
      </c>
      <c r="C102" s="100"/>
      <c r="D102" s="203" t="s">
        <v>836</v>
      </c>
      <c r="E102" s="587"/>
      <c r="F102" s="237"/>
      <c r="G102" s="355"/>
      <c r="H102" s="473"/>
      <c r="I102" s="144"/>
      <c r="J102" s="144"/>
      <c r="K102" s="309"/>
      <c r="L102" s="325"/>
    </row>
    <row r="103" spans="1:12">
      <c r="A103" s="132"/>
      <c r="B103" s="181"/>
      <c r="C103" s="100"/>
      <c r="D103" s="109"/>
      <c r="E103" s="587"/>
      <c r="F103" s="237"/>
      <c r="G103" s="323" t="s">
        <v>177</v>
      </c>
      <c r="H103" s="238">
        <f t="shared" ref="H103:I103" si="4">SUM(H100:H102)</f>
        <v>49250</v>
      </c>
      <c r="I103" s="736">
        <f t="shared" si="4"/>
        <v>49250</v>
      </c>
      <c r="J103" s="144"/>
      <c r="K103" s="309"/>
      <c r="L103" s="287"/>
    </row>
    <row r="104" spans="1:12">
      <c r="A104" s="265"/>
      <c r="B104" s="730"/>
      <c r="C104" s="265"/>
      <c r="D104" s="731"/>
      <c r="E104" s="732"/>
      <c r="F104" s="733"/>
      <c r="G104" s="737"/>
      <c r="H104" s="703"/>
      <c r="I104" s="734"/>
      <c r="J104" s="704"/>
      <c r="K104" s="734"/>
      <c r="L104" s="14"/>
    </row>
    <row r="105" spans="1:12">
      <c r="A105" s="265"/>
      <c r="B105" s="730"/>
      <c r="C105" s="265"/>
      <c r="D105" s="731"/>
      <c r="E105" s="732"/>
      <c r="F105" s="733"/>
      <c r="G105" s="737"/>
      <c r="H105" s="703"/>
      <c r="I105" s="734"/>
      <c r="J105" s="704"/>
      <c r="K105" s="734"/>
      <c r="L105" s="14"/>
    </row>
    <row r="106" spans="1:12">
      <c r="A106" s="219" t="s">
        <v>5</v>
      </c>
      <c r="B106" s="196" t="s">
        <v>111</v>
      </c>
      <c r="C106" s="189"/>
      <c r="D106" s="514" t="s">
        <v>10</v>
      </c>
      <c r="E106" s="515" t="s">
        <v>243</v>
      </c>
      <c r="F106" s="516" t="s">
        <v>244</v>
      </c>
      <c r="G106" s="738" t="s">
        <v>245</v>
      </c>
      <c r="H106" s="739" t="s">
        <v>246</v>
      </c>
      <c r="I106" s="217" t="s">
        <v>532</v>
      </c>
      <c r="J106" s="740" t="s">
        <v>13</v>
      </c>
      <c r="K106" s="741" t="s">
        <v>162</v>
      </c>
      <c r="L106" s="14"/>
    </row>
    <row r="107" spans="1:12">
      <c r="A107" s="2" t="s">
        <v>114</v>
      </c>
      <c r="B107" s="742" t="s">
        <v>628</v>
      </c>
      <c r="C107" s="59"/>
      <c r="D107" s="45" t="s">
        <v>746</v>
      </c>
      <c r="E107" s="545">
        <v>180</v>
      </c>
      <c r="F107" s="47">
        <v>28</v>
      </c>
      <c r="G107" s="223">
        <v>37800</v>
      </c>
      <c r="H107" s="223">
        <v>6300</v>
      </c>
      <c r="I107" s="59">
        <v>6300</v>
      </c>
      <c r="J107" s="6"/>
      <c r="K107" s="230"/>
      <c r="L107" s="33" t="s">
        <v>724</v>
      </c>
    </row>
    <row r="108" spans="1:12">
      <c r="A108" s="6" t="s">
        <v>119</v>
      </c>
      <c r="B108" s="897" t="s">
        <v>673</v>
      </c>
      <c r="C108" s="59"/>
      <c r="D108" s="477" t="s">
        <v>822</v>
      </c>
      <c r="E108" s="545">
        <v>90</v>
      </c>
      <c r="F108" s="47"/>
      <c r="G108" s="223"/>
      <c r="H108" s="223">
        <v>5400</v>
      </c>
      <c r="I108" s="697"/>
      <c r="J108" s="6"/>
      <c r="K108" s="230" t="s">
        <v>331</v>
      </c>
      <c r="L108" s="885" t="s">
        <v>726</v>
      </c>
    </row>
    <row r="109" spans="1:12">
      <c r="A109" s="192" t="s">
        <v>727</v>
      </c>
      <c r="B109" s="899" t="s">
        <v>728</v>
      </c>
      <c r="C109" s="144">
        <v>89245593366</v>
      </c>
      <c r="D109" s="118"/>
      <c r="E109" s="719"/>
      <c r="F109" s="255"/>
      <c r="G109" s="236" t="s">
        <v>177</v>
      </c>
      <c r="H109" s="522">
        <f t="shared" ref="H109:I109" si="5">SUM(H107:H108)</f>
        <v>11700</v>
      </c>
      <c r="I109" s="729">
        <f t="shared" si="5"/>
        <v>6300</v>
      </c>
      <c r="J109" s="116"/>
      <c r="K109" s="642"/>
      <c r="L109" s="33"/>
    </row>
    <row r="110" spans="1:12">
      <c r="A110" s="324"/>
      <c r="B110" s="887"/>
      <c r="C110" s="14"/>
      <c r="D110" s="185"/>
      <c r="E110" s="557"/>
      <c r="F110" s="209"/>
      <c r="G110" s="209"/>
      <c r="H110" s="14"/>
      <c r="I110" s="14"/>
      <c r="J110" s="14"/>
      <c r="K110" s="743"/>
      <c r="L110" s="14"/>
    </row>
    <row r="111" spans="1:12">
      <c r="A111" s="889" t="s">
        <v>825</v>
      </c>
      <c r="C111" s="499"/>
      <c r="E111" s="287"/>
      <c r="I111" s="499"/>
      <c r="K111" s="287"/>
      <c r="L111" s="287"/>
    </row>
    <row r="112" spans="1:12">
      <c r="A112" s="357" t="s">
        <v>5</v>
      </c>
      <c r="B112" s="358" t="s">
        <v>319</v>
      </c>
      <c r="C112" s="510"/>
      <c r="D112" s="360" t="s">
        <v>10</v>
      </c>
      <c r="E112" s="361" t="s">
        <v>243</v>
      </c>
      <c r="F112" s="362" t="s">
        <v>244</v>
      </c>
      <c r="G112" s="362" t="s">
        <v>245</v>
      </c>
      <c r="H112" s="363" t="s">
        <v>246</v>
      </c>
      <c r="I112" s="744" t="s">
        <v>532</v>
      </c>
      <c r="J112" s="363" t="s">
        <v>13</v>
      </c>
      <c r="K112" s="745" t="s">
        <v>162</v>
      </c>
      <c r="L112" s="287"/>
    </row>
    <row r="113" spans="1:12">
      <c r="A113" s="365" t="s">
        <v>676</v>
      </c>
      <c r="B113" s="902" t="s">
        <v>317</v>
      </c>
      <c r="C113" s="511"/>
      <c r="D113" s="457" t="s">
        <v>841</v>
      </c>
      <c r="E113" s="746">
        <v>90</v>
      </c>
      <c r="F113" s="747">
        <v>28</v>
      </c>
      <c r="G113" s="547">
        <v>12500</v>
      </c>
      <c r="H113" s="547">
        <v>12500</v>
      </c>
      <c r="I113" s="748">
        <v>12500</v>
      </c>
      <c r="J113" s="7"/>
      <c r="K113" s="230"/>
      <c r="L113" s="325"/>
    </row>
    <row r="114" spans="1:12">
      <c r="A114" s="370"/>
      <c r="B114" s="371"/>
      <c r="C114" s="511"/>
      <c r="D114" s="371"/>
      <c r="E114" s="749"/>
      <c r="F114" s="368"/>
      <c r="G114" s="549"/>
      <c r="H114" s="547"/>
      <c r="I114" s="750"/>
      <c r="J114" s="7"/>
      <c r="K114" s="752"/>
      <c r="L114" s="287"/>
    </row>
    <row r="115" spans="1:12">
      <c r="A115" s="365" t="s">
        <v>677</v>
      </c>
      <c r="B115" s="790" t="s">
        <v>660</v>
      </c>
      <c r="C115" s="755"/>
      <c r="D115" s="756" t="s">
        <v>813</v>
      </c>
      <c r="E115" s="758">
        <v>90</v>
      </c>
      <c r="F115" s="759"/>
      <c r="G115" s="761"/>
      <c r="H115" s="762">
        <v>27000</v>
      </c>
      <c r="I115" s="753">
        <v>27000</v>
      </c>
      <c r="J115" s="369"/>
      <c r="K115" s="230"/>
      <c r="L115" s="325"/>
    </row>
    <row r="116" spans="1:12">
      <c r="A116" s="753"/>
      <c r="B116" s="757"/>
      <c r="C116" s="755"/>
      <c r="D116" s="235"/>
      <c r="E116" s="652"/>
      <c r="F116" s="653"/>
      <c r="G116" s="764" t="s">
        <v>177</v>
      </c>
      <c r="H116" s="765">
        <f t="shared" ref="H116:I116" si="6">SUM(H113:H115)</f>
        <v>39500</v>
      </c>
      <c r="I116" s="766">
        <f t="shared" si="6"/>
        <v>39500</v>
      </c>
      <c r="J116" s="369"/>
      <c r="K116" s="767"/>
    </row>
    <row r="117" spans="1:12">
      <c r="C117" s="499"/>
      <c r="E117" s="287"/>
      <c r="I117" s="499"/>
      <c r="K117" s="287"/>
      <c r="L117" s="768"/>
    </row>
    <row r="118" spans="1:12">
      <c r="C118" s="499"/>
      <c r="E118" s="287"/>
      <c r="I118" s="499"/>
      <c r="K118" s="287"/>
    </row>
    <row r="119" spans="1:12">
      <c r="A119" s="219" t="s">
        <v>5</v>
      </c>
      <c r="B119" s="342" t="s">
        <v>323</v>
      </c>
      <c r="C119" s="187"/>
      <c r="D119" s="129" t="s">
        <v>10</v>
      </c>
      <c r="E119" s="288" t="s">
        <v>243</v>
      </c>
      <c r="F119" s="289" t="s">
        <v>244</v>
      </c>
      <c r="G119" s="290" t="s">
        <v>245</v>
      </c>
      <c r="H119" s="291" t="s">
        <v>246</v>
      </c>
      <c r="I119" s="217" t="s">
        <v>532</v>
      </c>
      <c r="J119" s="22" t="s">
        <v>13</v>
      </c>
      <c r="K119" s="717" t="s">
        <v>162</v>
      </c>
    </row>
    <row r="120" spans="1:12">
      <c r="A120" s="132" t="s">
        <v>114</v>
      </c>
      <c r="B120" s="481" t="s">
        <v>681</v>
      </c>
      <c r="C120" s="59"/>
      <c r="D120" s="51" t="s">
        <v>829</v>
      </c>
      <c r="E120" s="545">
        <v>90</v>
      </c>
      <c r="F120" s="47"/>
      <c r="G120" s="223">
        <v>57000</v>
      </c>
      <c r="H120" s="222">
        <v>19000</v>
      </c>
      <c r="I120" s="59"/>
      <c r="J120" s="6"/>
      <c r="K120" s="230" t="s">
        <v>331</v>
      </c>
      <c r="L120" s="1" t="s">
        <v>831</v>
      </c>
    </row>
    <row r="121" spans="1:12">
      <c r="A121" s="482" t="s">
        <v>119</v>
      </c>
      <c r="B121" s="481"/>
      <c r="C121" s="454"/>
      <c r="D121" s="454"/>
      <c r="E121" s="543"/>
      <c r="F121" s="456"/>
      <c r="G121" s="478"/>
      <c r="H121" s="498"/>
      <c r="I121" s="727"/>
      <c r="J121" s="479"/>
      <c r="K121" s="503"/>
      <c r="L121" s="521"/>
    </row>
    <row r="122" spans="1:12">
      <c r="A122" s="132"/>
      <c r="B122" s="29"/>
      <c r="C122" s="6"/>
      <c r="D122" s="8"/>
      <c r="E122" s="675"/>
      <c r="F122" s="221"/>
      <c r="G122" s="236" t="s">
        <v>177</v>
      </c>
      <c r="H122" s="264">
        <f t="shared" ref="H122:I122" si="7">SUM(H120:H121)</f>
        <v>19000</v>
      </c>
      <c r="I122" s="770">
        <f t="shared" si="7"/>
        <v>0</v>
      </c>
      <c r="J122" s="59"/>
      <c r="K122" s="309"/>
    </row>
    <row r="123" spans="1:12">
      <c r="C123" s="499"/>
      <c r="E123" s="287"/>
      <c r="I123" s="499"/>
      <c r="K123" s="287"/>
    </row>
    <row r="124" spans="1:12">
      <c r="C124" s="499"/>
      <c r="E124" s="287"/>
      <c r="I124" s="499"/>
      <c r="K124" s="287"/>
    </row>
    <row r="125" spans="1:12">
      <c r="A125" s="219" t="s">
        <v>5</v>
      </c>
      <c r="B125" s="342" t="s">
        <v>325</v>
      </c>
      <c r="C125" s="187"/>
      <c r="D125" s="129" t="s">
        <v>10</v>
      </c>
      <c r="E125" s="288" t="s">
        <v>243</v>
      </c>
      <c r="F125" s="289" t="s">
        <v>244</v>
      </c>
      <c r="G125" s="290" t="s">
        <v>245</v>
      </c>
      <c r="H125" s="291" t="s">
        <v>246</v>
      </c>
      <c r="I125" s="217" t="s">
        <v>532</v>
      </c>
      <c r="J125" s="22" t="s">
        <v>13</v>
      </c>
      <c r="K125" s="717" t="s">
        <v>162</v>
      </c>
    </row>
    <row r="126" spans="1:12">
      <c r="A126" s="452" t="s">
        <v>114</v>
      </c>
      <c r="B126" s="481" t="s">
        <v>134</v>
      </c>
      <c r="C126" s="454"/>
      <c r="D126" s="477" t="s">
        <v>148</v>
      </c>
      <c r="E126" s="543">
        <v>30</v>
      </c>
      <c r="F126" s="456">
        <v>30</v>
      </c>
      <c r="G126" s="478">
        <v>17500</v>
      </c>
      <c r="H126" s="478">
        <v>17500</v>
      </c>
      <c r="I126" s="454">
        <v>17500</v>
      </c>
      <c r="J126" s="454"/>
      <c r="K126" s="503" t="s">
        <v>210</v>
      </c>
      <c r="L126" s="509"/>
    </row>
    <row r="127" spans="1:12">
      <c r="A127" s="2" t="s">
        <v>119</v>
      </c>
      <c r="B127" s="481" t="s">
        <v>134</v>
      </c>
      <c r="C127" s="59"/>
      <c r="D127" s="59" t="s">
        <v>148</v>
      </c>
      <c r="E127" s="545">
        <v>30</v>
      </c>
      <c r="F127" s="47">
        <v>30</v>
      </c>
      <c r="G127" s="223">
        <v>17500</v>
      </c>
      <c r="H127" s="222">
        <v>17500</v>
      </c>
      <c r="I127" s="697">
        <v>17500</v>
      </c>
      <c r="J127" s="59"/>
      <c r="K127" s="230" t="s">
        <v>210</v>
      </c>
    </row>
    <row r="128" spans="1:12">
      <c r="A128" s="132"/>
      <c r="B128" s="29"/>
      <c r="C128" s="6"/>
      <c r="D128" s="8"/>
      <c r="E128" s="675"/>
      <c r="F128" s="221"/>
      <c r="G128" s="236" t="s">
        <v>177</v>
      </c>
      <c r="H128" s="264">
        <f t="shared" ref="H128:I128" si="8">SUM(H126:H127)</f>
        <v>35000</v>
      </c>
      <c r="I128" s="770">
        <f t="shared" si="8"/>
        <v>35000</v>
      </c>
      <c r="J128" s="59"/>
      <c r="K128" s="309"/>
    </row>
    <row r="129" spans="1:12">
      <c r="C129" s="499"/>
      <c r="E129" s="287"/>
      <c r="I129" s="499"/>
      <c r="K129" s="287"/>
    </row>
    <row r="130" spans="1:12">
      <c r="C130" s="499"/>
      <c r="E130" s="287"/>
      <c r="I130" s="499"/>
      <c r="K130" s="287"/>
    </row>
    <row r="131" spans="1:12">
      <c r="A131" s="219" t="s">
        <v>5</v>
      </c>
      <c r="B131" s="342" t="s">
        <v>326</v>
      </c>
      <c r="C131" s="187"/>
      <c r="D131" s="129" t="s">
        <v>10</v>
      </c>
      <c r="E131" s="288" t="s">
        <v>243</v>
      </c>
      <c r="F131" s="289" t="s">
        <v>244</v>
      </c>
      <c r="G131" s="290" t="s">
        <v>245</v>
      </c>
      <c r="H131" s="291" t="s">
        <v>246</v>
      </c>
      <c r="I131" s="217" t="s">
        <v>532</v>
      </c>
      <c r="J131" s="22" t="s">
        <v>13</v>
      </c>
      <c r="K131" s="717" t="s">
        <v>162</v>
      </c>
    </row>
    <row r="132" spans="1:12">
      <c r="A132" s="2" t="s">
        <v>114</v>
      </c>
      <c r="B132" s="481" t="s">
        <v>407</v>
      </c>
      <c r="C132" s="59"/>
      <c r="D132" s="51" t="s">
        <v>148</v>
      </c>
      <c r="E132" s="545">
        <v>30</v>
      </c>
      <c r="F132" s="47">
        <v>30</v>
      </c>
      <c r="G132" s="223">
        <v>21250</v>
      </c>
      <c r="H132" s="223">
        <v>21250</v>
      </c>
      <c r="I132" s="59">
        <v>21250</v>
      </c>
      <c r="J132" s="6"/>
      <c r="K132" s="230"/>
    </row>
    <row r="133" spans="1:12">
      <c r="A133" s="132" t="s">
        <v>119</v>
      </c>
      <c r="B133" s="4" t="s">
        <v>644</v>
      </c>
      <c r="C133" s="6"/>
      <c r="D133" s="45" t="s">
        <v>623</v>
      </c>
      <c r="E133" s="675">
        <v>30</v>
      </c>
      <c r="F133" s="222">
        <v>10</v>
      </c>
      <c r="G133" s="564">
        <v>10000</v>
      </c>
      <c r="H133" s="260">
        <v>10000</v>
      </c>
      <c r="I133" s="697">
        <v>10000</v>
      </c>
      <c r="J133" s="59"/>
      <c r="K133" s="309"/>
    </row>
    <row r="134" spans="1:12">
      <c r="A134" s="235"/>
      <c r="B134" s="235"/>
      <c r="C134" s="771"/>
      <c r="D134" s="235"/>
      <c r="E134" s="610"/>
      <c r="F134" s="235"/>
      <c r="G134" s="323" t="s">
        <v>177</v>
      </c>
      <c r="H134" s="772">
        <f t="shared" ref="H134:I134" si="9">SUM(H132:H133)</f>
        <v>31250</v>
      </c>
      <c r="I134" s="773">
        <f t="shared" si="9"/>
        <v>31250</v>
      </c>
      <c r="J134" s="774"/>
      <c r="K134" s="610"/>
    </row>
    <row r="135" spans="1:12">
      <c r="C135" s="499"/>
      <c r="E135" s="287"/>
      <c r="I135" s="499"/>
      <c r="K135" s="287"/>
    </row>
    <row r="136" spans="1:12">
      <c r="E136" s="287"/>
      <c r="I136" s="499"/>
      <c r="K136" s="287"/>
    </row>
    <row r="137" spans="1:12">
      <c r="A137" s="219" t="s">
        <v>5</v>
      </c>
      <c r="B137" s="342" t="s">
        <v>437</v>
      </c>
      <c r="C137" s="187"/>
      <c r="D137" s="129" t="s">
        <v>10</v>
      </c>
      <c r="E137" s="288" t="s">
        <v>243</v>
      </c>
      <c r="F137" s="289" t="s">
        <v>244</v>
      </c>
      <c r="G137" s="290" t="s">
        <v>245</v>
      </c>
      <c r="H137" s="291" t="s">
        <v>246</v>
      </c>
      <c r="I137" s="217" t="s">
        <v>532</v>
      </c>
      <c r="J137" s="22" t="s">
        <v>13</v>
      </c>
      <c r="K137" s="717" t="s">
        <v>162</v>
      </c>
      <c r="L137" s="14"/>
    </row>
    <row r="138" spans="1:12">
      <c r="A138" s="463" t="s">
        <v>114</v>
      </c>
      <c r="B138" s="907" t="s">
        <v>850</v>
      </c>
      <c r="C138" s="463"/>
      <c r="D138" s="614" t="s">
        <v>746</v>
      </c>
      <c r="E138" s="776">
        <v>90</v>
      </c>
      <c r="F138" s="777">
        <v>30</v>
      </c>
      <c r="G138" s="778"/>
      <c r="H138" s="778">
        <v>19000</v>
      </c>
      <c r="I138" s="463">
        <v>19000</v>
      </c>
      <c r="J138" s="779"/>
      <c r="K138" s="503" t="s">
        <v>852</v>
      </c>
      <c r="L138" s="504" t="s">
        <v>853</v>
      </c>
    </row>
    <row r="139" spans="1:12">
      <c r="A139" s="260" t="s">
        <v>119</v>
      </c>
      <c r="B139" s="775" t="s">
        <v>854</v>
      </c>
      <c r="C139" s="260"/>
      <c r="D139" s="260" t="s">
        <v>751</v>
      </c>
      <c r="E139" s="587">
        <v>180</v>
      </c>
      <c r="F139" s="262">
        <v>10</v>
      </c>
      <c r="G139" s="270"/>
      <c r="H139" s="270">
        <v>19000</v>
      </c>
      <c r="I139" s="794">
        <v>19000</v>
      </c>
      <c r="J139" s="150"/>
      <c r="K139" s="309"/>
      <c r="L139" s="781" t="s">
        <v>520</v>
      </c>
    </row>
    <row r="140" spans="1:12">
      <c r="A140" s="150"/>
      <c r="B140" s="639"/>
      <c r="C140" s="260"/>
      <c r="D140" s="260"/>
      <c r="E140" s="587"/>
      <c r="F140" s="262"/>
      <c r="G140" s="270"/>
      <c r="H140" s="237"/>
      <c r="I140" s="780"/>
      <c r="J140" s="150"/>
      <c r="K140" s="309"/>
      <c r="L140" s="482"/>
    </row>
    <row r="141" spans="1:12">
      <c r="A141" s="235"/>
      <c r="B141" s="4"/>
      <c r="C141" s="6"/>
      <c r="D141" s="45"/>
      <c r="E141" s="675"/>
      <c r="F141" s="221"/>
      <c r="G141" s="236" t="s">
        <v>177</v>
      </c>
      <c r="H141" s="264">
        <f t="shared" ref="H141:I141" si="10">SUM(H138:H140)</f>
        <v>38000</v>
      </c>
      <c r="I141" s="770">
        <f t="shared" si="10"/>
        <v>38000</v>
      </c>
      <c r="J141" s="59"/>
      <c r="K141" s="309"/>
      <c r="L141" s="341"/>
    </row>
    <row r="142" spans="1:12">
      <c r="A142" s="14"/>
      <c r="C142" s="499"/>
      <c r="E142" s="287"/>
      <c r="F142" s="286"/>
      <c r="G142" s="286"/>
      <c r="I142" s="499"/>
      <c r="K142" s="287"/>
    </row>
    <row r="143" spans="1:12">
      <c r="A143" s="219" t="s">
        <v>5</v>
      </c>
      <c r="B143" s="342" t="s">
        <v>441</v>
      </c>
      <c r="C143" s="187"/>
      <c r="D143" s="129" t="s">
        <v>10</v>
      </c>
      <c r="E143" s="288" t="s">
        <v>243</v>
      </c>
      <c r="F143" s="289" t="s">
        <v>244</v>
      </c>
      <c r="G143" s="290" t="s">
        <v>245</v>
      </c>
      <c r="H143" s="291" t="s">
        <v>246</v>
      </c>
      <c r="I143" s="217" t="s">
        <v>532</v>
      </c>
      <c r="J143" s="22" t="s">
        <v>13</v>
      </c>
      <c r="K143" s="717" t="s">
        <v>162</v>
      </c>
      <c r="L143" s="14"/>
    </row>
    <row r="144" spans="1:12">
      <c r="A144" s="132" t="s">
        <v>114</v>
      </c>
      <c r="B144" s="481" t="s">
        <v>649</v>
      </c>
      <c r="C144" s="59"/>
      <c r="D144" s="51" t="s">
        <v>756</v>
      </c>
      <c r="E144" s="545">
        <v>180</v>
      </c>
      <c r="F144" s="47">
        <v>7</v>
      </c>
      <c r="G144" s="223">
        <v>90000</v>
      </c>
      <c r="H144" s="222">
        <v>15000</v>
      </c>
      <c r="I144" s="59">
        <v>15000</v>
      </c>
      <c r="J144" s="6"/>
      <c r="K144" s="230"/>
      <c r="L144" s="352" t="s">
        <v>733</v>
      </c>
    </row>
    <row r="145" spans="1:12">
      <c r="A145" s="452" t="s">
        <v>119</v>
      </c>
      <c r="B145" s="481" t="s">
        <v>444</v>
      </c>
      <c r="C145" s="454"/>
      <c r="D145" s="454" t="s">
        <v>148</v>
      </c>
      <c r="E145" s="543">
        <v>365</v>
      </c>
      <c r="F145" s="456">
        <v>30</v>
      </c>
      <c r="G145" s="478">
        <v>19000</v>
      </c>
      <c r="H145" s="478">
        <v>19000</v>
      </c>
      <c r="I145" s="783">
        <v>19000</v>
      </c>
      <c r="J145" s="479"/>
      <c r="K145" s="503"/>
      <c r="L145" s="132"/>
    </row>
    <row r="146" spans="1:12">
      <c r="A146" s="132"/>
      <c r="B146" s="4"/>
      <c r="C146" s="6"/>
      <c r="D146" s="45"/>
      <c r="E146" s="675"/>
      <c r="F146" s="221"/>
      <c r="G146" s="236" t="s">
        <v>177</v>
      </c>
      <c r="H146" s="264">
        <f t="shared" ref="H146:I146" si="11">SUM(H144:H145)</f>
        <v>34000</v>
      </c>
      <c r="I146" s="770">
        <f t="shared" si="11"/>
        <v>34000</v>
      </c>
      <c r="J146" s="59"/>
      <c r="K146" s="309"/>
      <c r="L146" s="341"/>
    </row>
    <row r="147" spans="1:12">
      <c r="A147" s="14"/>
      <c r="C147" s="499"/>
      <c r="E147" s="287"/>
      <c r="F147" s="286"/>
      <c r="G147" s="286"/>
      <c r="I147" s="499"/>
      <c r="K147" s="287"/>
    </row>
    <row r="148" spans="1:12">
      <c r="A148" s="219" t="s">
        <v>5</v>
      </c>
      <c r="B148" s="342" t="s">
        <v>445</v>
      </c>
      <c r="C148" s="187"/>
      <c r="D148" s="129" t="s">
        <v>10</v>
      </c>
      <c r="E148" s="288" t="s">
        <v>243</v>
      </c>
      <c r="F148" s="289" t="s">
        <v>244</v>
      </c>
      <c r="G148" s="290" t="s">
        <v>245</v>
      </c>
      <c r="H148" s="291" t="s">
        <v>246</v>
      </c>
      <c r="I148" s="217" t="s">
        <v>532</v>
      </c>
      <c r="J148" s="22" t="s">
        <v>13</v>
      </c>
      <c r="K148" s="717" t="s">
        <v>162</v>
      </c>
      <c r="L148" s="14"/>
    </row>
    <row r="149" spans="1:12">
      <c r="A149" s="2" t="s">
        <v>114</v>
      </c>
      <c r="B149" s="813" t="s">
        <v>446</v>
      </c>
      <c r="C149" s="850"/>
      <c r="D149" s="911" t="s">
        <v>822</v>
      </c>
      <c r="E149" s="912">
        <v>30</v>
      </c>
      <c r="F149" s="913">
        <v>28</v>
      </c>
      <c r="G149" s="914">
        <v>22500</v>
      </c>
      <c r="H149" s="914">
        <v>22500</v>
      </c>
      <c r="I149" s="850"/>
      <c r="J149" s="915"/>
      <c r="K149" s="870"/>
      <c r="L149" s="916" t="s">
        <v>862</v>
      </c>
    </row>
    <row r="150" spans="1:12">
      <c r="A150" s="452" t="s">
        <v>119</v>
      </c>
      <c r="B150" s="481" t="s">
        <v>695</v>
      </c>
      <c r="C150" s="454"/>
      <c r="D150" s="454" t="s">
        <v>840</v>
      </c>
      <c r="E150" s="543">
        <v>30</v>
      </c>
      <c r="F150" s="456"/>
      <c r="G150" s="478">
        <v>19000</v>
      </c>
      <c r="H150" s="478">
        <v>19000</v>
      </c>
      <c r="I150" s="783">
        <v>19000</v>
      </c>
      <c r="J150" s="479"/>
      <c r="K150" s="503"/>
      <c r="L150" s="132" t="s">
        <v>736</v>
      </c>
    </row>
    <row r="151" spans="1:12">
      <c r="A151" s="132"/>
      <c r="B151" s="4"/>
      <c r="C151" s="6"/>
      <c r="D151" s="45"/>
      <c r="E151" s="675"/>
      <c r="F151" s="221"/>
      <c r="G151" s="236" t="s">
        <v>177</v>
      </c>
      <c r="H151" s="264">
        <f t="shared" ref="H151:I151" si="12">SUM(H149:H150)</f>
        <v>41500</v>
      </c>
      <c r="I151" s="785">
        <f t="shared" si="12"/>
        <v>19000</v>
      </c>
      <c r="J151" s="59"/>
      <c r="K151" s="309"/>
      <c r="L151" s="341"/>
    </row>
    <row r="152" spans="1:12">
      <c r="A152" s="14"/>
      <c r="C152" s="499"/>
      <c r="E152" s="287"/>
      <c r="F152" s="286"/>
      <c r="G152" s="286"/>
      <c r="I152" s="499"/>
      <c r="K152" s="287"/>
    </row>
    <row r="153" spans="1:12">
      <c r="E153" s="287"/>
      <c r="I153" s="499"/>
      <c r="K153" s="287"/>
    </row>
    <row r="154" spans="1:12">
      <c r="E154" s="287"/>
      <c r="H154" s="786" t="s">
        <v>668</v>
      </c>
      <c r="I154" s="787">
        <f>SUM(I151+I146+I141+I134+I128+I122+I116+I109+I103+I96+I89+I86+I73+I47+I23)</f>
        <v>895783</v>
      </c>
      <c r="K154" s="287"/>
    </row>
    <row r="155" spans="1:12">
      <c r="E155" s="287"/>
      <c r="I155" s="499"/>
      <c r="K155" s="287"/>
    </row>
    <row r="156" spans="1:12">
      <c r="E156" s="287"/>
      <c r="H156" s="788" t="s">
        <v>671</v>
      </c>
      <c r="I156" s="789">
        <f>SUM(H151+H146+H141+H134+H128+H122+H116+H109+H103+H96+H89+H86+H73+H47+H23)</f>
        <v>1146140</v>
      </c>
      <c r="K156" s="287"/>
    </row>
    <row r="157" spans="1:12">
      <c r="E157" s="287"/>
      <c r="I157" s="499"/>
      <c r="K157" s="287"/>
    </row>
    <row r="158" spans="1:12">
      <c r="E158" s="287"/>
      <c r="I158" s="499"/>
      <c r="J158" s="1" t="s">
        <v>199</v>
      </c>
      <c r="K158" s="287"/>
    </row>
  </sheetData>
  <mergeCells count="1">
    <mergeCell ref="C96:F9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Z166"/>
  <sheetViews>
    <sheetView workbookViewId="0"/>
  </sheetViews>
  <sheetFormatPr defaultColWidth="12.5703125" defaultRowHeight="15.75" customHeight="1"/>
  <cols>
    <col min="1" max="1" width="12" customWidth="1"/>
    <col min="2" max="2" width="27.42578125" customWidth="1"/>
    <col min="4" max="4" width="21.42578125" customWidth="1"/>
    <col min="11" max="11" width="20.28515625" customWidth="1"/>
    <col min="12" max="12" width="22.7109375" customWidth="1"/>
  </cols>
  <sheetData>
    <row r="1" spans="1:26">
      <c r="A1" s="1">
        <v>3</v>
      </c>
      <c r="C1" s="499"/>
      <c r="E1" s="287"/>
      <c r="I1" s="499"/>
      <c r="K1" s="287"/>
    </row>
    <row r="2" spans="1:26">
      <c r="C2" s="499"/>
      <c r="E2" s="287"/>
      <c r="I2" s="499"/>
      <c r="K2" s="287"/>
    </row>
    <row r="3" spans="1:26">
      <c r="A3" s="523" t="s">
        <v>5</v>
      </c>
      <c r="B3" s="524" t="s">
        <v>7</v>
      </c>
      <c r="C3" s="525" t="s">
        <v>159</v>
      </c>
      <c r="D3" s="526" t="s">
        <v>10</v>
      </c>
      <c r="E3" s="527" t="s">
        <v>243</v>
      </c>
      <c r="F3" s="528" t="s">
        <v>244</v>
      </c>
      <c r="G3" s="528" t="s">
        <v>245</v>
      </c>
      <c r="H3" s="529" t="s">
        <v>246</v>
      </c>
      <c r="I3" s="525" t="s">
        <v>532</v>
      </c>
      <c r="J3" s="530" t="s">
        <v>13</v>
      </c>
      <c r="K3" s="531" t="s">
        <v>162</v>
      </c>
      <c r="L3" s="14"/>
    </row>
    <row r="4" spans="1:26">
      <c r="A4" s="219"/>
      <c r="B4" s="4"/>
      <c r="C4" s="59"/>
      <c r="D4" s="45"/>
      <c r="E4" s="532"/>
      <c r="F4" s="220"/>
      <c r="G4" s="533"/>
      <c r="H4" s="533"/>
      <c r="I4" s="223"/>
      <c r="J4" s="223"/>
      <c r="K4" s="534"/>
      <c r="L4" s="33"/>
    </row>
    <row r="5" spans="1:26">
      <c r="A5" s="269">
        <v>1</v>
      </c>
      <c r="B5" s="617" t="s">
        <v>29</v>
      </c>
      <c r="C5" s="619">
        <v>7</v>
      </c>
      <c r="D5" s="621" t="s">
        <v>750</v>
      </c>
      <c r="E5" s="622" t="s">
        <v>534</v>
      </c>
      <c r="F5" s="619">
        <v>28</v>
      </c>
      <c r="G5" s="623">
        <v>32000</v>
      </c>
      <c r="H5" s="623">
        <v>32000</v>
      </c>
      <c r="I5" s="619">
        <v>32000</v>
      </c>
      <c r="J5" s="619"/>
      <c r="K5" s="622" t="s">
        <v>535</v>
      </c>
      <c r="L5" s="14"/>
    </row>
    <row r="6" spans="1:26">
      <c r="A6" s="269">
        <v>2</v>
      </c>
      <c r="B6" s="625" t="s">
        <v>20</v>
      </c>
      <c r="C6" s="619"/>
      <c r="D6" s="627"/>
      <c r="E6" s="622"/>
      <c r="F6" s="619"/>
      <c r="G6" s="623"/>
      <c r="H6" s="623"/>
      <c r="I6" s="619"/>
      <c r="J6" s="619"/>
      <c r="K6" s="622" t="s">
        <v>118</v>
      </c>
      <c r="L6" s="324"/>
    </row>
    <row r="7" spans="1:26">
      <c r="A7" s="269">
        <v>3</v>
      </c>
      <c r="B7" s="617" t="s">
        <v>340</v>
      </c>
      <c r="C7" s="621">
        <v>5</v>
      </c>
      <c r="D7" s="621" t="s">
        <v>751</v>
      </c>
      <c r="E7" s="629" t="s">
        <v>534</v>
      </c>
      <c r="F7" s="621">
        <v>30</v>
      </c>
      <c r="G7" s="623">
        <v>210000</v>
      </c>
      <c r="H7" s="623">
        <v>17500</v>
      </c>
      <c r="I7" s="621">
        <v>17500</v>
      </c>
      <c r="J7" s="621"/>
      <c r="K7" s="629" t="s">
        <v>535</v>
      </c>
      <c r="L7" s="539"/>
      <c r="M7" s="509"/>
    </row>
    <row r="8" spans="1:26">
      <c r="A8" s="269">
        <v>4</v>
      </c>
      <c r="B8" s="625" t="s">
        <v>536</v>
      </c>
      <c r="C8" s="619">
        <v>5</v>
      </c>
      <c r="D8" s="619" t="s">
        <v>18</v>
      </c>
      <c r="E8" s="622"/>
      <c r="F8" s="619"/>
      <c r="G8" s="623"/>
      <c r="H8" s="623"/>
      <c r="I8" s="619"/>
      <c r="J8" s="619"/>
      <c r="K8" s="622" t="s">
        <v>118</v>
      </c>
      <c r="L8" s="324"/>
    </row>
    <row r="9" spans="1:26">
      <c r="A9" s="269">
        <v>5</v>
      </c>
      <c r="B9" s="784" t="s">
        <v>538</v>
      </c>
      <c r="C9" s="619">
        <v>5</v>
      </c>
      <c r="D9" s="619" t="s">
        <v>750</v>
      </c>
      <c r="E9" s="622">
        <v>60</v>
      </c>
      <c r="F9" s="619">
        <v>27</v>
      </c>
      <c r="G9" s="623">
        <v>59200</v>
      </c>
      <c r="H9" s="623">
        <v>29600</v>
      </c>
      <c r="I9" s="619">
        <v>29600</v>
      </c>
      <c r="J9" s="619"/>
      <c r="K9" s="622" t="s">
        <v>761</v>
      </c>
      <c r="L9" s="324"/>
    </row>
    <row r="10" spans="1:26">
      <c r="A10" s="837">
        <v>6</v>
      </c>
      <c r="B10" s="823" t="s">
        <v>749</v>
      </c>
      <c r="C10" s="838">
        <v>5</v>
      </c>
      <c r="D10" s="839" t="s">
        <v>750</v>
      </c>
      <c r="E10" s="840">
        <v>90</v>
      </c>
      <c r="F10" s="838">
        <v>30</v>
      </c>
      <c r="G10" s="841">
        <v>29600</v>
      </c>
      <c r="H10" s="841">
        <v>29600</v>
      </c>
      <c r="I10" s="838">
        <v>29600</v>
      </c>
      <c r="J10" s="838"/>
      <c r="K10" s="840" t="s">
        <v>748</v>
      </c>
      <c r="L10" s="176"/>
      <c r="M10" s="842"/>
      <c r="N10" s="842"/>
      <c r="O10" s="842"/>
      <c r="P10" s="842"/>
      <c r="Q10" s="842"/>
      <c r="R10" s="842"/>
      <c r="S10" s="842"/>
      <c r="T10" s="842"/>
      <c r="U10" s="842"/>
      <c r="V10" s="842"/>
      <c r="W10" s="842"/>
      <c r="X10" s="842"/>
      <c r="Y10" s="842"/>
      <c r="Z10" s="842"/>
    </row>
    <row r="11" spans="1:26">
      <c r="A11" s="269">
        <v>7</v>
      </c>
      <c r="B11" s="849" t="s">
        <v>763</v>
      </c>
      <c r="C11" s="825">
        <v>5</v>
      </c>
      <c r="D11" s="838" t="s">
        <v>764</v>
      </c>
      <c r="E11" s="828"/>
      <c r="F11" s="825"/>
      <c r="G11" s="827"/>
      <c r="H11" s="841">
        <v>17333.52</v>
      </c>
      <c r="I11" s="621"/>
      <c r="J11" s="621"/>
      <c r="K11" s="629" t="s">
        <v>765</v>
      </c>
      <c r="L11" s="451"/>
      <c r="M11" s="509"/>
    </row>
    <row r="12" spans="1:26">
      <c r="A12" s="269">
        <v>8</v>
      </c>
      <c r="B12" s="617" t="s">
        <v>574</v>
      </c>
      <c r="C12" s="619">
        <v>5</v>
      </c>
      <c r="D12" s="621" t="s">
        <v>750</v>
      </c>
      <c r="E12" s="622">
        <v>180</v>
      </c>
      <c r="F12" s="619">
        <v>18</v>
      </c>
      <c r="G12" s="623">
        <v>155400</v>
      </c>
      <c r="H12" s="623" t="s">
        <v>753</v>
      </c>
      <c r="I12" s="619">
        <v>25900</v>
      </c>
      <c r="J12" s="619"/>
      <c r="K12" s="622" t="s">
        <v>331</v>
      </c>
      <c r="L12" s="33" t="s">
        <v>664</v>
      </c>
      <c r="M12" s="1" t="s">
        <v>199</v>
      </c>
    </row>
    <row r="13" spans="1:26">
      <c r="A13" s="269">
        <v>9</v>
      </c>
      <c r="B13" s="617" t="s">
        <v>767</v>
      </c>
      <c r="C13" s="619">
        <v>5</v>
      </c>
      <c r="D13" s="619" t="s">
        <v>750</v>
      </c>
      <c r="E13" s="622"/>
      <c r="F13" s="619"/>
      <c r="G13" s="623"/>
      <c r="H13" s="623">
        <v>35700</v>
      </c>
      <c r="I13" s="619"/>
      <c r="J13" s="619"/>
      <c r="K13" s="622" t="s">
        <v>768</v>
      </c>
      <c r="L13" s="33"/>
    </row>
    <row r="14" spans="1:26">
      <c r="A14" s="269">
        <v>10</v>
      </c>
      <c r="B14" s="617" t="s">
        <v>577</v>
      </c>
      <c r="C14" s="619">
        <v>5</v>
      </c>
      <c r="D14" s="619" t="s">
        <v>769</v>
      </c>
      <c r="E14" s="622">
        <v>180</v>
      </c>
      <c r="F14" s="619"/>
      <c r="G14" s="623">
        <v>150000</v>
      </c>
      <c r="H14" s="623">
        <v>25000</v>
      </c>
      <c r="I14" s="619">
        <v>25000</v>
      </c>
      <c r="J14" s="619"/>
      <c r="K14" s="622" t="s">
        <v>579</v>
      </c>
      <c r="L14" s="303"/>
    </row>
    <row r="15" spans="1:26">
      <c r="A15" s="269">
        <v>11</v>
      </c>
      <c r="B15" s="617" t="s">
        <v>770</v>
      </c>
      <c r="C15" s="619">
        <v>5</v>
      </c>
      <c r="D15" s="619" t="s">
        <v>750</v>
      </c>
      <c r="E15" s="622"/>
      <c r="F15" s="619"/>
      <c r="G15" s="623"/>
      <c r="H15" s="623">
        <v>37000</v>
      </c>
      <c r="I15" s="619"/>
      <c r="J15" s="619"/>
      <c r="K15" s="622" t="s">
        <v>771</v>
      </c>
      <c r="L15" s="33" t="s">
        <v>772</v>
      </c>
    </row>
    <row r="16" spans="1:26">
      <c r="A16" s="269">
        <v>12</v>
      </c>
      <c r="B16" s="617" t="s">
        <v>23</v>
      </c>
      <c r="C16" s="619">
        <v>5</v>
      </c>
      <c r="D16" s="619" t="s">
        <v>750</v>
      </c>
      <c r="E16" s="622" t="s">
        <v>534</v>
      </c>
      <c r="F16" s="619">
        <v>31</v>
      </c>
      <c r="G16" s="623">
        <v>33000</v>
      </c>
      <c r="H16" s="623">
        <v>33000</v>
      </c>
      <c r="I16" s="619">
        <v>33000</v>
      </c>
      <c r="J16" s="619"/>
      <c r="K16" s="622"/>
      <c r="L16" s="341" t="s">
        <v>581</v>
      </c>
    </row>
    <row r="17" spans="1:12">
      <c r="A17" s="269">
        <v>13</v>
      </c>
      <c r="B17" s="813" t="s">
        <v>739</v>
      </c>
      <c r="C17" s="850">
        <v>5</v>
      </c>
      <c r="D17" s="850" t="s">
        <v>762</v>
      </c>
      <c r="E17" s="851">
        <v>90</v>
      </c>
      <c r="F17" s="850">
        <v>31</v>
      </c>
      <c r="G17" s="850">
        <v>29600</v>
      </c>
      <c r="H17" s="850"/>
      <c r="I17" s="850"/>
      <c r="J17" s="850"/>
      <c r="K17" s="852" t="s">
        <v>761</v>
      </c>
      <c r="L17" s="33" t="s">
        <v>742</v>
      </c>
    </row>
    <row r="18" spans="1:12">
      <c r="A18" s="269">
        <v>14</v>
      </c>
      <c r="B18" s="481" t="s">
        <v>743</v>
      </c>
      <c r="C18" s="454">
        <v>5</v>
      </c>
      <c r="D18" s="477" t="s">
        <v>209</v>
      </c>
      <c r="E18" s="543"/>
      <c r="F18" s="478">
        <v>31</v>
      </c>
      <c r="G18" s="478"/>
      <c r="H18" s="478">
        <v>25900</v>
      </c>
      <c r="I18" s="478">
        <v>25900</v>
      </c>
      <c r="J18" s="498"/>
      <c r="K18" s="503"/>
      <c r="L18" s="501" t="s">
        <v>148</v>
      </c>
    </row>
    <row r="19" spans="1:12">
      <c r="A19" s="269">
        <v>15</v>
      </c>
      <c r="B19" s="4" t="s">
        <v>773</v>
      </c>
      <c r="C19" s="59">
        <v>5</v>
      </c>
      <c r="D19" s="45" t="s">
        <v>774</v>
      </c>
      <c r="E19" s="545">
        <v>180</v>
      </c>
      <c r="F19" s="223">
        <v>11</v>
      </c>
      <c r="G19" s="223"/>
      <c r="H19" s="222">
        <v>25900</v>
      </c>
      <c r="I19" s="220"/>
      <c r="J19" s="220"/>
      <c r="K19" s="1" t="s">
        <v>775</v>
      </c>
      <c r="L19" s="230" t="s">
        <v>776</v>
      </c>
    </row>
    <row r="20" spans="1:12">
      <c r="A20" s="269">
        <v>16</v>
      </c>
      <c r="B20" s="253"/>
      <c r="C20" s="59"/>
      <c r="D20" s="45"/>
      <c r="E20" s="545"/>
      <c r="F20" s="223"/>
      <c r="G20" s="223"/>
      <c r="H20" s="273"/>
      <c r="I20" s="233"/>
      <c r="J20" s="233"/>
      <c r="K20" s="230"/>
      <c r="L20" s="14"/>
    </row>
    <row r="21" spans="1:12">
      <c r="A21" s="269">
        <v>17</v>
      </c>
      <c r="B21" s="453"/>
      <c r="C21" s="454"/>
      <c r="D21" s="455"/>
      <c r="E21" s="543"/>
      <c r="F21" s="458"/>
      <c r="G21" s="458"/>
      <c r="H21" s="458"/>
      <c r="I21" s="829"/>
      <c r="J21" s="548"/>
      <c r="K21" s="503"/>
      <c r="L21" s="451"/>
    </row>
    <row r="22" spans="1:12">
      <c r="A22" s="269"/>
      <c r="B22" s="253"/>
      <c r="C22" s="59"/>
      <c r="D22" s="251"/>
      <c r="E22" s="550"/>
      <c r="F22" s="401"/>
      <c r="G22" s="402"/>
      <c r="H22" s="222"/>
      <c r="I22" s="551"/>
      <c r="J22" s="395"/>
      <c r="K22" s="309"/>
      <c r="L22" s="682" t="s">
        <v>590</v>
      </c>
    </row>
    <row r="23" spans="1:12">
      <c r="A23" s="114"/>
      <c r="B23" s="236" t="s">
        <v>177</v>
      </c>
      <c r="C23" s="6">
        <f>SUM(C3:C22)</f>
        <v>72</v>
      </c>
      <c r="D23" s="109"/>
      <c r="E23" s="552"/>
      <c r="F23" s="237"/>
      <c r="G23" s="237">
        <f t="shared" ref="G23:H23" si="0">SUM(G4:G22)</f>
        <v>698800</v>
      </c>
      <c r="H23" s="553">
        <f t="shared" si="0"/>
        <v>308533.52</v>
      </c>
      <c r="I23" s="554">
        <f>SUM(I5:I22)</f>
        <v>218500</v>
      </c>
      <c r="J23" s="555">
        <f>SUM(J4:J22)</f>
        <v>0</v>
      </c>
      <c r="K23" s="556">
        <f>H23+J23</f>
        <v>308533.52</v>
      </c>
      <c r="L23" s="696">
        <f>K23/G23*100</f>
        <v>44.151906124785349</v>
      </c>
    </row>
    <row r="24" spans="1:12">
      <c r="A24" s="265"/>
      <c r="B24" s="206"/>
      <c r="C24" s="697"/>
      <c r="D24" s="185"/>
      <c r="E24" s="557"/>
      <c r="F24" s="558"/>
      <c r="G24" s="558"/>
      <c r="H24" s="265"/>
      <c r="I24" s="265"/>
      <c r="J24" s="265"/>
      <c r="K24" s="559"/>
      <c r="L24" s="14"/>
    </row>
    <row r="25" spans="1:12">
      <c r="A25" s="560"/>
      <c r="B25" s="561"/>
      <c r="C25" s="562"/>
      <c r="D25" s="561"/>
      <c r="E25" s="563"/>
      <c r="F25" s="561"/>
      <c r="G25" s="565"/>
      <c r="H25" s="565"/>
      <c r="I25" s="566"/>
      <c r="J25" s="566"/>
      <c r="K25" s="567"/>
      <c r="L25" s="33"/>
    </row>
    <row r="26" spans="1:12">
      <c r="A26" s="568"/>
      <c r="B26" s="569"/>
      <c r="C26" s="338"/>
      <c r="D26" s="570"/>
      <c r="E26" s="571"/>
      <c r="F26" s="572"/>
      <c r="G26" s="572"/>
      <c r="H26" s="573"/>
      <c r="I26" s="574"/>
      <c r="J26" s="574"/>
      <c r="K26" s="575"/>
      <c r="L26" s="33"/>
    </row>
    <row r="27" spans="1:12">
      <c r="A27" s="568"/>
      <c r="B27" s="576"/>
      <c r="C27" s="340"/>
      <c r="D27" s="577"/>
      <c r="E27" s="578"/>
      <c r="F27" s="319"/>
      <c r="G27" s="319"/>
      <c r="H27" s="320"/>
      <c r="I27" s="320"/>
      <c r="J27" s="320"/>
      <c r="K27" s="579"/>
      <c r="L27" s="33"/>
    </row>
    <row r="28" spans="1:12">
      <c r="A28" s="580"/>
      <c r="B28" s="581"/>
      <c r="C28" s="260"/>
      <c r="D28" s="260"/>
      <c r="E28" s="578"/>
      <c r="F28" s="582"/>
      <c r="G28" s="572"/>
      <c r="H28" s="270"/>
      <c r="I28" s="583"/>
      <c r="J28" s="584"/>
      <c r="K28" s="585"/>
      <c r="L28" s="303"/>
    </row>
    <row r="29" spans="1:12">
      <c r="A29" s="568"/>
      <c r="B29" s="586"/>
      <c r="C29" s="340"/>
      <c r="D29" s="577"/>
      <c r="E29" s="587"/>
      <c r="F29" s="582"/>
      <c r="G29" s="582"/>
      <c r="H29" s="237"/>
      <c r="I29" s="582"/>
      <c r="J29" s="582"/>
      <c r="K29" s="588"/>
      <c r="L29" s="33"/>
    </row>
    <row r="30" spans="1:12">
      <c r="A30" s="589"/>
      <c r="B30" s="590"/>
      <c r="C30" s="591"/>
      <c r="D30" s="590"/>
      <c r="E30" s="592"/>
      <c r="F30" s="590"/>
      <c r="G30" s="590"/>
      <c r="H30" s="590"/>
      <c r="I30" s="591"/>
      <c r="J30" s="590"/>
      <c r="K30" s="593"/>
    </row>
    <row r="31" spans="1:12">
      <c r="A31" s="2"/>
      <c r="B31" s="4"/>
      <c r="C31" s="6"/>
      <c r="D31" s="8"/>
      <c r="E31" s="532"/>
      <c r="F31" s="220"/>
      <c r="G31" s="220"/>
      <c r="H31" s="6"/>
      <c r="I31" s="6"/>
      <c r="J31" s="6"/>
      <c r="K31" s="594"/>
      <c r="L31" s="14"/>
    </row>
    <row r="32" spans="1:12">
      <c r="A32" s="595" t="s">
        <v>5</v>
      </c>
      <c r="B32" s="596" t="s">
        <v>74</v>
      </c>
      <c r="C32" s="597" t="s">
        <v>159</v>
      </c>
      <c r="D32" s="598" t="s">
        <v>10</v>
      </c>
      <c r="E32" s="599" t="s">
        <v>243</v>
      </c>
      <c r="F32" s="600" t="s">
        <v>244</v>
      </c>
      <c r="G32" s="600" t="s">
        <v>245</v>
      </c>
      <c r="H32" s="601" t="s">
        <v>246</v>
      </c>
      <c r="I32" s="597" t="s">
        <v>532</v>
      </c>
      <c r="J32" s="602" t="s">
        <v>13</v>
      </c>
      <c r="K32" s="603" t="s">
        <v>162</v>
      </c>
      <c r="L32" s="14"/>
    </row>
    <row r="33" spans="1:12">
      <c r="A33" s="269">
        <v>1</v>
      </c>
      <c r="B33" s="443" t="s">
        <v>135</v>
      </c>
      <c r="C33" s="144">
        <v>5</v>
      </c>
      <c r="D33" s="715" t="s">
        <v>750</v>
      </c>
      <c r="E33" s="230" t="s">
        <v>148</v>
      </c>
      <c r="F33" s="144">
        <v>31</v>
      </c>
      <c r="G33" s="608"/>
      <c r="H33" s="608">
        <v>32000</v>
      </c>
      <c r="I33" s="608">
        <v>32000</v>
      </c>
      <c r="J33" s="609"/>
      <c r="K33" s="503"/>
      <c r="L33" s="491"/>
    </row>
    <row r="34" spans="1:12">
      <c r="A34" s="269">
        <v>2</v>
      </c>
      <c r="B34" s="830" t="s">
        <v>785</v>
      </c>
      <c r="C34" s="178">
        <v>5</v>
      </c>
      <c r="D34" s="854" t="s">
        <v>750</v>
      </c>
      <c r="E34" s="855">
        <v>90</v>
      </c>
      <c r="F34" s="854">
        <v>30</v>
      </c>
      <c r="G34" s="856"/>
      <c r="H34" s="857">
        <v>28000</v>
      </c>
      <c r="I34" s="864">
        <v>28000</v>
      </c>
      <c r="J34" s="612"/>
      <c r="K34" s="503"/>
      <c r="L34" s="14"/>
    </row>
    <row r="35" spans="1:12">
      <c r="A35" s="269">
        <v>3</v>
      </c>
      <c r="B35" s="830" t="s">
        <v>793</v>
      </c>
      <c r="C35" s="178">
        <v>5</v>
      </c>
      <c r="D35" s="171" t="s">
        <v>750</v>
      </c>
      <c r="E35" s="295"/>
      <c r="F35" s="178">
        <v>31</v>
      </c>
      <c r="G35" s="865"/>
      <c r="H35" s="865">
        <v>34300</v>
      </c>
      <c r="I35" s="609"/>
      <c r="J35" s="609"/>
      <c r="K35" s="503" t="s">
        <v>768</v>
      </c>
      <c r="L35" s="14"/>
    </row>
    <row r="36" spans="1:12">
      <c r="A36" s="269">
        <v>4</v>
      </c>
      <c r="B36" s="443" t="s">
        <v>23</v>
      </c>
      <c r="C36" s="144">
        <v>5</v>
      </c>
      <c r="D36" s="715" t="s">
        <v>750</v>
      </c>
      <c r="E36" s="230" t="s">
        <v>534</v>
      </c>
      <c r="F36" s="144">
        <v>22</v>
      </c>
      <c r="G36" s="538">
        <v>363000</v>
      </c>
      <c r="H36" s="538">
        <v>33000</v>
      </c>
      <c r="I36" s="608">
        <v>33000</v>
      </c>
      <c r="J36" s="609"/>
      <c r="K36" s="503" t="s">
        <v>535</v>
      </c>
      <c r="L36" s="33" t="s">
        <v>581</v>
      </c>
    </row>
    <row r="37" spans="1:12">
      <c r="A37" s="269">
        <v>5</v>
      </c>
      <c r="B37" s="502" t="s">
        <v>617</v>
      </c>
      <c r="C37" s="473">
        <v>5</v>
      </c>
      <c r="D37" s="725" t="s">
        <v>762</v>
      </c>
      <c r="E37" s="230"/>
      <c r="F37" s="144"/>
      <c r="G37" s="608"/>
      <c r="H37" s="608">
        <v>35000</v>
      </c>
      <c r="I37" s="608"/>
      <c r="J37" s="609"/>
      <c r="K37" s="503" t="s">
        <v>619</v>
      </c>
      <c r="L37" s="33" t="s">
        <v>758</v>
      </c>
    </row>
    <row r="38" spans="1:12">
      <c r="A38" s="269">
        <v>6</v>
      </c>
      <c r="B38" s="502" t="s">
        <v>763</v>
      </c>
      <c r="C38" s="144">
        <v>5</v>
      </c>
      <c r="D38" s="203" t="s">
        <v>764</v>
      </c>
      <c r="E38" s="230"/>
      <c r="F38" s="144">
        <v>15</v>
      </c>
      <c r="G38" s="608"/>
      <c r="H38" s="608">
        <v>17333.52</v>
      </c>
      <c r="I38" s="608"/>
      <c r="J38" s="609"/>
      <c r="K38" s="503" t="s">
        <v>768</v>
      </c>
      <c r="L38" s="792" t="s">
        <v>687</v>
      </c>
    </row>
    <row r="39" spans="1:12">
      <c r="A39" s="269">
        <v>7</v>
      </c>
      <c r="B39" s="443" t="s">
        <v>536</v>
      </c>
      <c r="C39" s="144">
        <v>5</v>
      </c>
      <c r="D39" s="203"/>
      <c r="E39" s="606"/>
      <c r="F39" s="607"/>
      <c r="G39" s="609"/>
      <c r="H39" s="609"/>
      <c r="I39" s="609"/>
      <c r="J39" s="609"/>
      <c r="K39" s="503" t="s">
        <v>118</v>
      </c>
      <c r="L39" s="491"/>
    </row>
    <row r="40" spans="1:12">
      <c r="A40" s="269">
        <v>8</v>
      </c>
      <c r="B40" s="443" t="s">
        <v>366</v>
      </c>
      <c r="C40" s="144">
        <v>5</v>
      </c>
      <c r="D40" s="203" t="s">
        <v>751</v>
      </c>
      <c r="E40" s="230" t="s">
        <v>148</v>
      </c>
      <c r="F40" s="144">
        <v>31</v>
      </c>
      <c r="G40" s="609">
        <v>17500</v>
      </c>
      <c r="H40" s="608">
        <v>17500</v>
      </c>
      <c r="I40" s="608">
        <v>17500</v>
      </c>
      <c r="J40" s="609"/>
      <c r="K40" s="503" t="s">
        <v>331</v>
      </c>
      <c r="L40" s="491"/>
    </row>
    <row r="41" spans="1:12">
      <c r="A41" s="269">
        <v>9</v>
      </c>
      <c r="B41" s="793" t="s">
        <v>767</v>
      </c>
      <c r="C41" s="144">
        <v>5</v>
      </c>
      <c r="D41" s="203" t="s">
        <v>750</v>
      </c>
      <c r="E41" s="230"/>
      <c r="F41" s="144">
        <v>31</v>
      </c>
      <c r="G41" s="609"/>
      <c r="H41" s="865">
        <v>34300</v>
      </c>
      <c r="I41" s="609"/>
      <c r="J41" s="609"/>
      <c r="K41" s="503" t="s">
        <v>768</v>
      </c>
      <c r="L41" s="33"/>
    </row>
    <row r="42" spans="1:12">
      <c r="A42" s="269">
        <v>10</v>
      </c>
      <c r="B42" s="866" t="s">
        <v>332</v>
      </c>
      <c r="C42" s="463">
        <v>5</v>
      </c>
      <c r="D42" s="715" t="s">
        <v>750</v>
      </c>
      <c r="E42" s="503">
        <v>90</v>
      </c>
      <c r="F42" s="463">
        <v>30</v>
      </c>
      <c r="G42" s="861">
        <v>20000</v>
      </c>
      <c r="H42" s="862">
        <v>20000</v>
      </c>
      <c r="I42" s="862">
        <v>20000</v>
      </c>
      <c r="J42" s="861"/>
      <c r="K42" s="503" t="s">
        <v>331</v>
      </c>
      <c r="L42" s="867" t="s">
        <v>794</v>
      </c>
    </row>
    <row r="43" spans="1:12">
      <c r="A43" s="269">
        <v>11</v>
      </c>
      <c r="B43" s="453" t="s">
        <v>754</v>
      </c>
      <c r="C43" s="454">
        <v>5</v>
      </c>
      <c r="D43" s="477" t="s">
        <v>750</v>
      </c>
      <c r="E43" s="543">
        <v>90</v>
      </c>
      <c r="F43" s="478">
        <v>30</v>
      </c>
      <c r="G43" s="478">
        <v>58500</v>
      </c>
      <c r="H43" s="478">
        <v>19500</v>
      </c>
      <c r="I43" s="478"/>
      <c r="J43" s="498"/>
      <c r="K43" s="487" t="s">
        <v>761</v>
      </c>
      <c r="L43" s="792" t="s">
        <v>792</v>
      </c>
    </row>
    <row r="44" spans="1:12">
      <c r="A44" s="269">
        <v>12</v>
      </c>
      <c r="B44" s="502" t="s">
        <v>657</v>
      </c>
      <c r="C44" s="868">
        <v>5</v>
      </c>
      <c r="D44" s="869" t="s">
        <v>762</v>
      </c>
      <c r="E44" s="870">
        <v>90</v>
      </c>
      <c r="F44" s="871">
        <v>31</v>
      </c>
      <c r="G44" s="871">
        <v>28000</v>
      </c>
      <c r="H44" s="871"/>
      <c r="I44" s="871"/>
      <c r="J44" s="872"/>
      <c r="K44" s="870" t="s">
        <v>761</v>
      </c>
      <c r="L44" s="792" t="s">
        <v>758</v>
      </c>
    </row>
    <row r="45" spans="1:12">
      <c r="A45" s="269">
        <v>13</v>
      </c>
      <c r="B45" s="443" t="s">
        <v>773</v>
      </c>
      <c r="C45" s="144">
        <v>5</v>
      </c>
      <c r="D45" s="203" t="s">
        <v>795</v>
      </c>
      <c r="E45" s="230">
        <v>180</v>
      </c>
      <c r="F45" s="608">
        <v>11</v>
      </c>
      <c r="G45" s="608"/>
      <c r="H45" s="608">
        <v>24500</v>
      </c>
      <c r="I45" s="608"/>
      <c r="J45" s="609"/>
      <c r="K45" s="503" t="s">
        <v>768</v>
      </c>
      <c r="L45" s="496"/>
    </row>
    <row r="46" spans="1:12">
      <c r="A46" s="269">
        <v>14</v>
      </c>
      <c r="B46" s="443" t="s">
        <v>356</v>
      </c>
      <c r="C46" s="144">
        <v>5</v>
      </c>
      <c r="D46" s="203" t="s">
        <v>796</v>
      </c>
      <c r="E46" s="230">
        <v>30</v>
      </c>
      <c r="F46" s="608">
        <v>7</v>
      </c>
      <c r="G46" s="608">
        <v>20000</v>
      </c>
      <c r="H46" s="608">
        <v>20000</v>
      </c>
      <c r="I46" s="848">
        <v>20000</v>
      </c>
      <c r="J46" s="609"/>
      <c r="K46" s="503"/>
      <c r="L46" s="682"/>
    </row>
    <row r="47" spans="1:12">
      <c r="A47" s="2"/>
      <c r="B47" s="236" t="s">
        <v>177</v>
      </c>
      <c r="C47" s="6">
        <f>SUM(C33:C46)</f>
        <v>70</v>
      </c>
      <c r="D47" s="8"/>
      <c r="E47" s="618">
        <f>SUM(E33:E46)</f>
        <v>570</v>
      </c>
      <c r="F47" s="620"/>
      <c r="G47" s="620">
        <f t="shared" ref="G47:J47" si="1">SUM(G33:G46)</f>
        <v>507000</v>
      </c>
      <c r="H47" s="624">
        <f t="shared" si="1"/>
        <v>315433.52</v>
      </c>
      <c r="I47" s="626">
        <f t="shared" si="1"/>
        <v>150500</v>
      </c>
      <c r="J47" s="620">
        <f t="shared" si="1"/>
        <v>0</v>
      </c>
      <c r="K47" s="628">
        <f>H47+J47</f>
        <v>315433.52</v>
      </c>
      <c r="L47" s="696">
        <f>K47/G47*100</f>
        <v>62.215684418145955</v>
      </c>
    </row>
    <row r="48" spans="1:12">
      <c r="A48" s="14"/>
      <c r="B48" s="206"/>
      <c r="C48" s="198"/>
      <c r="D48" s="185"/>
      <c r="E48" s="557"/>
      <c r="F48" s="209"/>
      <c r="G48" s="209"/>
      <c r="H48" s="14"/>
      <c r="I48" s="14"/>
      <c r="J48" s="14"/>
      <c r="K48" s="559"/>
      <c r="L48" s="14"/>
    </row>
    <row r="49" spans="1:13">
      <c r="A49" s="630"/>
      <c r="B49" s="631"/>
      <c r="C49" s="632"/>
      <c r="D49" s="633"/>
      <c r="E49" s="634"/>
      <c r="F49" s="631"/>
      <c r="G49" s="635"/>
      <c r="H49" s="635"/>
      <c r="I49" s="636"/>
      <c r="J49" s="636"/>
      <c r="K49" s="637"/>
      <c r="L49" s="14"/>
    </row>
    <row r="50" spans="1:13">
      <c r="A50" s="638"/>
      <c r="B50" s="639"/>
      <c r="C50" s="150"/>
      <c r="D50" s="641"/>
      <c r="E50" s="642"/>
      <c r="F50" s="237"/>
      <c r="G50" s="150"/>
      <c r="H50" s="270"/>
      <c r="I50" s="237"/>
      <c r="J50" s="237"/>
      <c r="K50" s="643"/>
      <c r="L50" s="451"/>
    </row>
    <row r="51" spans="1:13">
      <c r="A51" s="638"/>
      <c r="B51" s="644"/>
      <c r="C51" s="260"/>
      <c r="D51" s="645"/>
      <c r="E51" s="642"/>
      <c r="F51" s="237"/>
      <c r="G51" s="150"/>
      <c r="H51" s="237"/>
      <c r="I51" s="237"/>
      <c r="J51" s="237"/>
      <c r="K51" s="646"/>
      <c r="L51" s="14"/>
    </row>
    <row r="52" spans="1:13">
      <c r="A52" s="638"/>
      <c r="B52" s="647"/>
      <c r="C52" s="649"/>
      <c r="D52" s="651"/>
      <c r="E52" s="652"/>
      <c r="F52" s="653"/>
      <c r="G52" s="653"/>
      <c r="H52" s="653"/>
      <c r="I52" s="654"/>
      <c r="J52" s="653"/>
      <c r="K52" s="655"/>
      <c r="L52" s="14"/>
    </row>
    <row r="53" spans="1:13">
      <c r="A53" s="638"/>
      <c r="B53" s="644"/>
      <c r="C53" s="260"/>
      <c r="D53" s="645"/>
      <c r="E53" s="642"/>
      <c r="F53" s="237"/>
      <c r="G53" s="270"/>
      <c r="H53" s="270"/>
      <c r="I53" s="237"/>
      <c r="J53" s="237"/>
      <c r="K53" s="646"/>
      <c r="L53" s="14"/>
    </row>
    <row r="54" spans="1:13">
      <c r="A54" s="638"/>
      <c r="B54" s="639"/>
      <c r="C54" s="260"/>
      <c r="D54" s="645"/>
      <c r="E54" s="587"/>
      <c r="F54" s="270"/>
      <c r="G54" s="270"/>
      <c r="H54" s="237"/>
      <c r="I54" s="150"/>
      <c r="J54" s="150"/>
      <c r="K54" s="646"/>
      <c r="L54" s="14"/>
    </row>
    <row r="55" spans="1:13">
      <c r="A55" s="656"/>
      <c r="B55" s="639"/>
      <c r="C55" s="309"/>
      <c r="D55" s="657"/>
      <c r="E55" s="587"/>
      <c r="F55" s="658"/>
      <c r="G55" s="659"/>
      <c r="H55" s="660"/>
      <c r="I55" s="642"/>
      <c r="J55" s="642"/>
      <c r="K55" s="661"/>
      <c r="L55" s="14"/>
    </row>
    <row r="56" spans="1:13">
      <c r="A56" s="662"/>
      <c r="B56" s="663"/>
      <c r="C56" s="664"/>
      <c r="D56" s="665"/>
      <c r="E56" s="666"/>
      <c r="F56" s="668"/>
      <c r="G56" s="669"/>
      <c r="H56" s="670"/>
      <c r="I56" s="671"/>
      <c r="J56" s="671"/>
      <c r="K56" s="672"/>
      <c r="L56" s="14"/>
    </row>
    <row r="57" spans="1:13">
      <c r="A57" s="114"/>
      <c r="B57" s="283"/>
      <c r="C57" s="673"/>
      <c r="D57" s="674"/>
      <c r="E57" s="675"/>
      <c r="F57" s="676"/>
      <c r="G57" s="677"/>
      <c r="H57" s="678"/>
      <c r="I57" s="679"/>
      <c r="J57" s="679"/>
      <c r="K57" s="680"/>
      <c r="L57" s="265"/>
      <c r="M57" s="681"/>
    </row>
    <row r="58" spans="1:13">
      <c r="A58" s="683" t="s">
        <v>5</v>
      </c>
      <c r="B58" s="684" t="s">
        <v>315</v>
      </c>
      <c r="C58" s="685" t="s">
        <v>159</v>
      </c>
      <c r="D58" s="686" t="s">
        <v>10</v>
      </c>
      <c r="E58" s="687" t="s">
        <v>243</v>
      </c>
      <c r="F58" s="688" t="s">
        <v>244</v>
      </c>
      <c r="G58" s="688" t="s">
        <v>245</v>
      </c>
      <c r="H58" s="689" t="s">
        <v>246</v>
      </c>
      <c r="I58" s="525" t="s">
        <v>532</v>
      </c>
      <c r="J58" s="690" t="s">
        <v>13</v>
      </c>
      <c r="K58" s="691" t="s">
        <v>162</v>
      </c>
      <c r="L58" s="14"/>
    </row>
    <row r="59" spans="1:13">
      <c r="A59" s="139">
        <v>1</v>
      </c>
      <c r="B59" s="796" t="s">
        <v>700</v>
      </c>
      <c r="C59" s="144">
        <v>5</v>
      </c>
      <c r="D59" s="757" t="s">
        <v>817</v>
      </c>
      <c r="E59" s="693">
        <v>200</v>
      </c>
      <c r="F59" s="103"/>
      <c r="G59" s="608" t="s">
        <v>778</v>
      </c>
      <c r="H59" s="694">
        <v>14000</v>
      </c>
      <c r="I59" s="144"/>
      <c r="J59" s="100"/>
      <c r="K59" s="230" t="s">
        <v>275</v>
      </c>
      <c r="L59" s="33" t="s">
        <v>779</v>
      </c>
      <c r="M59" s="499"/>
    </row>
    <row r="60" spans="1:13">
      <c r="A60" s="139">
        <v>2</v>
      </c>
      <c r="B60" s="805" t="s">
        <v>780</v>
      </c>
      <c r="C60" s="144">
        <v>5</v>
      </c>
      <c r="D60" s="463" t="s">
        <v>818</v>
      </c>
      <c r="E60" s="693">
        <v>90</v>
      </c>
      <c r="F60" s="103"/>
      <c r="G60" s="608">
        <v>32000</v>
      </c>
      <c r="H60" s="694">
        <v>14000</v>
      </c>
      <c r="I60" s="144"/>
      <c r="J60" s="144"/>
      <c r="K60" s="230"/>
      <c r="L60" s="33" t="s">
        <v>803</v>
      </c>
      <c r="M60" s="499"/>
    </row>
    <row r="61" spans="1:13">
      <c r="A61" s="134">
        <v>3</v>
      </c>
      <c r="B61" s="805" t="s">
        <v>617</v>
      </c>
      <c r="C61" s="144">
        <v>5</v>
      </c>
      <c r="D61" s="144" t="s">
        <v>819</v>
      </c>
      <c r="E61" s="693"/>
      <c r="F61" s="103"/>
      <c r="G61" s="608"/>
      <c r="H61" s="694">
        <v>17500</v>
      </c>
      <c r="I61" s="144"/>
      <c r="J61" s="100"/>
      <c r="K61" s="295" t="s">
        <v>619</v>
      </c>
      <c r="L61" s="33" t="s">
        <v>805</v>
      </c>
      <c r="M61" s="33"/>
    </row>
    <row r="62" spans="1:13">
      <c r="A62" s="139">
        <v>4</v>
      </c>
      <c r="B62" s="884" t="s">
        <v>600</v>
      </c>
      <c r="C62" s="144">
        <v>5</v>
      </c>
      <c r="D62" s="144" t="s">
        <v>820</v>
      </c>
      <c r="E62" s="693">
        <v>180</v>
      </c>
      <c r="F62" s="103">
        <v>28</v>
      </c>
      <c r="G62" s="608">
        <v>14000</v>
      </c>
      <c r="H62" s="694">
        <v>14000</v>
      </c>
      <c r="I62" s="144"/>
      <c r="J62" s="100"/>
      <c r="K62" s="520" t="s">
        <v>761</v>
      </c>
      <c r="L62" s="33" t="s">
        <v>602</v>
      </c>
      <c r="M62" s="499"/>
    </row>
    <row r="63" spans="1:13">
      <c r="A63" s="139">
        <v>5</v>
      </c>
      <c r="B63" s="692" t="s">
        <v>639</v>
      </c>
      <c r="C63" s="144">
        <v>5.03</v>
      </c>
      <c r="D63" s="144" t="s">
        <v>467</v>
      </c>
      <c r="E63" s="693"/>
      <c r="F63" s="103"/>
      <c r="G63" s="608"/>
      <c r="H63" s="695"/>
      <c r="I63" s="100"/>
      <c r="J63" s="100"/>
      <c r="K63" s="230" t="s">
        <v>118</v>
      </c>
      <c r="L63" s="14"/>
      <c r="M63" s="499"/>
    </row>
    <row r="64" spans="1:13">
      <c r="A64" s="139">
        <v>6</v>
      </c>
      <c r="B64" s="805" t="s">
        <v>461</v>
      </c>
      <c r="C64" s="144">
        <v>5</v>
      </c>
      <c r="D64" s="144" t="s">
        <v>821</v>
      </c>
      <c r="E64" s="693">
        <v>365</v>
      </c>
      <c r="F64" s="103">
        <v>28</v>
      </c>
      <c r="G64" s="608">
        <v>14000</v>
      </c>
      <c r="H64" s="694">
        <v>14000</v>
      </c>
      <c r="I64" s="144"/>
      <c r="J64" s="100"/>
      <c r="K64" s="230" t="s">
        <v>784</v>
      </c>
      <c r="L64" s="33"/>
      <c r="M64" s="499"/>
    </row>
    <row r="65" spans="1:13">
      <c r="A65" s="139">
        <v>7</v>
      </c>
      <c r="B65" s="692" t="s">
        <v>773</v>
      </c>
      <c r="C65" s="144">
        <v>5</v>
      </c>
      <c r="D65" s="144" t="s">
        <v>795</v>
      </c>
      <c r="E65" s="693">
        <v>180</v>
      </c>
      <c r="F65" s="233"/>
      <c r="G65" s="609"/>
      <c r="H65" s="608">
        <v>14000</v>
      </c>
      <c r="I65" s="100"/>
      <c r="J65" s="100"/>
      <c r="K65" s="230" t="s">
        <v>775</v>
      </c>
      <c r="L65" s="33" t="s">
        <v>823</v>
      </c>
      <c r="M65" s="499"/>
    </row>
    <row r="66" spans="1:13">
      <c r="A66" s="139">
        <v>8</v>
      </c>
      <c r="B66" s="805" t="s">
        <v>134</v>
      </c>
      <c r="C66" s="144">
        <v>5</v>
      </c>
      <c r="D66" s="715" t="s">
        <v>750</v>
      </c>
      <c r="E66" s="693" t="s">
        <v>534</v>
      </c>
      <c r="F66" s="144">
        <v>22</v>
      </c>
      <c r="G66" s="538">
        <v>363000</v>
      </c>
      <c r="H66" s="538">
        <v>33000</v>
      </c>
      <c r="I66" s="144">
        <v>33000</v>
      </c>
      <c r="J66" s="100"/>
      <c r="K66" s="230" t="s">
        <v>535</v>
      </c>
      <c r="L66" s="33" t="s">
        <v>581</v>
      </c>
      <c r="M66" s="499"/>
    </row>
    <row r="67" spans="1:13">
      <c r="A67" s="139">
        <v>9</v>
      </c>
      <c r="B67" s="805" t="s">
        <v>356</v>
      </c>
      <c r="C67" s="144">
        <v>5</v>
      </c>
      <c r="D67" s="699" t="s">
        <v>796</v>
      </c>
      <c r="E67" s="587">
        <v>30</v>
      </c>
      <c r="F67" s="270">
        <v>7</v>
      </c>
      <c r="G67" s="700">
        <v>20000</v>
      </c>
      <c r="H67" s="533">
        <v>20000</v>
      </c>
      <c r="I67" s="59">
        <v>20000</v>
      </c>
      <c r="J67" s="144"/>
      <c r="K67" s="309"/>
      <c r="L67" s="33"/>
      <c r="M67" s="499"/>
    </row>
    <row r="68" spans="1:13">
      <c r="A68" s="134">
        <v>10</v>
      </c>
      <c r="B68" s="886" t="s">
        <v>657</v>
      </c>
      <c r="C68" s="59">
        <v>5</v>
      </c>
      <c r="D68" s="477" t="s">
        <v>762</v>
      </c>
      <c r="E68" s="537">
        <v>90</v>
      </c>
      <c r="F68" s="223">
        <v>31</v>
      </c>
      <c r="G68" s="533"/>
      <c r="H68" s="533">
        <v>16000</v>
      </c>
      <c r="I68" s="270"/>
      <c r="J68" s="220"/>
      <c r="K68" s="888" t="s">
        <v>761</v>
      </c>
      <c r="L68" s="682" t="s">
        <v>758</v>
      </c>
      <c r="M68" s="499"/>
    </row>
    <row r="69" spans="1:13">
      <c r="A69" s="134">
        <v>11</v>
      </c>
      <c r="B69" s="236"/>
      <c r="C69" s="806"/>
      <c r="D69" s="45"/>
      <c r="E69" s="537"/>
      <c r="F69" s="223"/>
      <c r="G69" s="533"/>
      <c r="H69" s="877"/>
      <c r="I69" s="778"/>
      <c r="J69" s="498"/>
      <c r="K69" s="878"/>
      <c r="L69" s="810"/>
      <c r="M69" s="499"/>
    </row>
    <row r="70" spans="1:13">
      <c r="A70" s="134">
        <v>12</v>
      </c>
      <c r="B70" s="497"/>
      <c r="C70" s="806"/>
      <c r="D70" s="45"/>
      <c r="E70" s="618"/>
      <c r="F70" s="220"/>
      <c r="G70" s="620"/>
      <c r="H70" s="879"/>
      <c r="I70" s="880"/>
      <c r="J70" s="498"/>
      <c r="K70" s="878"/>
      <c r="L70" s="696"/>
      <c r="M70" s="499"/>
    </row>
    <row r="71" spans="1:13">
      <c r="A71" s="134">
        <v>13</v>
      </c>
      <c r="B71" s="236" t="s">
        <v>714</v>
      </c>
      <c r="C71" s="806">
        <v>5</v>
      </c>
      <c r="D71" s="45" t="s">
        <v>826</v>
      </c>
      <c r="E71" s="537">
        <v>60</v>
      </c>
      <c r="F71" s="223">
        <v>16</v>
      </c>
      <c r="G71" s="620"/>
      <c r="H71" s="538">
        <v>16000</v>
      </c>
      <c r="I71" s="778">
        <v>16000</v>
      </c>
      <c r="J71" s="498"/>
      <c r="K71" s="878"/>
      <c r="L71" s="810" t="s">
        <v>788</v>
      </c>
      <c r="M71" s="499"/>
    </row>
    <row r="72" spans="1:13">
      <c r="A72" s="134">
        <v>14</v>
      </c>
      <c r="B72" s="497"/>
      <c r="C72" s="806"/>
      <c r="D72" s="45"/>
      <c r="E72" s="537"/>
      <c r="F72" s="223"/>
      <c r="G72" s="533"/>
      <c r="H72" s="538"/>
      <c r="I72" s="881"/>
      <c r="J72" s="498"/>
      <c r="K72" s="878"/>
      <c r="L72" s="810"/>
      <c r="M72" s="499"/>
    </row>
    <row r="73" spans="1:13">
      <c r="A73" s="132"/>
      <c r="B73" s="236" t="s">
        <v>177</v>
      </c>
      <c r="C73" s="769">
        <f>SUM(C54:C72)</f>
        <v>55.03</v>
      </c>
      <c r="D73" s="8"/>
      <c r="E73" s="532">
        <f>SUM(E54:E72)</f>
        <v>1195</v>
      </c>
      <c r="F73" s="220"/>
      <c r="G73" s="620">
        <f t="shared" ref="G73:I73" si="2">SUM(G59:G72)</f>
        <v>443000</v>
      </c>
      <c r="H73" s="701">
        <f t="shared" si="2"/>
        <v>172500</v>
      </c>
      <c r="I73" s="554">
        <f t="shared" si="2"/>
        <v>69000</v>
      </c>
      <c r="J73" s="220">
        <f>SUM(J59:J68)</f>
        <v>0</v>
      </c>
      <c r="K73" s="628">
        <f>H73+J73</f>
        <v>172500</v>
      </c>
      <c r="L73" s="696">
        <f>K73/G73*100</f>
        <v>38.939051918735892</v>
      </c>
      <c r="M73" s="499"/>
    </row>
    <row r="74" spans="1:13">
      <c r="A74" s="702"/>
      <c r="B74" s="811"/>
      <c r="C74" s="673"/>
      <c r="D74" s="812"/>
      <c r="E74" s="675"/>
      <c r="F74" s="676"/>
      <c r="G74" s="677"/>
      <c r="H74" s="703"/>
      <c r="I74" s="704"/>
      <c r="J74" s="220"/>
      <c r="K74" s="309"/>
      <c r="L74" s="265"/>
      <c r="M74" s="681"/>
    </row>
    <row r="75" spans="1:13">
      <c r="A75" s="630"/>
      <c r="B75" s="631"/>
      <c r="C75" s="632"/>
      <c r="D75" s="633"/>
      <c r="E75" s="634"/>
      <c r="F75" s="631"/>
      <c r="G75" s="635"/>
      <c r="H75" s="635"/>
      <c r="I75" s="636"/>
      <c r="J75" s="636"/>
      <c r="K75" s="637"/>
      <c r="L75" s="14"/>
    </row>
    <row r="76" spans="1:13">
      <c r="A76" s="638"/>
      <c r="B76" s="639"/>
      <c r="C76" s="150"/>
      <c r="D76" s="641"/>
      <c r="E76" s="642"/>
      <c r="F76" s="237"/>
      <c r="G76" s="150"/>
      <c r="H76" s="270"/>
      <c r="I76" s="237"/>
      <c r="J76" s="237"/>
      <c r="K76" s="643"/>
      <c r="L76" s="14"/>
    </row>
    <row r="77" spans="1:13">
      <c r="A77" s="638"/>
      <c r="B77" s="644"/>
      <c r="C77" s="260"/>
      <c r="D77" s="645"/>
      <c r="E77" s="642"/>
      <c r="F77" s="237"/>
      <c r="G77" s="150"/>
      <c r="H77" s="237"/>
      <c r="I77" s="237"/>
      <c r="J77" s="237"/>
      <c r="K77" s="646"/>
      <c r="L77" s="14"/>
    </row>
    <row r="78" spans="1:13">
      <c r="A78" s="638"/>
      <c r="B78" s="647"/>
      <c r="C78" s="649"/>
      <c r="D78" s="651"/>
      <c r="E78" s="652"/>
      <c r="F78" s="653"/>
      <c r="G78" s="653"/>
      <c r="H78" s="653"/>
      <c r="I78" s="654"/>
      <c r="J78" s="653"/>
      <c r="K78" s="655"/>
      <c r="L78" s="14"/>
    </row>
    <row r="79" spans="1:13">
      <c r="A79" s="638"/>
      <c r="B79" s="644"/>
      <c r="C79" s="260"/>
      <c r="D79" s="645"/>
      <c r="E79" s="642"/>
      <c r="F79" s="237"/>
      <c r="G79" s="270"/>
      <c r="H79" s="270"/>
      <c r="I79" s="237"/>
      <c r="J79" s="237"/>
      <c r="K79" s="646"/>
      <c r="L79" s="14"/>
    </row>
    <row r="80" spans="1:13">
      <c r="A80" s="638"/>
      <c r="B80" s="639"/>
      <c r="C80" s="260"/>
      <c r="D80" s="645"/>
      <c r="E80" s="587"/>
      <c r="F80" s="270"/>
      <c r="G80" s="270"/>
      <c r="H80" s="237"/>
      <c r="I80" s="150"/>
      <c r="J80" s="150"/>
      <c r="K80" s="646"/>
      <c r="L80" s="14"/>
    </row>
    <row r="81" spans="1:13">
      <c r="A81" s="656"/>
      <c r="B81" s="639"/>
      <c r="C81" s="309"/>
      <c r="D81" s="657"/>
      <c r="E81" s="587"/>
      <c r="F81" s="658"/>
      <c r="G81" s="659"/>
      <c r="H81" s="660"/>
      <c r="I81" s="642"/>
      <c r="J81" s="642"/>
      <c r="K81" s="661"/>
      <c r="L81" s="14"/>
    </row>
    <row r="82" spans="1:13">
      <c r="A82" s="662"/>
      <c r="B82" s="663"/>
      <c r="C82" s="664"/>
      <c r="D82" s="665"/>
      <c r="E82" s="666"/>
      <c r="F82" s="668"/>
      <c r="G82" s="669"/>
      <c r="H82" s="670"/>
      <c r="I82" s="671"/>
      <c r="J82" s="671"/>
      <c r="K82" s="672"/>
      <c r="L82" s="14"/>
    </row>
    <row r="83" spans="1:13">
      <c r="A83" s="705"/>
      <c r="B83" s="706"/>
      <c r="C83" s="707"/>
      <c r="D83" s="708"/>
      <c r="E83" s="709"/>
      <c r="F83" s="710"/>
      <c r="G83" s="711"/>
      <c r="H83" s="712"/>
      <c r="I83" s="707"/>
      <c r="J83" s="713"/>
      <c r="K83" s="714"/>
      <c r="L83" s="265"/>
      <c r="M83" s="681"/>
    </row>
    <row r="84" spans="1:13">
      <c r="A84" s="269"/>
      <c r="B84" s="335" t="s">
        <v>375</v>
      </c>
      <c r="C84" s="217"/>
      <c r="D84" s="129" t="s">
        <v>10</v>
      </c>
      <c r="E84" s="288" t="s">
        <v>243</v>
      </c>
      <c r="F84" s="289" t="s">
        <v>244</v>
      </c>
      <c r="G84" s="290" t="s">
        <v>245</v>
      </c>
      <c r="H84" s="291" t="s">
        <v>246</v>
      </c>
      <c r="I84" s="716" t="s">
        <v>532</v>
      </c>
      <c r="J84" s="22" t="s">
        <v>13</v>
      </c>
      <c r="K84" s="717" t="s">
        <v>162</v>
      </c>
      <c r="L84" s="14"/>
    </row>
    <row r="85" spans="1:13">
      <c r="A85" s="2">
        <v>1</v>
      </c>
      <c r="B85" s="481" t="s">
        <v>101</v>
      </c>
      <c r="C85" s="59"/>
      <c r="D85" s="45" t="s">
        <v>148</v>
      </c>
      <c r="E85" s="545">
        <v>31</v>
      </c>
      <c r="F85" s="59">
        <v>31</v>
      </c>
      <c r="G85" s="223">
        <v>27000</v>
      </c>
      <c r="H85" s="718">
        <v>32400</v>
      </c>
      <c r="I85" s="59">
        <v>32400</v>
      </c>
      <c r="J85" s="6"/>
      <c r="K85" s="230" t="s">
        <v>331</v>
      </c>
      <c r="L85" s="340" t="s">
        <v>492</v>
      </c>
    </row>
    <row r="86" spans="1:13">
      <c r="A86" s="116"/>
      <c r="B86" s="172"/>
      <c r="C86" s="116"/>
      <c r="D86" s="118"/>
      <c r="E86" s="719"/>
      <c r="F86" s="255"/>
      <c r="G86" s="323" t="s">
        <v>177</v>
      </c>
      <c r="H86" s="238">
        <f>H85</f>
        <v>32400</v>
      </c>
      <c r="I86" s="720">
        <f>SUM(I85)</f>
        <v>32400</v>
      </c>
      <c r="J86" s="116"/>
      <c r="K86" s="606"/>
      <c r="L86" s="14"/>
    </row>
    <row r="87" spans="1:13">
      <c r="A87" s="219" t="s">
        <v>5</v>
      </c>
      <c r="B87" s="177" t="s">
        <v>106</v>
      </c>
      <c r="C87" s="217"/>
      <c r="D87" s="129" t="s">
        <v>10</v>
      </c>
      <c r="E87" s="288" t="s">
        <v>243</v>
      </c>
      <c r="F87" s="289" t="s">
        <v>244</v>
      </c>
      <c r="G87" s="290" t="s">
        <v>245</v>
      </c>
      <c r="H87" s="291" t="s">
        <v>246</v>
      </c>
      <c r="I87" s="716" t="s">
        <v>532</v>
      </c>
      <c r="J87" s="22" t="s">
        <v>13</v>
      </c>
      <c r="K87" s="717" t="s">
        <v>162</v>
      </c>
      <c r="L87" s="14"/>
    </row>
    <row r="88" spans="1:13">
      <c r="A88" s="100">
        <v>1</v>
      </c>
      <c r="B88" s="890" t="s">
        <v>101</v>
      </c>
      <c r="C88" s="144"/>
      <c r="D88" s="203" t="s">
        <v>148</v>
      </c>
      <c r="E88" s="693">
        <v>31</v>
      </c>
      <c r="F88" s="144">
        <v>31</v>
      </c>
      <c r="G88" s="258">
        <v>25000</v>
      </c>
      <c r="H88" s="722">
        <v>30000</v>
      </c>
      <c r="I88" s="59">
        <v>30000</v>
      </c>
      <c r="J88" s="723"/>
      <c r="K88" s="230" t="s">
        <v>331</v>
      </c>
      <c r="L88" s="340" t="s">
        <v>492</v>
      </c>
    </row>
    <row r="89" spans="1:13">
      <c r="A89" s="14"/>
      <c r="B89" s="183"/>
      <c r="C89" s="14"/>
      <c r="D89" s="185"/>
      <c r="E89" s="557"/>
      <c r="F89" s="209"/>
      <c r="G89" s="323" t="s">
        <v>177</v>
      </c>
      <c r="H89" s="238">
        <f>H88</f>
        <v>30000</v>
      </c>
      <c r="I89" s="720">
        <f>SUM(I88)</f>
        <v>30000</v>
      </c>
      <c r="J89" s="14"/>
      <c r="K89" s="606"/>
      <c r="L89" s="14"/>
    </row>
    <row r="90" spans="1:13">
      <c r="A90" s="219" t="s">
        <v>5</v>
      </c>
      <c r="B90" s="191" t="s">
        <v>122</v>
      </c>
      <c r="C90" s="189"/>
      <c r="D90" s="129" t="s">
        <v>10</v>
      </c>
      <c r="E90" s="288" t="s">
        <v>243</v>
      </c>
      <c r="F90" s="289" t="s">
        <v>244</v>
      </c>
      <c r="G90" s="290" t="s">
        <v>245</v>
      </c>
      <c r="H90" s="291" t="s">
        <v>246</v>
      </c>
      <c r="I90" s="217" t="s">
        <v>532</v>
      </c>
      <c r="J90" s="22" t="s">
        <v>13</v>
      </c>
      <c r="K90" s="717" t="s">
        <v>162</v>
      </c>
      <c r="L90" s="33" t="s">
        <v>470</v>
      </c>
    </row>
    <row r="91" spans="1:13">
      <c r="A91" s="2" t="s">
        <v>114</v>
      </c>
      <c r="B91" s="481" t="s">
        <v>128</v>
      </c>
      <c r="C91" s="59"/>
      <c r="D91" s="45" t="s">
        <v>148</v>
      </c>
      <c r="E91" s="545">
        <v>31</v>
      </c>
      <c r="F91" s="47">
        <v>31</v>
      </c>
      <c r="G91" s="223">
        <v>29000</v>
      </c>
      <c r="H91" s="222">
        <v>29000</v>
      </c>
      <c r="I91" s="59">
        <v>29000</v>
      </c>
      <c r="J91" s="6"/>
      <c r="K91" s="230"/>
      <c r="L91" s="14"/>
    </row>
    <row r="92" spans="1:13">
      <c r="A92" s="59" t="s">
        <v>151</v>
      </c>
      <c r="B92" s="4" t="s">
        <v>785</v>
      </c>
      <c r="C92" s="59"/>
      <c r="D92" s="45" t="s">
        <v>750</v>
      </c>
      <c r="E92" s="545">
        <v>30</v>
      </c>
      <c r="F92" s="47">
        <v>30</v>
      </c>
      <c r="G92" s="223">
        <v>27900</v>
      </c>
      <c r="H92" s="222">
        <v>27900</v>
      </c>
      <c r="I92" s="59">
        <v>27900</v>
      </c>
      <c r="J92" s="6"/>
      <c r="K92" s="726"/>
      <c r="L92" s="14"/>
    </row>
    <row r="93" spans="1:13">
      <c r="A93" s="59" t="s">
        <v>152</v>
      </c>
      <c r="B93" s="453" t="s">
        <v>838</v>
      </c>
      <c r="C93" s="59"/>
      <c r="D93" s="45" t="s">
        <v>750</v>
      </c>
      <c r="E93" s="545">
        <v>31</v>
      </c>
      <c r="F93" s="47">
        <v>31</v>
      </c>
      <c r="G93" s="223">
        <v>31000</v>
      </c>
      <c r="H93" s="222">
        <v>31000</v>
      </c>
      <c r="I93" s="59"/>
      <c r="J93" s="6"/>
      <c r="K93" s="309" t="s">
        <v>839</v>
      </c>
      <c r="L93" s="33"/>
    </row>
    <row r="94" spans="1:13">
      <c r="A94" s="454" t="s">
        <v>153</v>
      </c>
      <c r="B94" s="815" t="s">
        <v>716</v>
      </c>
      <c r="C94" s="454"/>
      <c r="D94" s="477" t="s">
        <v>750</v>
      </c>
      <c r="E94" s="543">
        <v>180</v>
      </c>
      <c r="F94" s="456"/>
      <c r="G94" s="478"/>
      <c r="H94" s="478">
        <v>25000</v>
      </c>
      <c r="I94" s="454">
        <v>25000</v>
      </c>
      <c r="J94" s="479"/>
      <c r="K94" s="503"/>
      <c r="L94" s="501" t="s">
        <v>718</v>
      </c>
    </row>
    <row r="95" spans="1:13">
      <c r="A95" s="454" t="s">
        <v>132</v>
      </c>
      <c r="B95" s="901" t="s">
        <v>832</v>
      </c>
      <c r="C95" s="454"/>
      <c r="D95" s="477" t="s">
        <v>826</v>
      </c>
      <c r="E95" s="543">
        <v>30</v>
      </c>
      <c r="F95" s="456"/>
      <c r="G95" s="478"/>
      <c r="H95" s="478">
        <v>18000</v>
      </c>
      <c r="I95" s="783"/>
      <c r="J95" s="454" t="s">
        <v>275</v>
      </c>
      <c r="K95" s="503"/>
      <c r="L95" s="501"/>
    </row>
    <row r="96" spans="1:13">
      <c r="A96" s="144" t="s">
        <v>132</v>
      </c>
      <c r="B96" s="903" t="s">
        <v>842</v>
      </c>
      <c r="C96" s="1212" t="s">
        <v>843</v>
      </c>
      <c r="D96" s="1210"/>
      <c r="E96" s="1210"/>
      <c r="F96" s="1211"/>
      <c r="G96" s="236"/>
      <c r="H96" s="478">
        <v>10000</v>
      </c>
      <c r="I96" s="783">
        <v>10000</v>
      </c>
      <c r="J96" s="14"/>
      <c r="K96" s="606"/>
      <c r="L96" s="14"/>
    </row>
    <row r="97" spans="1:12">
      <c r="G97" s="323"/>
      <c r="H97" s="728">
        <f t="shared" ref="H97:I97" si="3">SUM(H91:H96)</f>
        <v>140900</v>
      </c>
      <c r="I97" s="729">
        <f t="shared" si="3"/>
        <v>91900</v>
      </c>
      <c r="J97" s="14"/>
      <c r="K97" s="606"/>
      <c r="L97" s="14"/>
    </row>
    <row r="98" spans="1:12">
      <c r="A98" s="265"/>
      <c r="B98" s="905" t="s">
        <v>844</v>
      </c>
      <c r="C98" s="265"/>
      <c r="D98" s="731"/>
      <c r="E98" s="732"/>
      <c r="F98" s="733"/>
      <c r="G98" s="732"/>
      <c r="H98" s="732"/>
      <c r="I98" s="734"/>
      <c r="J98" s="704"/>
      <c r="K98" s="309"/>
      <c r="L98" s="14"/>
    </row>
    <row r="99" spans="1:12">
      <c r="A99" s="265"/>
      <c r="B99" s="730"/>
      <c r="C99" s="265"/>
      <c r="D99" s="731"/>
      <c r="E99" s="732"/>
      <c r="F99" s="733"/>
      <c r="G99" s="732"/>
      <c r="H99" s="732"/>
      <c r="I99" s="734"/>
      <c r="J99" s="704"/>
      <c r="K99" s="309"/>
      <c r="L99" s="14"/>
    </row>
    <row r="100" spans="1:12">
      <c r="A100" s="219" t="s">
        <v>5</v>
      </c>
      <c r="B100" s="342" t="s">
        <v>316</v>
      </c>
      <c r="C100" s="217"/>
      <c r="D100" s="129" t="s">
        <v>10</v>
      </c>
      <c r="E100" s="288" t="s">
        <v>243</v>
      </c>
      <c r="F100" s="289" t="s">
        <v>244</v>
      </c>
      <c r="G100" s="290" t="s">
        <v>245</v>
      </c>
      <c r="H100" s="291" t="s">
        <v>246</v>
      </c>
      <c r="I100" s="217" t="s">
        <v>532</v>
      </c>
      <c r="J100" s="22" t="s">
        <v>13</v>
      </c>
      <c r="K100" s="717" t="s">
        <v>162</v>
      </c>
      <c r="L100" s="287"/>
    </row>
    <row r="101" spans="1:12">
      <c r="A101" s="132" t="s">
        <v>458</v>
      </c>
      <c r="B101" s="906" t="s">
        <v>317</v>
      </c>
      <c r="C101" s="144"/>
      <c r="D101" s="645" t="s">
        <v>845</v>
      </c>
      <c r="E101" s="693">
        <v>90</v>
      </c>
      <c r="F101" s="103">
        <v>28</v>
      </c>
      <c r="G101" s="353">
        <v>28000</v>
      </c>
      <c r="H101" s="353">
        <v>28000</v>
      </c>
      <c r="I101" s="144">
        <v>28000</v>
      </c>
      <c r="J101" s="100"/>
      <c r="K101" s="464" t="s">
        <v>846</v>
      </c>
      <c r="L101" s="287"/>
    </row>
    <row r="102" spans="1:12">
      <c r="A102" s="132" t="s">
        <v>459</v>
      </c>
      <c r="B102" s="775"/>
      <c r="C102" s="100"/>
      <c r="D102" s="203"/>
      <c r="E102" s="587"/>
      <c r="F102" s="237"/>
      <c r="G102" s="449"/>
      <c r="H102" s="353"/>
      <c r="I102" s="144"/>
      <c r="J102" s="144"/>
      <c r="K102" s="309"/>
      <c r="L102" s="325"/>
    </row>
    <row r="103" spans="1:12">
      <c r="A103" s="132" t="s">
        <v>460</v>
      </c>
      <c r="B103" s="816"/>
      <c r="C103" s="100"/>
      <c r="D103" s="203"/>
      <c r="E103" s="587"/>
      <c r="F103" s="237"/>
      <c r="G103" s="355"/>
      <c r="H103" s="473"/>
      <c r="I103" s="144"/>
      <c r="J103" s="144"/>
      <c r="K103" s="309"/>
      <c r="L103" s="325"/>
    </row>
    <row r="104" spans="1:12">
      <c r="A104" s="132"/>
      <c r="B104" s="181"/>
      <c r="C104" s="100"/>
      <c r="D104" s="109"/>
      <c r="E104" s="587"/>
      <c r="F104" s="237"/>
      <c r="G104" s="323" t="s">
        <v>177</v>
      </c>
      <c r="H104" s="238">
        <f t="shared" ref="H104:I104" si="4">SUM(H101:H103)</f>
        <v>28000</v>
      </c>
      <c r="I104" s="736">
        <f t="shared" si="4"/>
        <v>28000</v>
      </c>
      <c r="J104" s="144"/>
      <c r="K104" s="309"/>
      <c r="L104" s="287"/>
    </row>
    <row r="105" spans="1:12">
      <c r="A105" s="265"/>
      <c r="B105" s="730"/>
      <c r="C105" s="265"/>
      <c r="D105" s="731"/>
      <c r="E105" s="732"/>
      <c r="F105" s="733"/>
      <c r="G105" s="737"/>
      <c r="H105" s="703"/>
      <c r="I105" s="734"/>
      <c r="J105" s="704"/>
      <c r="K105" s="734"/>
      <c r="L105" s="14"/>
    </row>
    <row r="106" spans="1:12">
      <c r="A106" s="265"/>
      <c r="B106" s="730"/>
      <c r="C106" s="265"/>
      <c r="D106" s="731"/>
      <c r="E106" s="732"/>
      <c r="F106" s="733"/>
      <c r="G106" s="737"/>
      <c r="H106" s="703"/>
      <c r="I106" s="734"/>
      <c r="J106" s="704"/>
      <c r="K106" s="734"/>
      <c r="L106" s="14"/>
    </row>
    <row r="107" spans="1:12">
      <c r="A107" s="219" t="s">
        <v>5</v>
      </c>
      <c r="B107" s="196" t="s">
        <v>111</v>
      </c>
      <c r="C107" s="189"/>
      <c r="D107" s="514" t="s">
        <v>10</v>
      </c>
      <c r="E107" s="515" t="s">
        <v>243</v>
      </c>
      <c r="F107" s="516" t="s">
        <v>244</v>
      </c>
      <c r="G107" s="738" t="s">
        <v>245</v>
      </c>
      <c r="H107" s="739" t="s">
        <v>246</v>
      </c>
      <c r="I107" s="217" t="s">
        <v>532</v>
      </c>
      <c r="J107" s="740" t="s">
        <v>13</v>
      </c>
      <c r="K107" s="741" t="s">
        <v>162</v>
      </c>
      <c r="L107" s="14"/>
    </row>
    <row r="108" spans="1:12">
      <c r="A108" s="2" t="s">
        <v>114</v>
      </c>
      <c r="B108" s="742" t="s">
        <v>628</v>
      </c>
      <c r="C108" s="59"/>
      <c r="D108" s="45" t="s">
        <v>750</v>
      </c>
      <c r="E108" s="545">
        <v>180</v>
      </c>
      <c r="F108" s="47">
        <v>28</v>
      </c>
      <c r="G108" s="223">
        <v>37800</v>
      </c>
      <c r="H108" s="223">
        <v>6300</v>
      </c>
      <c r="I108" s="59">
        <v>6300</v>
      </c>
      <c r="J108" s="6"/>
      <c r="K108" s="230"/>
      <c r="L108" s="33" t="s">
        <v>724</v>
      </c>
    </row>
    <row r="109" spans="1:12">
      <c r="A109" s="6" t="s">
        <v>119</v>
      </c>
      <c r="B109" s="742" t="s">
        <v>847</v>
      </c>
      <c r="C109" s="59"/>
      <c r="D109" s="477" t="s">
        <v>848</v>
      </c>
      <c r="E109" s="545"/>
      <c r="F109" s="47"/>
      <c r="G109" s="223"/>
      <c r="H109" s="223">
        <v>6000</v>
      </c>
      <c r="I109" s="697">
        <v>6000</v>
      </c>
      <c r="J109" s="6"/>
      <c r="K109" s="230"/>
      <c r="L109" s="501"/>
    </row>
    <row r="110" spans="1:12">
      <c r="A110" s="192"/>
      <c r="B110" s="899"/>
      <c r="C110" s="144"/>
      <c r="D110" s="118"/>
      <c r="E110" s="719"/>
      <c r="F110" s="255"/>
      <c r="G110" s="236" t="s">
        <v>177</v>
      </c>
      <c r="H110" s="522">
        <f t="shared" ref="H110:I110" si="5">SUM(H108:H109)</f>
        <v>12300</v>
      </c>
      <c r="I110" s="729">
        <f t="shared" si="5"/>
        <v>12300</v>
      </c>
      <c r="J110" s="116"/>
      <c r="K110" s="642"/>
      <c r="L110" s="33"/>
    </row>
    <row r="111" spans="1:12">
      <c r="A111" s="324"/>
      <c r="B111" s="887"/>
      <c r="C111" s="14"/>
      <c r="D111" s="185"/>
      <c r="E111" s="557"/>
      <c r="F111" s="209"/>
      <c r="G111" s="209"/>
      <c r="H111" s="14"/>
      <c r="I111" s="14"/>
      <c r="J111" s="14"/>
      <c r="K111" s="743"/>
      <c r="L111" s="14"/>
    </row>
    <row r="112" spans="1:12">
      <c r="A112" s="889"/>
      <c r="C112" s="499"/>
      <c r="E112" s="287"/>
      <c r="I112" s="499"/>
      <c r="K112" s="287"/>
      <c r="L112" s="287"/>
    </row>
    <row r="113" spans="1:26">
      <c r="A113" s="357" t="s">
        <v>5</v>
      </c>
      <c r="B113" s="358" t="s">
        <v>319</v>
      </c>
      <c r="C113" s="510"/>
      <c r="D113" s="360" t="s">
        <v>10</v>
      </c>
      <c r="E113" s="361" t="s">
        <v>243</v>
      </c>
      <c r="F113" s="362" t="s">
        <v>244</v>
      </c>
      <c r="G113" s="362" t="s">
        <v>245</v>
      </c>
      <c r="H113" s="363" t="s">
        <v>246</v>
      </c>
      <c r="I113" s="744" t="s">
        <v>532</v>
      </c>
      <c r="J113" s="363" t="s">
        <v>13</v>
      </c>
      <c r="K113" s="745" t="s">
        <v>162</v>
      </c>
      <c r="L113" s="287"/>
    </row>
    <row r="114" spans="1:26">
      <c r="A114" s="365" t="s">
        <v>676</v>
      </c>
      <c r="B114" s="820" t="s">
        <v>773</v>
      </c>
      <c r="C114" s="511"/>
      <c r="D114" s="909" t="s">
        <v>795</v>
      </c>
      <c r="E114" s="746">
        <v>180</v>
      </c>
      <c r="F114" s="747"/>
      <c r="G114" s="547"/>
      <c r="H114" s="547">
        <v>25500</v>
      </c>
      <c r="I114" s="748"/>
      <c r="J114" s="7"/>
      <c r="K114" s="230" t="s">
        <v>765</v>
      </c>
      <c r="L114" s="325" t="s">
        <v>776</v>
      </c>
    </row>
    <row r="115" spans="1:26">
      <c r="A115" s="370"/>
      <c r="B115" s="371"/>
      <c r="C115" s="511"/>
      <c r="D115" s="371"/>
      <c r="E115" s="749"/>
      <c r="F115" s="368"/>
      <c r="G115" s="549"/>
      <c r="H115" s="547"/>
      <c r="I115" s="750"/>
      <c r="J115" s="7"/>
      <c r="K115" s="752"/>
      <c r="L115" s="287"/>
    </row>
    <row r="116" spans="1:26">
      <c r="A116" s="365" t="s">
        <v>677</v>
      </c>
      <c r="B116" s="790" t="s">
        <v>660</v>
      </c>
      <c r="C116" s="755"/>
      <c r="D116" s="756" t="s">
        <v>826</v>
      </c>
      <c r="E116" s="758">
        <v>90</v>
      </c>
      <c r="F116" s="759"/>
      <c r="G116" s="761"/>
      <c r="H116" s="762" t="s">
        <v>859</v>
      </c>
      <c r="I116" s="753">
        <v>27000</v>
      </c>
      <c r="J116" s="369"/>
      <c r="K116" s="230"/>
      <c r="L116" s="325"/>
    </row>
    <row r="117" spans="1:26">
      <c r="A117" s="753"/>
      <c r="B117" s="910" t="s">
        <v>860</v>
      </c>
      <c r="C117" s="755"/>
      <c r="D117" s="235"/>
      <c r="E117" s="652"/>
      <c r="F117" s="653"/>
      <c r="G117" s="764" t="s">
        <v>177</v>
      </c>
      <c r="H117" s="765">
        <f t="shared" ref="H117:I117" si="6">SUM(H114:H116)</f>
        <v>25500</v>
      </c>
      <c r="I117" s="766">
        <f t="shared" si="6"/>
        <v>27000</v>
      </c>
      <c r="J117" s="369"/>
      <c r="K117" s="767"/>
    </row>
    <row r="118" spans="1:26">
      <c r="C118" s="499"/>
      <c r="E118" s="287"/>
      <c r="I118" s="499"/>
      <c r="K118" s="287"/>
      <c r="L118" s="768"/>
    </row>
    <row r="119" spans="1:26">
      <c r="A119" s="219" t="s">
        <v>5</v>
      </c>
      <c r="B119" s="342" t="s">
        <v>861</v>
      </c>
      <c r="C119" s="187"/>
      <c r="D119" s="129" t="s">
        <v>10</v>
      </c>
      <c r="E119" s="288" t="s">
        <v>243</v>
      </c>
      <c r="F119" s="289" t="s">
        <v>244</v>
      </c>
      <c r="G119" s="290" t="s">
        <v>245</v>
      </c>
      <c r="H119" s="291" t="s">
        <v>246</v>
      </c>
      <c r="I119" s="217" t="s">
        <v>532</v>
      </c>
      <c r="J119" s="22" t="s">
        <v>13</v>
      </c>
      <c r="K119" s="717" t="s">
        <v>162</v>
      </c>
    </row>
    <row r="120" spans="1:26">
      <c r="A120" s="132" t="s">
        <v>114</v>
      </c>
      <c r="B120" s="481" t="s">
        <v>842</v>
      </c>
      <c r="C120" s="59"/>
      <c r="D120" s="51" t="s">
        <v>864</v>
      </c>
      <c r="E120" s="545"/>
      <c r="F120" s="47"/>
      <c r="G120" s="223">
        <v>10000</v>
      </c>
      <c r="H120" s="778"/>
      <c r="I120" s="463">
        <v>10000</v>
      </c>
      <c r="J120" s="6"/>
      <c r="K120" s="230" t="s">
        <v>331</v>
      </c>
    </row>
    <row r="121" spans="1:26">
      <c r="A121" s="482" t="s">
        <v>119</v>
      </c>
      <c r="B121" s="481"/>
      <c r="C121" s="454"/>
      <c r="D121" s="454"/>
      <c r="E121" s="543"/>
      <c r="F121" s="456"/>
      <c r="G121" s="478"/>
      <c r="H121" s="880"/>
      <c r="I121" s="779"/>
      <c r="J121" s="479"/>
      <c r="K121" s="503"/>
    </row>
    <row r="122" spans="1:26">
      <c r="A122" s="316" t="s">
        <v>114</v>
      </c>
      <c r="B122" s="441" t="s">
        <v>364</v>
      </c>
      <c r="C122" s="423"/>
      <c r="D122" s="432" t="s">
        <v>865</v>
      </c>
      <c r="E122" s="918"/>
      <c r="F122" s="388"/>
      <c r="G122" s="431">
        <v>57000</v>
      </c>
      <c r="H122" s="330">
        <v>19000</v>
      </c>
      <c r="I122" s="330">
        <v>57000</v>
      </c>
      <c r="J122" s="385"/>
      <c r="K122" s="464"/>
      <c r="L122" s="919" t="s">
        <v>675</v>
      </c>
      <c r="M122" s="465"/>
      <c r="N122" s="465"/>
      <c r="O122" s="465"/>
      <c r="P122" s="465"/>
      <c r="Q122" s="465"/>
      <c r="R122" s="465"/>
      <c r="S122" s="465"/>
      <c r="T122" s="465"/>
      <c r="U122" s="465"/>
      <c r="V122" s="465"/>
      <c r="W122" s="465"/>
      <c r="X122" s="465"/>
      <c r="Y122" s="465"/>
      <c r="Z122" s="465"/>
    </row>
    <row r="123" spans="1:26">
      <c r="A123" s="132"/>
      <c r="B123" s="29"/>
      <c r="C123" s="6"/>
      <c r="D123" s="8"/>
      <c r="E123" s="675"/>
      <c r="F123" s="221"/>
      <c r="G123" s="236"/>
      <c r="H123" s="779"/>
      <c r="I123" s="463"/>
      <c r="J123" s="59"/>
      <c r="K123" s="309"/>
    </row>
    <row r="124" spans="1:26">
      <c r="A124" s="132"/>
      <c r="B124" s="29"/>
      <c r="C124" s="6"/>
      <c r="D124" s="8"/>
      <c r="E124" s="675"/>
      <c r="F124" s="221"/>
      <c r="G124" s="236"/>
      <c r="H124" s="779"/>
      <c r="I124" s="463"/>
      <c r="J124" s="59"/>
      <c r="K124" s="309"/>
    </row>
    <row r="125" spans="1:26">
      <c r="A125" s="132"/>
      <c r="B125" s="29"/>
      <c r="C125" s="6"/>
      <c r="D125" s="8"/>
      <c r="E125" s="675"/>
      <c r="F125" s="221"/>
      <c r="G125" s="236" t="s">
        <v>177</v>
      </c>
      <c r="H125" s="264">
        <f t="shared" ref="H125:I125" si="7">SUM(H120:H124)</f>
        <v>19000</v>
      </c>
      <c r="I125" s="920">
        <f t="shared" si="7"/>
        <v>67000</v>
      </c>
      <c r="J125" s="59"/>
      <c r="K125" s="309"/>
    </row>
    <row r="126" spans="1:26">
      <c r="C126" s="499"/>
      <c r="E126" s="287"/>
      <c r="I126" s="499"/>
      <c r="K126" s="287"/>
    </row>
    <row r="127" spans="1:26">
      <c r="A127" s="219" t="s">
        <v>5</v>
      </c>
      <c r="B127" s="342" t="s">
        <v>323</v>
      </c>
      <c r="C127" s="187"/>
      <c r="D127" s="129" t="s">
        <v>10</v>
      </c>
      <c r="E127" s="288" t="s">
        <v>243</v>
      </c>
      <c r="F127" s="289" t="s">
        <v>244</v>
      </c>
      <c r="G127" s="290" t="s">
        <v>245</v>
      </c>
      <c r="H127" s="291" t="s">
        <v>246</v>
      </c>
      <c r="I127" s="217" t="s">
        <v>532</v>
      </c>
      <c r="J127" s="22" t="s">
        <v>13</v>
      </c>
      <c r="K127" s="717" t="s">
        <v>162</v>
      </c>
    </row>
    <row r="128" spans="1:26">
      <c r="A128" s="132" t="s">
        <v>114</v>
      </c>
      <c r="B128" s="481" t="s">
        <v>681</v>
      </c>
      <c r="C128" s="59"/>
      <c r="D128" s="51" t="s">
        <v>829</v>
      </c>
      <c r="E128" s="545">
        <v>90</v>
      </c>
      <c r="F128" s="47"/>
      <c r="G128" s="223">
        <v>57000</v>
      </c>
      <c r="H128" s="222">
        <v>19000</v>
      </c>
      <c r="I128" s="59"/>
      <c r="J128" s="6"/>
      <c r="K128" s="230" t="s">
        <v>331</v>
      </c>
      <c r="L128" s="1" t="s">
        <v>831</v>
      </c>
    </row>
    <row r="129" spans="1:12">
      <c r="A129" s="482" t="s">
        <v>119</v>
      </c>
      <c r="B129" s="481"/>
      <c r="C129" s="454"/>
      <c r="D129" s="454"/>
      <c r="E129" s="543"/>
      <c r="F129" s="456"/>
      <c r="G129" s="478"/>
      <c r="H129" s="498"/>
      <c r="I129" s="727"/>
      <c r="J129" s="479"/>
      <c r="K129" s="503"/>
      <c r="L129" s="521"/>
    </row>
    <row r="130" spans="1:12">
      <c r="A130" s="132"/>
      <c r="B130" s="29"/>
      <c r="C130" s="6"/>
      <c r="D130" s="8"/>
      <c r="E130" s="675"/>
      <c r="F130" s="221"/>
      <c r="G130" s="236" t="s">
        <v>177</v>
      </c>
      <c r="H130" s="264">
        <f t="shared" ref="H130:I130" si="8">SUM(H128:H129)</f>
        <v>19000</v>
      </c>
      <c r="I130" s="770">
        <f t="shared" si="8"/>
        <v>0</v>
      </c>
      <c r="J130" s="59"/>
      <c r="K130" s="309"/>
    </row>
    <row r="131" spans="1:12">
      <c r="C131" s="499"/>
      <c r="E131" s="287"/>
      <c r="I131" s="499"/>
      <c r="K131" s="287"/>
    </row>
    <row r="132" spans="1:12">
      <c r="C132" s="499"/>
      <c r="E132" s="287"/>
      <c r="I132" s="499"/>
      <c r="K132" s="287"/>
    </row>
    <row r="133" spans="1:12">
      <c r="A133" s="219" t="s">
        <v>5</v>
      </c>
      <c r="B133" s="342" t="s">
        <v>325</v>
      </c>
      <c r="C133" s="187"/>
      <c r="D133" s="129" t="s">
        <v>10</v>
      </c>
      <c r="E133" s="288" t="s">
        <v>243</v>
      </c>
      <c r="F133" s="289" t="s">
        <v>244</v>
      </c>
      <c r="G133" s="290" t="s">
        <v>245</v>
      </c>
      <c r="H133" s="291" t="s">
        <v>246</v>
      </c>
      <c r="I133" s="217" t="s">
        <v>532</v>
      </c>
      <c r="J133" s="22" t="s">
        <v>13</v>
      </c>
      <c r="K133" s="717" t="s">
        <v>162</v>
      </c>
    </row>
    <row r="134" spans="1:12">
      <c r="A134" s="452" t="s">
        <v>114</v>
      </c>
      <c r="B134" s="481" t="s">
        <v>134</v>
      </c>
      <c r="C134" s="454"/>
      <c r="D134" s="477" t="s">
        <v>148</v>
      </c>
      <c r="E134" s="543">
        <v>30</v>
      </c>
      <c r="F134" s="456">
        <v>30</v>
      </c>
      <c r="G134" s="478">
        <v>17500</v>
      </c>
      <c r="H134" s="478">
        <v>17500</v>
      </c>
      <c r="I134" s="454">
        <v>17500</v>
      </c>
      <c r="J134" s="454"/>
      <c r="K134" s="503" t="s">
        <v>210</v>
      </c>
      <c r="L134" s="509"/>
    </row>
    <row r="135" spans="1:12">
      <c r="A135" s="2" t="s">
        <v>119</v>
      </c>
      <c r="B135" s="481" t="s">
        <v>134</v>
      </c>
      <c r="C135" s="59"/>
      <c r="D135" s="59" t="s">
        <v>148</v>
      </c>
      <c r="E135" s="545">
        <v>30</v>
      </c>
      <c r="F135" s="47">
        <v>30</v>
      </c>
      <c r="G135" s="223">
        <v>17500</v>
      </c>
      <c r="H135" s="222">
        <v>17500</v>
      </c>
      <c r="I135" s="697">
        <v>17500</v>
      </c>
      <c r="J135" s="59"/>
      <c r="K135" s="230" t="s">
        <v>210</v>
      </c>
    </row>
    <row r="136" spans="1:12">
      <c r="A136" s="132"/>
      <c r="B136" s="29"/>
      <c r="C136" s="6"/>
      <c r="D136" s="8"/>
      <c r="E136" s="675"/>
      <c r="F136" s="221"/>
      <c r="G136" s="236" t="s">
        <v>177</v>
      </c>
      <c r="H136" s="264">
        <f t="shared" ref="H136:I136" si="9">SUM(H134:H135)</f>
        <v>35000</v>
      </c>
      <c r="I136" s="770">
        <f t="shared" si="9"/>
        <v>35000</v>
      </c>
      <c r="J136" s="59"/>
      <c r="K136" s="309"/>
    </row>
    <row r="137" spans="1:12">
      <c r="C137" s="499"/>
      <c r="E137" s="287"/>
      <c r="I137" s="499"/>
      <c r="K137" s="287"/>
    </row>
    <row r="138" spans="1:12">
      <c r="C138" s="499"/>
      <c r="E138" s="287"/>
      <c r="I138" s="499"/>
      <c r="K138" s="287"/>
    </row>
    <row r="139" spans="1:12">
      <c r="A139" s="219" t="s">
        <v>5</v>
      </c>
      <c r="B139" s="342" t="s">
        <v>326</v>
      </c>
      <c r="C139" s="187"/>
      <c r="D139" s="129" t="s">
        <v>10</v>
      </c>
      <c r="E139" s="288" t="s">
        <v>243</v>
      </c>
      <c r="F139" s="289" t="s">
        <v>244</v>
      </c>
      <c r="G139" s="290" t="s">
        <v>245</v>
      </c>
      <c r="H139" s="291" t="s">
        <v>246</v>
      </c>
      <c r="I139" s="217" t="s">
        <v>532</v>
      </c>
      <c r="J139" s="22" t="s">
        <v>13</v>
      </c>
      <c r="K139" s="717" t="s">
        <v>162</v>
      </c>
    </row>
    <row r="140" spans="1:12">
      <c r="A140" s="2" t="s">
        <v>114</v>
      </c>
      <c r="B140" s="481" t="s">
        <v>407</v>
      </c>
      <c r="C140" s="59"/>
      <c r="D140" s="51" t="s">
        <v>148</v>
      </c>
      <c r="E140" s="545">
        <v>30</v>
      </c>
      <c r="F140" s="47">
        <v>30</v>
      </c>
      <c r="G140" s="223">
        <v>21250</v>
      </c>
      <c r="H140" s="223">
        <v>21250</v>
      </c>
      <c r="I140" s="59">
        <v>21250</v>
      </c>
      <c r="J140" s="6"/>
      <c r="K140" s="230"/>
    </row>
    <row r="141" spans="1:12">
      <c r="A141" s="132" t="s">
        <v>119</v>
      </c>
      <c r="B141" s="4" t="s">
        <v>644</v>
      </c>
      <c r="C141" s="6"/>
      <c r="D141" s="45" t="s">
        <v>751</v>
      </c>
      <c r="E141" s="675">
        <v>30</v>
      </c>
      <c r="F141" s="222">
        <v>10</v>
      </c>
      <c r="G141" s="564">
        <v>10000</v>
      </c>
      <c r="H141" s="260">
        <v>10000</v>
      </c>
      <c r="I141" s="697">
        <v>10000</v>
      </c>
      <c r="J141" s="59"/>
      <c r="K141" s="309" t="s">
        <v>866</v>
      </c>
    </row>
    <row r="142" spans="1:12">
      <c r="A142" s="235"/>
      <c r="B142" s="235"/>
      <c r="C142" s="771"/>
      <c r="D142" s="235"/>
      <c r="E142" s="610"/>
      <c r="F142" s="235"/>
      <c r="G142" s="323" t="s">
        <v>177</v>
      </c>
      <c r="H142" s="772">
        <f t="shared" ref="H142:I142" si="10">SUM(H140:H141)</f>
        <v>31250</v>
      </c>
      <c r="I142" s="773">
        <f t="shared" si="10"/>
        <v>31250</v>
      </c>
      <c r="J142" s="774"/>
      <c r="K142" s="610"/>
    </row>
    <row r="143" spans="1:12">
      <c r="C143" s="499"/>
      <c r="E143" s="287"/>
      <c r="I143" s="499"/>
      <c r="K143" s="287"/>
    </row>
    <row r="144" spans="1:12">
      <c r="E144" s="287"/>
      <c r="I144" s="499"/>
      <c r="K144" s="287"/>
    </row>
    <row r="145" spans="1:12">
      <c r="A145" s="219" t="s">
        <v>5</v>
      </c>
      <c r="B145" s="342" t="s">
        <v>437</v>
      </c>
      <c r="C145" s="187"/>
      <c r="D145" s="129" t="s">
        <v>10</v>
      </c>
      <c r="E145" s="288" t="s">
        <v>243</v>
      </c>
      <c r="F145" s="289" t="s">
        <v>244</v>
      </c>
      <c r="G145" s="290" t="s">
        <v>245</v>
      </c>
      <c r="H145" s="291" t="s">
        <v>246</v>
      </c>
      <c r="I145" s="217" t="s">
        <v>532</v>
      </c>
      <c r="J145" s="22" t="s">
        <v>13</v>
      </c>
      <c r="K145" s="717" t="s">
        <v>162</v>
      </c>
      <c r="L145" s="14"/>
    </row>
    <row r="146" spans="1:12">
      <c r="A146" s="463" t="s">
        <v>114</v>
      </c>
      <c r="B146" s="907" t="s">
        <v>850</v>
      </c>
      <c r="C146" s="463"/>
      <c r="D146" s="614" t="s">
        <v>750</v>
      </c>
      <c r="E146" s="776">
        <v>90</v>
      </c>
      <c r="F146" s="777">
        <v>30</v>
      </c>
      <c r="G146" s="778"/>
      <c r="H146" s="778">
        <v>6333</v>
      </c>
      <c r="I146" s="463">
        <v>6333</v>
      </c>
      <c r="J146" s="779"/>
      <c r="K146" s="503"/>
      <c r="L146" s="504" t="s">
        <v>853</v>
      </c>
    </row>
    <row r="147" spans="1:12">
      <c r="A147" s="260" t="s">
        <v>119</v>
      </c>
      <c r="B147" s="775" t="s">
        <v>854</v>
      </c>
      <c r="C147" s="260"/>
      <c r="D147" s="260" t="s">
        <v>751</v>
      </c>
      <c r="E147" s="587">
        <v>180</v>
      </c>
      <c r="F147" s="262">
        <v>10</v>
      </c>
      <c r="G147" s="270"/>
      <c r="H147" s="270">
        <v>19000</v>
      </c>
      <c r="I147" s="794"/>
      <c r="J147" s="150"/>
      <c r="K147" s="309"/>
      <c r="L147" s="781" t="s">
        <v>520</v>
      </c>
    </row>
    <row r="148" spans="1:12">
      <c r="A148" s="260" t="s">
        <v>114</v>
      </c>
      <c r="B148" s="639" t="s">
        <v>871</v>
      </c>
      <c r="C148" s="260"/>
      <c r="D148" s="260" t="s">
        <v>796</v>
      </c>
      <c r="E148" s="587">
        <v>90</v>
      </c>
      <c r="F148" s="262">
        <v>7</v>
      </c>
      <c r="G148" s="270">
        <v>15000</v>
      </c>
      <c r="H148" s="270">
        <v>15000</v>
      </c>
      <c r="I148" s="794">
        <v>15000</v>
      </c>
      <c r="J148" s="150"/>
      <c r="K148" s="309"/>
      <c r="L148" s="482"/>
    </row>
    <row r="149" spans="1:12">
      <c r="A149" s="235"/>
      <c r="B149" s="4"/>
      <c r="C149" s="6"/>
      <c r="D149" s="45"/>
      <c r="E149" s="675"/>
      <c r="F149" s="221"/>
      <c r="G149" s="236" t="s">
        <v>177</v>
      </c>
      <c r="H149" s="264">
        <f t="shared" ref="H149:I149" si="11">SUM(H146:H148)</f>
        <v>40333</v>
      </c>
      <c r="I149" s="770">
        <f t="shared" si="11"/>
        <v>21333</v>
      </c>
      <c r="J149" s="59"/>
      <c r="K149" s="309"/>
      <c r="L149" s="341"/>
    </row>
    <row r="150" spans="1:12">
      <c r="A150" s="14"/>
      <c r="C150" s="499"/>
      <c r="E150" s="287"/>
      <c r="F150" s="286"/>
      <c r="G150" s="286"/>
      <c r="I150" s="499"/>
      <c r="K150" s="287"/>
    </row>
    <row r="151" spans="1:12">
      <c r="A151" s="219" t="s">
        <v>5</v>
      </c>
      <c r="B151" s="342" t="s">
        <v>441</v>
      </c>
      <c r="C151" s="187"/>
      <c r="D151" s="129" t="s">
        <v>10</v>
      </c>
      <c r="E151" s="288" t="s">
        <v>243</v>
      </c>
      <c r="F151" s="289" t="s">
        <v>244</v>
      </c>
      <c r="G151" s="290" t="s">
        <v>245</v>
      </c>
      <c r="H151" s="291" t="s">
        <v>246</v>
      </c>
      <c r="I151" s="217" t="s">
        <v>532</v>
      </c>
      <c r="J151" s="22" t="s">
        <v>13</v>
      </c>
      <c r="K151" s="717" t="s">
        <v>162</v>
      </c>
      <c r="L151" s="14"/>
    </row>
    <row r="152" spans="1:12">
      <c r="A152" s="132" t="s">
        <v>114</v>
      </c>
      <c r="B152" s="813" t="s">
        <v>649</v>
      </c>
      <c r="C152" s="59"/>
      <c r="D152" s="51" t="s">
        <v>872</v>
      </c>
      <c r="E152" s="545">
        <v>180</v>
      </c>
      <c r="F152" s="47">
        <v>7</v>
      </c>
      <c r="G152" s="223">
        <v>90000</v>
      </c>
      <c r="H152" s="222">
        <v>15000</v>
      </c>
      <c r="I152" s="59"/>
      <c r="J152" s="6"/>
      <c r="K152" s="230" t="s">
        <v>839</v>
      </c>
      <c r="L152" s="352" t="s">
        <v>733</v>
      </c>
    </row>
    <row r="153" spans="1:12">
      <c r="A153" s="452" t="s">
        <v>119</v>
      </c>
      <c r="B153" s="481" t="s">
        <v>444</v>
      </c>
      <c r="C153" s="454"/>
      <c r="D153" s="454" t="s">
        <v>148</v>
      </c>
      <c r="E153" s="543">
        <v>365</v>
      </c>
      <c r="F153" s="456">
        <v>30</v>
      </c>
      <c r="G153" s="478">
        <v>19000</v>
      </c>
      <c r="H153" s="478">
        <v>19000</v>
      </c>
      <c r="I153" s="783">
        <v>19000</v>
      </c>
      <c r="J153" s="479"/>
      <c r="K153" s="503"/>
      <c r="L153" s="132"/>
    </row>
    <row r="154" spans="1:12">
      <c r="A154" s="132"/>
      <c r="B154" s="4"/>
      <c r="C154" s="6"/>
      <c r="D154" s="45"/>
      <c r="E154" s="675"/>
      <c r="F154" s="221"/>
      <c r="G154" s="236" t="s">
        <v>177</v>
      </c>
      <c r="H154" s="264">
        <f t="shared" ref="H154:I154" si="12">SUM(H152:H153)</f>
        <v>34000</v>
      </c>
      <c r="I154" s="770">
        <f t="shared" si="12"/>
        <v>19000</v>
      </c>
      <c r="J154" s="59"/>
      <c r="K154" s="309"/>
      <c r="L154" s="341"/>
    </row>
    <row r="155" spans="1:12">
      <c r="A155" s="14"/>
      <c r="C155" s="499"/>
      <c r="E155" s="287"/>
      <c r="F155" s="286"/>
      <c r="G155" s="286"/>
      <c r="I155" s="499"/>
      <c r="K155" s="287"/>
    </row>
    <row r="156" spans="1:12">
      <c r="A156" s="219" t="s">
        <v>5</v>
      </c>
      <c r="B156" s="342" t="s">
        <v>445</v>
      </c>
      <c r="C156" s="187"/>
      <c r="D156" s="129" t="s">
        <v>10</v>
      </c>
      <c r="E156" s="288" t="s">
        <v>243</v>
      </c>
      <c r="F156" s="289" t="s">
        <v>244</v>
      </c>
      <c r="G156" s="290" t="s">
        <v>245</v>
      </c>
      <c r="H156" s="291" t="s">
        <v>246</v>
      </c>
      <c r="I156" s="217" t="s">
        <v>532</v>
      </c>
      <c r="J156" s="22" t="s">
        <v>13</v>
      </c>
      <c r="K156" s="717" t="s">
        <v>162</v>
      </c>
      <c r="L156" s="14"/>
    </row>
    <row r="157" spans="1:12">
      <c r="A157" s="2" t="s">
        <v>114</v>
      </c>
      <c r="B157" s="813" t="s">
        <v>446</v>
      </c>
      <c r="C157" s="850"/>
      <c r="D157" s="911" t="s">
        <v>876</v>
      </c>
      <c r="E157" s="912">
        <v>30</v>
      </c>
      <c r="F157" s="913">
        <v>28</v>
      </c>
      <c r="G157" s="914">
        <v>22500</v>
      </c>
      <c r="H157" s="914">
        <v>22500</v>
      </c>
      <c r="I157" s="850">
        <v>22500</v>
      </c>
      <c r="J157" s="915"/>
      <c r="K157" s="870"/>
      <c r="L157" s="916" t="s">
        <v>862</v>
      </c>
    </row>
    <row r="158" spans="1:12">
      <c r="A158" s="452" t="s">
        <v>119</v>
      </c>
      <c r="B158" s="481" t="s">
        <v>695</v>
      </c>
      <c r="C158" s="454"/>
      <c r="D158" s="454" t="s">
        <v>877</v>
      </c>
      <c r="E158" s="543">
        <v>30</v>
      </c>
      <c r="F158" s="456"/>
      <c r="G158" s="478">
        <v>19000</v>
      </c>
      <c r="H158" s="478">
        <v>19000</v>
      </c>
      <c r="I158" s="783">
        <v>19000</v>
      </c>
      <c r="J158" s="479"/>
      <c r="K158" s="503"/>
      <c r="L158" s="132" t="s">
        <v>736</v>
      </c>
    </row>
    <row r="159" spans="1:12">
      <c r="A159" s="132"/>
      <c r="B159" s="4"/>
      <c r="C159" s="6"/>
      <c r="D159" s="45"/>
      <c r="E159" s="675"/>
      <c r="F159" s="221"/>
      <c r="G159" s="236" t="s">
        <v>177</v>
      </c>
      <c r="H159" s="264">
        <f t="shared" ref="H159:I159" si="13">SUM(H157:H158)</f>
        <v>41500</v>
      </c>
      <c r="I159" s="785">
        <f t="shared" si="13"/>
        <v>41500</v>
      </c>
      <c r="J159" s="59"/>
      <c r="K159" s="309"/>
      <c r="L159" s="341"/>
    </row>
    <row r="160" spans="1:12">
      <c r="A160" s="14"/>
      <c r="C160" s="499"/>
      <c r="E160" s="287"/>
      <c r="F160" s="286"/>
      <c r="G160" s="286"/>
      <c r="I160" s="499"/>
      <c r="K160" s="287"/>
    </row>
    <row r="161" spans="5:11">
      <c r="E161" s="287"/>
      <c r="I161" s="499"/>
      <c r="K161" s="287"/>
    </row>
    <row r="162" spans="5:11">
      <c r="E162" s="287"/>
      <c r="H162" s="786" t="s">
        <v>668</v>
      </c>
      <c r="I162" s="787">
        <f>SUM(I159+I154+I149+I142+I136+I130+I117+I110+I104+I97+I89+I86+I73+I47+I23+I125)</f>
        <v>874683</v>
      </c>
      <c r="K162" s="287"/>
    </row>
    <row r="163" spans="5:11">
      <c r="E163" s="287"/>
      <c r="I163" s="499"/>
      <c r="K163" s="287"/>
    </row>
    <row r="164" spans="5:11">
      <c r="E164" s="287"/>
      <c r="H164" s="788" t="s">
        <v>671</v>
      </c>
      <c r="I164" s="789">
        <f>SUM(H159+H154+H149+H142+H136+H130+H117+H110+H104+H97+H89+H86+H73+H47+H23+H125)</f>
        <v>1285650.04</v>
      </c>
      <c r="K164" s="287"/>
    </row>
    <row r="165" spans="5:11">
      <c r="E165" s="287"/>
      <c r="I165" s="499"/>
      <c r="K165" s="287"/>
    </row>
    <row r="166" spans="5:11">
      <c r="E166" s="287"/>
      <c r="I166" s="499"/>
      <c r="J166" s="1" t="s">
        <v>199</v>
      </c>
      <c r="K166" s="287"/>
    </row>
  </sheetData>
  <mergeCells count="1">
    <mergeCell ref="C96:F9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Z166"/>
  <sheetViews>
    <sheetView workbookViewId="0"/>
  </sheetViews>
  <sheetFormatPr defaultColWidth="12.5703125" defaultRowHeight="15.75" customHeight="1"/>
  <cols>
    <col min="1" max="1" width="12" customWidth="1"/>
    <col min="2" max="2" width="27.42578125" customWidth="1"/>
    <col min="4" max="4" width="21.42578125" customWidth="1"/>
    <col min="11" max="11" width="20.28515625" customWidth="1"/>
    <col min="12" max="12" width="22.7109375" customWidth="1"/>
  </cols>
  <sheetData>
    <row r="1" spans="1:26">
      <c r="A1" s="1">
        <v>3</v>
      </c>
      <c r="C1" s="499"/>
      <c r="E1" s="287"/>
      <c r="I1" s="499"/>
      <c r="K1" s="287"/>
    </row>
    <row r="2" spans="1:26">
      <c r="C2" s="499"/>
      <c r="E2" s="287"/>
      <c r="I2" s="499"/>
      <c r="K2" s="287"/>
    </row>
    <row r="3" spans="1:26">
      <c r="A3" s="523" t="s">
        <v>5</v>
      </c>
      <c r="B3" s="524" t="s">
        <v>7</v>
      </c>
      <c r="C3" s="525" t="s">
        <v>159</v>
      </c>
      <c r="D3" s="526" t="s">
        <v>10</v>
      </c>
      <c r="E3" s="527" t="s">
        <v>243</v>
      </c>
      <c r="F3" s="528" t="s">
        <v>244</v>
      </c>
      <c r="G3" s="528" t="s">
        <v>245</v>
      </c>
      <c r="H3" s="529" t="s">
        <v>246</v>
      </c>
      <c r="I3" s="525" t="s">
        <v>532</v>
      </c>
      <c r="J3" s="530" t="s">
        <v>13</v>
      </c>
      <c r="K3" s="531" t="s">
        <v>162</v>
      </c>
      <c r="L3" s="14"/>
    </row>
    <row r="4" spans="1:26">
      <c r="A4" s="219"/>
      <c r="B4" s="4"/>
      <c r="C4" s="59"/>
      <c r="D4" s="45"/>
      <c r="E4" s="532"/>
      <c r="F4" s="220"/>
      <c r="G4" s="533"/>
      <c r="H4" s="533"/>
      <c r="I4" s="223"/>
      <c r="J4" s="223"/>
      <c r="K4" s="534"/>
      <c r="L4" s="33"/>
    </row>
    <row r="5" spans="1:26">
      <c r="A5" s="269">
        <v>1</v>
      </c>
      <c r="B5" s="617" t="s">
        <v>29</v>
      </c>
      <c r="C5" s="619">
        <v>7</v>
      </c>
      <c r="D5" s="621" t="s">
        <v>797</v>
      </c>
      <c r="E5" s="622" t="s">
        <v>534</v>
      </c>
      <c r="F5" s="619">
        <v>31</v>
      </c>
      <c r="G5" s="623">
        <v>32000</v>
      </c>
      <c r="H5" s="623">
        <v>32000</v>
      </c>
      <c r="I5" s="619">
        <v>32000</v>
      </c>
      <c r="J5" s="619"/>
      <c r="K5" s="622" t="s">
        <v>799</v>
      </c>
      <c r="L5" s="14"/>
    </row>
    <row r="6" spans="1:26">
      <c r="A6" s="269">
        <v>2</v>
      </c>
      <c r="B6" s="625" t="s">
        <v>20</v>
      </c>
      <c r="C6" s="619">
        <v>5</v>
      </c>
      <c r="D6" s="627"/>
      <c r="E6" s="622"/>
      <c r="F6" s="619"/>
      <c r="G6" s="623"/>
      <c r="H6" s="623"/>
      <c r="I6" s="619"/>
      <c r="J6" s="619"/>
      <c r="K6" s="622" t="s">
        <v>118</v>
      </c>
      <c r="L6" s="324"/>
    </row>
    <row r="7" spans="1:26">
      <c r="A7" s="269">
        <v>3</v>
      </c>
      <c r="B7" s="617" t="s">
        <v>340</v>
      </c>
      <c r="C7" s="621">
        <v>5</v>
      </c>
      <c r="D7" s="621" t="s">
        <v>801</v>
      </c>
      <c r="E7" s="629" t="s">
        <v>534</v>
      </c>
      <c r="F7" s="621">
        <v>31</v>
      </c>
      <c r="G7" s="623">
        <v>210000</v>
      </c>
      <c r="H7" s="623">
        <v>17500</v>
      </c>
      <c r="I7" s="621">
        <v>17500</v>
      </c>
      <c r="J7" s="621"/>
      <c r="K7" s="629" t="s">
        <v>535</v>
      </c>
      <c r="L7" s="539"/>
      <c r="M7" s="509"/>
    </row>
    <row r="8" spans="1:26">
      <c r="A8" s="269">
        <v>4</v>
      </c>
      <c r="B8" s="625" t="s">
        <v>536</v>
      </c>
      <c r="C8" s="619">
        <v>5</v>
      </c>
      <c r="D8" s="619" t="s">
        <v>18</v>
      </c>
      <c r="E8" s="622"/>
      <c r="F8" s="619"/>
      <c r="G8" s="623"/>
      <c r="H8" s="623"/>
      <c r="I8" s="619"/>
      <c r="J8" s="619"/>
      <c r="K8" s="622" t="s">
        <v>118</v>
      </c>
      <c r="L8" s="324"/>
    </row>
    <row r="9" spans="1:26">
      <c r="A9" s="269">
        <v>5</v>
      </c>
      <c r="B9" s="784" t="s">
        <v>538</v>
      </c>
      <c r="C9" s="619">
        <v>5</v>
      </c>
      <c r="D9" s="619" t="s">
        <v>797</v>
      </c>
      <c r="E9" s="622"/>
      <c r="F9" s="619">
        <v>31</v>
      </c>
      <c r="G9" s="623"/>
      <c r="H9" s="623">
        <v>29600</v>
      </c>
      <c r="I9" s="619">
        <v>29600</v>
      </c>
      <c r="J9" s="619"/>
      <c r="K9" s="622" t="s">
        <v>806</v>
      </c>
      <c r="L9" s="324"/>
    </row>
    <row r="10" spans="1:26">
      <c r="A10" s="837">
        <v>6</v>
      </c>
      <c r="B10" s="823" t="s">
        <v>749</v>
      </c>
      <c r="C10" s="838">
        <v>5</v>
      </c>
      <c r="D10" s="839" t="s">
        <v>797</v>
      </c>
      <c r="E10" s="840">
        <v>90</v>
      </c>
      <c r="F10" s="838">
        <v>30</v>
      </c>
      <c r="G10" s="841">
        <v>29600</v>
      </c>
      <c r="H10" s="841">
        <v>29600</v>
      </c>
      <c r="I10" s="838"/>
      <c r="J10" s="838"/>
      <c r="K10" s="840" t="s">
        <v>806</v>
      </c>
      <c r="L10" s="176"/>
      <c r="M10" s="842"/>
      <c r="N10" s="842"/>
      <c r="O10" s="842"/>
      <c r="P10" s="842"/>
      <c r="Q10" s="842"/>
      <c r="R10" s="842"/>
      <c r="S10" s="842"/>
      <c r="T10" s="842"/>
      <c r="U10" s="842"/>
      <c r="V10" s="842"/>
      <c r="W10" s="842"/>
      <c r="X10" s="842"/>
      <c r="Y10" s="842"/>
      <c r="Z10" s="842"/>
    </row>
    <row r="11" spans="1:26">
      <c r="A11" s="269">
        <v>7</v>
      </c>
      <c r="B11" s="876"/>
      <c r="C11" s="825"/>
      <c r="D11" s="838"/>
      <c r="E11" s="828"/>
      <c r="F11" s="825"/>
      <c r="G11" s="827"/>
      <c r="H11" s="841"/>
      <c r="I11" s="621"/>
      <c r="J11" s="621"/>
      <c r="K11" s="629"/>
      <c r="L11" s="451"/>
      <c r="M11" s="509"/>
    </row>
    <row r="12" spans="1:26">
      <c r="A12" s="269">
        <v>8</v>
      </c>
      <c r="B12" s="617" t="s">
        <v>574</v>
      </c>
      <c r="C12" s="619">
        <v>5</v>
      </c>
      <c r="D12" s="621" t="s">
        <v>797</v>
      </c>
      <c r="E12" s="622">
        <v>180</v>
      </c>
      <c r="F12" s="619">
        <v>31</v>
      </c>
      <c r="G12" s="623">
        <v>155400</v>
      </c>
      <c r="H12" s="623" t="s">
        <v>753</v>
      </c>
      <c r="I12" s="619">
        <v>25900</v>
      </c>
      <c r="J12" s="619"/>
      <c r="K12" s="622" t="s">
        <v>331</v>
      </c>
      <c r="L12" s="33" t="s">
        <v>664</v>
      </c>
      <c r="M12" s="1" t="s">
        <v>199</v>
      </c>
    </row>
    <row r="13" spans="1:26">
      <c r="A13" s="269">
        <v>9</v>
      </c>
      <c r="B13" s="617"/>
      <c r="C13" s="619"/>
      <c r="D13" s="619"/>
      <c r="E13" s="622"/>
      <c r="F13" s="619"/>
      <c r="G13" s="623"/>
      <c r="H13" s="623"/>
      <c r="I13" s="619"/>
      <c r="J13" s="619"/>
      <c r="K13" s="622"/>
      <c r="L13" s="33"/>
    </row>
    <row r="14" spans="1:26">
      <c r="A14" s="269">
        <v>10</v>
      </c>
      <c r="B14" s="617" t="s">
        <v>577</v>
      </c>
      <c r="C14" s="619">
        <v>5</v>
      </c>
      <c r="D14" s="619" t="s">
        <v>812</v>
      </c>
      <c r="E14" s="622">
        <v>180</v>
      </c>
      <c r="F14" s="619"/>
      <c r="G14" s="623">
        <v>150000</v>
      </c>
      <c r="H14" s="623">
        <v>25000</v>
      </c>
      <c r="I14" s="619">
        <v>25000</v>
      </c>
      <c r="J14" s="619"/>
      <c r="K14" s="622" t="s">
        <v>579</v>
      </c>
      <c r="L14" s="303"/>
    </row>
    <row r="15" spans="1:26">
      <c r="A15" s="269">
        <v>11</v>
      </c>
      <c r="B15" s="617" t="s">
        <v>770</v>
      </c>
      <c r="C15" s="619">
        <v>5</v>
      </c>
      <c r="D15" s="619" t="s">
        <v>797</v>
      </c>
      <c r="E15" s="622"/>
      <c r="F15" s="619"/>
      <c r="G15" s="623">
        <v>111000</v>
      </c>
      <c r="H15" s="623">
        <v>37000</v>
      </c>
      <c r="I15" s="619"/>
      <c r="J15" s="619"/>
      <c r="K15" s="622" t="s">
        <v>771</v>
      </c>
      <c r="L15" s="33" t="s">
        <v>772</v>
      </c>
    </row>
    <row r="16" spans="1:26">
      <c r="A16" s="269">
        <v>12</v>
      </c>
      <c r="B16" s="617" t="s">
        <v>23</v>
      </c>
      <c r="C16" s="619">
        <v>5</v>
      </c>
      <c r="D16" s="619" t="s">
        <v>797</v>
      </c>
      <c r="E16" s="622" t="s">
        <v>534</v>
      </c>
      <c r="F16" s="619">
        <v>31</v>
      </c>
      <c r="G16" s="623">
        <v>33000</v>
      </c>
      <c r="H16" s="623">
        <v>33000</v>
      </c>
      <c r="I16" s="619">
        <v>33000</v>
      </c>
      <c r="J16" s="619"/>
      <c r="K16" s="622"/>
      <c r="L16" s="341" t="s">
        <v>581</v>
      </c>
    </row>
    <row r="17" spans="1:12">
      <c r="A17" s="269">
        <v>13</v>
      </c>
      <c r="B17" s="283"/>
      <c r="C17" s="251"/>
      <c r="D17" s="251"/>
      <c r="E17" s="882"/>
      <c r="F17" s="251"/>
      <c r="G17" s="251"/>
      <c r="H17" s="251"/>
      <c r="I17" s="251"/>
      <c r="J17" s="251"/>
      <c r="K17" s="673"/>
      <c r="L17" s="33"/>
    </row>
    <row r="18" spans="1:12">
      <c r="A18" s="269">
        <v>14</v>
      </c>
      <c r="B18" s="481" t="s">
        <v>743</v>
      </c>
      <c r="C18" s="454">
        <v>5</v>
      </c>
      <c r="D18" s="477" t="s">
        <v>209</v>
      </c>
      <c r="E18" s="543"/>
      <c r="F18" s="478">
        <v>31</v>
      </c>
      <c r="G18" s="478"/>
      <c r="H18" s="478">
        <v>25900</v>
      </c>
      <c r="I18" s="478">
        <v>25900</v>
      </c>
      <c r="J18" s="498"/>
      <c r="K18" s="503"/>
      <c r="L18" s="501" t="s">
        <v>148</v>
      </c>
    </row>
    <row r="19" spans="1:12">
      <c r="A19" s="269">
        <v>15</v>
      </c>
      <c r="B19" s="4" t="s">
        <v>773</v>
      </c>
      <c r="C19" s="59">
        <v>5</v>
      </c>
      <c r="D19" s="45" t="s">
        <v>774</v>
      </c>
      <c r="E19" s="545">
        <v>180</v>
      </c>
      <c r="F19" s="223">
        <v>11</v>
      </c>
      <c r="G19" s="223"/>
      <c r="H19" s="222">
        <v>25900</v>
      </c>
      <c r="I19" s="220"/>
      <c r="J19" s="220"/>
      <c r="K19" s="1" t="s">
        <v>775</v>
      </c>
      <c r="L19" s="230" t="s">
        <v>776</v>
      </c>
    </row>
    <row r="20" spans="1:12">
      <c r="A20" s="269">
        <v>16</v>
      </c>
      <c r="B20" s="253"/>
      <c r="C20" s="59"/>
      <c r="D20" s="45"/>
      <c r="E20" s="545"/>
      <c r="F20" s="223"/>
      <c r="G20" s="223"/>
      <c r="H20" s="273"/>
      <c r="I20" s="233"/>
      <c r="J20" s="233"/>
      <c r="K20" s="230"/>
      <c r="L20" s="14"/>
    </row>
    <row r="21" spans="1:12">
      <c r="A21" s="269">
        <v>17</v>
      </c>
      <c r="B21" s="453"/>
      <c r="C21" s="454"/>
      <c r="D21" s="455"/>
      <c r="E21" s="543"/>
      <c r="F21" s="458"/>
      <c r="G21" s="458"/>
      <c r="H21" s="458"/>
      <c r="I21" s="829"/>
      <c r="J21" s="548"/>
      <c r="K21" s="503"/>
      <c r="L21" s="451"/>
    </row>
    <row r="22" spans="1:12">
      <c r="A22" s="269"/>
      <c r="B22" s="253"/>
      <c r="C22" s="59"/>
      <c r="D22" s="251"/>
      <c r="E22" s="550"/>
      <c r="F22" s="401"/>
      <c r="G22" s="402"/>
      <c r="H22" s="222"/>
      <c r="I22" s="551"/>
      <c r="J22" s="395"/>
      <c r="K22" s="309"/>
      <c r="L22" s="682" t="s">
        <v>590</v>
      </c>
    </row>
    <row r="23" spans="1:12">
      <c r="A23" s="114"/>
      <c r="B23" s="236" t="s">
        <v>177</v>
      </c>
      <c r="C23" s="6">
        <f>SUM(C3:C22)</f>
        <v>62</v>
      </c>
      <c r="D23" s="109"/>
      <c r="E23" s="552"/>
      <c r="F23" s="237"/>
      <c r="G23" s="237">
        <f t="shared" ref="G23:H23" si="0">SUM(G4:G22)</f>
        <v>721000</v>
      </c>
      <c r="H23" s="553">
        <f t="shared" si="0"/>
        <v>255500</v>
      </c>
      <c r="I23" s="554">
        <f>SUM(I5:I22)</f>
        <v>188900</v>
      </c>
      <c r="J23" s="555">
        <f>SUM(J4:J22)</f>
        <v>0</v>
      </c>
      <c r="K23" s="556">
        <f>H23+J23</f>
        <v>255500</v>
      </c>
      <c r="L23" s="696">
        <f>K23/G23*100</f>
        <v>35.436893203883493</v>
      </c>
    </row>
    <row r="24" spans="1:12">
      <c r="A24" s="265"/>
      <c r="B24" s="206"/>
      <c r="C24" s="697"/>
      <c r="D24" s="185"/>
      <c r="E24" s="557"/>
      <c r="F24" s="558"/>
      <c r="G24" s="558"/>
      <c r="H24" s="265"/>
      <c r="I24" s="265"/>
      <c r="J24" s="265"/>
      <c r="K24" s="559"/>
      <c r="L24" s="14"/>
    </row>
    <row r="25" spans="1:12">
      <c r="A25" s="560"/>
      <c r="B25" s="561"/>
      <c r="C25" s="562"/>
      <c r="D25" s="561"/>
      <c r="E25" s="563"/>
      <c r="F25" s="561"/>
      <c r="G25" s="565"/>
      <c r="H25" s="565"/>
      <c r="I25" s="566"/>
      <c r="J25" s="566"/>
      <c r="K25" s="567"/>
      <c r="L25" s="33"/>
    </row>
    <row r="26" spans="1:12">
      <c r="A26" s="568"/>
      <c r="B26" s="569"/>
      <c r="C26" s="338"/>
      <c r="D26" s="570"/>
      <c r="E26" s="571"/>
      <c r="F26" s="572"/>
      <c r="G26" s="572"/>
      <c r="H26" s="573"/>
      <c r="I26" s="574"/>
      <c r="J26" s="574"/>
      <c r="K26" s="575"/>
      <c r="L26" s="33"/>
    </row>
    <row r="27" spans="1:12">
      <c r="A27" s="568"/>
      <c r="B27" s="576"/>
      <c r="C27" s="340"/>
      <c r="D27" s="577"/>
      <c r="E27" s="578"/>
      <c r="F27" s="319"/>
      <c r="G27" s="319"/>
      <c r="H27" s="320"/>
      <c r="I27" s="320"/>
      <c r="J27" s="320"/>
      <c r="K27" s="579"/>
      <c r="L27" s="33"/>
    </row>
    <row r="28" spans="1:12">
      <c r="A28" s="580"/>
      <c r="B28" s="581"/>
      <c r="C28" s="260"/>
      <c r="D28" s="260"/>
      <c r="E28" s="578"/>
      <c r="F28" s="582"/>
      <c r="G28" s="572"/>
      <c r="H28" s="270"/>
      <c r="I28" s="583"/>
      <c r="J28" s="584"/>
      <c r="K28" s="585"/>
      <c r="L28" s="303"/>
    </row>
    <row r="29" spans="1:12">
      <c r="A29" s="568"/>
      <c r="B29" s="586"/>
      <c r="C29" s="340"/>
      <c r="D29" s="577"/>
      <c r="E29" s="587"/>
      <c r="F29" s="582"/>
      <c r="G29" s="582"/>
      <c r="H29" s="237"/>
      <c r="I29" s="582"/>
      <c r="J29" s="582"/>
      <c r="K29" s="588"/>
      <c r="L29" s="33"/>
    </row>
    <row r="30" spans="1:12">
      <c r="A30" s="589"/>
      <c r="B30" s="590"/>
      <c r="C30" s="591"/>
      <c r="D30" s="590"/>
      <c r="E30" s="592"/>
      <c r="F30" s="590"/>
      <c r="G30" s="590"/>
      <c r="H30" s="590"/>
      <c r="I30" s="591"/>
      <c r="J30" s="590"/>
      <c r="K30" s="593"/>
    </row>
    <row r="31" spans="1:12">
      <c r="A31" s="2"/>
      <c r="B31" s="4"/>
      <c r="C31" s="6"/>
      <c r="D31" s="8"/>
      <c r="E31" s="532"/>
      <c r="F31" s="220"/>
      <c r="G31" s="220"/>
      <c r="H31" s="6"/>
      <c r="I31" s="6"/>
      <c r="J31" s="6"/>
      <c r="K31" s="594"/>
      <c r="L31" s="14"/>
    </row>
    <row r="32" spans="1:12">
      <c r="A32" s="595" t="s">
        <v>5</v>
      </c>
      <c r="B32" s="596" t="s">
        <v>74</v>
      </c>
      <c r="C32" s="597" t="s">
        <v>159</v>
      </c>
      <c r="D32" s="598" t="s">
        <v>10</v>
      </c>
      <c r="E32" s="599" t="s">
        <v>243</v>
      </c>
      <c r="F32" s="600" t="s">
        <v>244</v>
      </c>
      <c r="G32" s="600" t="s">
        <v>245</v>
      </c>
      <c r="H32" s="601" t="s">
        <v>246</v>
      </c>
      <c r="I32" s="597" t="s">
        <v>532</v>
      </c>
      <c r="J32" s="602" t="s">
        <v>13</v>
      </c>
      <c r="K32" s="603" t="s">
        <v>162</v>
      </c>
      <c r="L32" s="14"/>
    </row>
    <row r="33" spans="1:12">
      <c r="A33" s="269">
        <v>1</v>
      </c>
      <c r="B33" s="443" t="s">
        <v>135</v>
      </c>
      <c r="C33" s="144">
        <v>5</v>
      </c>
      <c r="D33" s="715" t="s">
        <v>797</v>
      </c>
      <c r="E33" s="230" t="s">
        <v>148</v>
      </c>
      <c r="F33" s="144">
        <v>31</v>
      </c>
      <c r="G33" s="608"/>
      <c r="H33" s="608">
        <v>32000</v>
      </c>
      <c r="I33" s="608">
        <v>32000</v>
      </c>
      <c r="J33" s="609"/>
      <c r="K33" s="503"/>
      <c r="L33" s="491"/>
    </row>
    <row r="34" spans="1:12">
      <c r="A34" s="269">
        <v>2</v>
      </c>
      <c r="B34" s="830" t="s">
        <v>785</v>
      </c>
      <c r="C34" s="178">
        <v>5</v>
      </c>
      <c r="D34" s="854" t="s">
        <v>797</v>
      </c>
      <c r="E34" s="855">
        <v>90</v>
      </c>
      <c r="F34" s="854">
        <v>30</v>
      </c>
      <c r="G34" s="856"/>
      <c r="H34" s="857">
        <v>28000</v>
      </c>
      <c r="I34" s="864"/>
      <c r="J34" s="612"/>
      <c r="K34" s="503" t="s">
        <v>806</v>
      </c>
      <c r="L34" s="14"/>
    </row>
    <row r="35" spans="1:12">
      <c r="A35" s="269">
        <v>3</v>
      </c>
      <c r="B35" s="830" t="s">
        <v>833</v>
      </c>
      <c r="C35" s="178">
        <v>5</v>
      </c>
      <c r="D35" s="171" t="s">
        <v>797</v>
      </c>
      <c r="E35" s="295">
        <v>31</v>
      </c>
      <c r="F35" s="178">
        <v>31</v>
      </c>
      <c r="G35" s="865">
        <v>39200</v>
      </c>
      <c r="H35" s="865">
        <v>27400</v>
      </c>
      <c r="I35" s="609"/>
      <c r="J35" s="609"/>
      <c r="K35" s="503" t="s">
        <v>768</v>
      </c>
      <c r="L35" s="14"/>
    </row>
    <row r="36" spans="1:12">
      <c r="A36" s="269">
        <v>4</v>
      </c>
      <c r="B36" s="443" t="s">
        <v>23</v>
      </c>
      <c r="C36" s="144">
        <v>5</v>
      </c>
      <c r="D36" s="715" t="s">
        <v>797</v>
      </c>
      <c r="E36" s="230" t="s">
        <v>534</v>
      </c>
      <c r="F36" s="144">
        <v>22</v>
      </c>
      <c r="G36" s="538">
        <v>363000</v>
      </c>
      <c r="H36" s="538">
        <v>33000</v>
      </c>
      <c r="I36" s="608">
        <v>33000</v>
      </c>
      <c r="J36" s="609"/>
      <c r="K36" s="503" t="s">
        <v>535</v>
      </c>
      <c r="L36" s="33" t="s">
        <v>581</v>
      </c>
    </row>
    <row r="37" spans="1:12">
      <c r="A37" s="269">
        <v>5</v>
      </c>
      <c r="B37" s="893"/>
      <c r="C37" s="473"/>
      <c r="D37" s="725"/>
      <c r="E37" s="230"/>
      <c r="F37" s="144"/>
      <c r="G37" s="608"/>
      <c r="H37" s="608"/>
      <c r="I37" s="608"/>
      <c r="J37" s="609"/>
      <c r="K37" s="503"/>
      <c r="L37" s="33"/>
    </row>
    <row r="38" spans="1:12">
      <c r="A38" s="269">
        <v>6</v>
      </c>
      <c r="B38" s="893"/>
      <c r="C38" s="144"/>
      <c r="D38" s="203"/>
      <c r="E38" s="230"/>
      <c r="F38" s="144"/>
      <c r="G38" s="608"/>
      <c r="H38" s="608"/>
      <c r="I38" s="608"/>
      <c r="J38" s="609"/>
      <c r="K38" s="503"/>
      <c r="L38" s="792"/>
    </row>
    <row r="39" spans="1:12">
      <c r="A39" s="269">
        <v>7</v>
      </c>
      <c r="B39" s="443" t="s">
        <v>536</v>
      </c>
      <c r="C39" s="144">
        <v>5</v>
      </c>
      <c r="D39" s="203"/>
      <c r="E39" s="606"/>
      <c r="F39" s="607"/>
      <c r="G39" s="609"/>
      <c r="H39" s="609"/>
      <c r="I39" s="609"/>
      <c r="J39" s="609"/>
      <c r="K39" s="503" t="s">
        <v>118</v>
      </c>
      <c r="L39" s="491"/>
    </row>
    <row r="40" spans="1:12">
      <c r="A40" s="269">
        <v>8</v>
      </c>
      <c r="B40" s="443" t="s">
        <v>366</v>
      </c>
      <c r="C40" s="144">
        <v>5</v>
      </c>
      <c r="D40" s="203" t="s">
        <v>801</v>
      </c>
      <c r="E40" s="230" t="s">
        <v>148</v>
      </c>
      <c r="F40" s="144">
        <v>31</v>
      </c>
      <c r="G40" s="609">
        <v>17500</v>
      </c>
      <c r="H40" s="608">
        <v>17500</v>
      </c>
      <c r="I40" s="608">
        <v>17500</v>
      </c>
      <c r="J40" s="609"/>
      <c r="K40" s="503" t="s">
        <v>331</v>
      </c>
      <c r="L40" s="491"/>
    </row>
    <row r="41" spans="1:12">
      <c r="A41" s="269">
        <v>9</v>
      </c>
      <c r="B41" s="793"/>
      <c r="C41" s="144"/>
      <c r="D41" s="203"/>
      <c r="E41" s="230"/>
      <c r="F41" s="144"/>
      <c r="G41" s="609"/>
      <c r="H41" s="865"/>
      <c r="I41" s="609"/>
      <c r="J41" s="609"/>
      <c r="K41" s="503"/>
      <c r="L41" s="33"/>
    </row>
    <row r="42" spans="1:12">
      <c r="A42" s="269">
        <v>10</v>
      </c>
      <c r="B42" s="866" t="s">
        <v>332</v>
      </c>
      <c r="C42" s="463">
        <v>5</v>
      </c>
      <c r="D42" s="715" t="s">
        <v>797</v>
      </c>
      <c r="E42" s="503">
        <v>90</v>
      </c>
      <c r="F42" s="463">
        <v>31</v>
      </c>
      <c r="G42" s="861">
        <v>20000</v>
      </c>
      <c r="H42" s="862">
        <v>20000</v>
      </c>
      <c r="I42" s="862">
        <v>20000</v>
      </c>
      <c r="J42" s="861"/>
      <c r="K42" s="503" t="s">
        <v>331</v>
      </c>
      <c r="L42" s="867" t="s">
        <v>794</v>
      </c>
    </row>
    <row r="43" spans="1:12">
      <c r="A43" s="269">
        <v>11</v>
      </c>
      <c r="B43" s="453"/>
      <c r="C43" s="454"/>
      <c r="D43" s="477"/>
      <c r="E43" s="543"/>
      <c r="F43" s="478"/>
      <c r="G43" s="478"/>
      <c r="H43" s="478"/>
      <c r="I43" s="478"/>
      <c r="J43" s="498"/>
      <c r="K43" s="487"/>
      <c r="L43" s="792"/>
    </row>
    <row r="44" spans="1:12">
      <c r="A44" s="269">
        <v>12</v>
      </c>
      <c r="B44" s="893"/>
      <c r="C44" s="260"/>
      <c r="D44" s="645"/>
      <c r="E44" s="309"/>
      <c r="F44" s="694"/>
      <c r="G44" s="694"/>
      <c r="H44" s="694"/>
      <c r="I44" s="694"/>
      <c r="J44" s="695"/>
      <c r="K44" s="309"/>
      <c r="L44" s="898"/>
    </row>
    <row r="45" spans="1:12">
      <c r="A45" s="269">
        <v>13</v>
      </c>
      <c r="B45" s="443" t="s">
        <v>773</v>
      </c>
      <c r="C45" s="144">
        <v>5</v>
      </c>
      <c r="D45" s="203" t="s">
        <v>795</v>
      </c>
      <c r="E45" s="230">
        <v>180</v>
      </c>
      <c r="F45" s="608">
        <v>11</v>
      </c>
      <c r="G45" s="608"/>
      <c r="H45" s="608">
        <v>24500</v>
      </c>
      <c r="I45" s="608"/>
      <c r="J45" s="609"/>
      <c r="K45" s="503" t="s">
        <v>768</v>
      </c>
      <c r="L45" s="496"/>
    </row>
    <row r="46" spans="1:12">
      <c r="A46" s="269">
        <v>14</v>
      </c>
      <c r="B46" s="900" t="s">
        <v>356</v>
      </c>
      <c r="C46" s="144">
        <v>5</v>
      </c>
      <c r="D46" s="203" t="s">
        <v>796</v>
      </c>
      <c r="E46" s="230">
        <v>30</v>
      </c>
      <c r="F46" s="608">
        <v>7</v>
      </c>
      <c r="G46" s="608">
        <v>20000</v>
      </c>
      <c r="H46" s="608">
        <v>20000</v>
      </c>
      <c r="I46" s="848"/>
      <c r="J46" s="609"/>
      <c r="K46" s="503" t="s">
        <v>837</v>
      </c>
      <c r="L46" s="682"/>
    </row>
    <row r="47" spans="1:12">
      <c r="A47" s="2"/>
      <c r="B47" s="236" t="s">
        <v>177</v>
      </c>
      <c r="C47" s="6">
        <f>SUM(C33:C46)</f>
        <v>45</v>
      </c>
      <c r="D47" s="8"/>
      <c r="E47" s="618">
        <f>SUM(E33:E46)</f>
        <v>421</v>
      </c>
      <c r="F47" s="620"/>
      <c r="G47" s="620">
        <f t="shared" ref="G47:J47" si="1">SUM(G33:G46)</f>
        <v>459700</v>
      </c>
      <c r="H47" s="624">
        <f t="shared" si="1"/>
        <v>202400</v>
      </c>
      <c r="I47" s="626">
        <f t="shared" si="1"/>
        <v>102500</v>
      </c>
      <c r="J47" s="620">
        <f t="shared" si="1"/>
        <v>0</v>
      </c>
      <c r="K47" s="628">
        <f>H47+J47</f>
        <v>202400</v>
      </c>
      <c r="L47" s="696">
        <f>K47/G47*100</f>
        <v>44.028714378942787</v>
      </c>
    </row>
    <row r="48" spans="1:12">
      <c r="A48" s="14"/>
      <c r="B48" s="206"/>
      <c r="C48" s="198"/>
      <c r="D48" s="185"/>
      <c r="E48" s="557"/>
      <c r="F48" s="209"/>
      <c r="G48" s="209"/>
      <c r="H48" s="14"/>
      <c r="I48" s="14"/>
      <c r="J48" s="14"/>
      <c r="K48" s="559"/>
      <c r="L48" s="14"/>
    </row>
    <row r="49" spans="1:13">
      <c r="A49" s="630"/>
      <c r="B49" s="631"/>
      <c r="C49" s="632"/>
      <c r="D49" s="633"/>
      <c r="E49" s="634"/>
      <c r="F49" s="631"/>
      <c r="G49" s="635"/>
      <c r="H49" s="635"/>
      <c r="I49" s="636"/>
      <c r="J49" s="636"/>
      <c r="K49" s="637"/>
      <c r="L49" s="14"/>
    </row>
    <row r="50" spans="1:13">
      <c r="A50" s="638"/>
      <c r="B50" s="639"/>
      <c r="C50" s="150"/>
      <c r="D50" s="641"/>
      <c r="E50" s="642"/>
      <c r="F50" s="237"/>
      <c r="G50" s="150"/>
      <c r="H50" s="270"/>
      <c r="I50" s="237"/>
      <c r="J50" s="237"/>
      <c r="K50" s="643"/>
      <c r="L50" s="451"/>
    </row>
    <row r="51" spans="1:13">
      <c r="A51" s="638"/>
      <c r="B51" s="644"/>
      <c r="C51" s="260"/>
      <c r="D51" s="645"/>
      <c r="E51" s="642"/>
      <c r="F51" s="237"/>
      <c r="G51" s="150"/>
      <c r="H51" s="237"/>
      <c r="I51" s="237"/>
      <c r="J51" s="237"/>
      <c r="K51" s="646"/>
      <c r="L51" s="14"/>
    </row>
    <row r="52" spans="1:13">
      <c r="A52" s="638"/>
      <c r="B52" s="647"/>
      <c r="C52" s="649"/>
      <c r="D52" s="651"/>
      <c r="E52" s="652"/>
      <c r="F52" s="653"/>
      <c r="G52" s="653"/>
      <c r="H52" s="653"/>
      <c r="I52" s="654"/>
      <c r="J52" s="653"/>
      <c r="K52" s="655"/>
      <c r="L52" s="14"/>
    </row>
    <row r="53" spans="1:13">
      <c r="A53" s="638"/>
      <c r="B53" s="644"/>
      <c r="C53" s="260"/>
      <c r="D53" s="645"/>
      <c r="E53" s="642"/>
      <c r="F53" s="237"/>
      <c r="G53" s="270"/>
      <c r="H53" s="270"/>
      <c r="I53" s="237"/>
      <c r="J53" s="237"/>
      <c r="K53" s="646"/>
      <c r="L53" s="14"/>
    </row>
    <row r="54" spans="1:13">
      <c r="A54" s="638"/>
      <c r="B54" s="639"/>
      <c r="C54" s="260"/>
      <c r="D54" s="645"/>
      <c r="E54" s="587"/>
      <c r="F54" s="270"/>
      <c r="G54" s="270"/>
      <c r="H54" s="237"/>
      <c r="I54" s="150"/>
      <c r="J54" s="150"/>
      <c r="K54" s="646"/>
      <c r="L54" s="14"/>
    </row>
    <row r="55" spans="1:13">
      <c r="A55" s="656"/>
      <c r="B55" s="639"/>
      <c r="C55" s="309"/>
      <c r="D55" s="657"/>
      <c r="E55" s="587"/>
      <c r="F55" s="658"/>
      <c r="G55" s="659"/>
      <c r="H55" s="660"/>
      <c r="I55" s="642"/>
      <c r="J55" s="642"/>
      <c r="K55" s="661"/>
      <c r="L55" s="14"/>
    </row>
    <row r="56" spans="1:13">
      <c r="A56" s="662"/>
      <c r="B56" s="663"/>
      <c r="C56" s="664"/>
      <c r="D56" s="665"/>
      <c r="E56" s="666"/>
      <c r="F56" s="668"/>
      <c r="G56" s="669"/>
      <c r="H56" s="670"/>
      <c r="I56" s="671"/>
      <c r="J56" s="671"/>
      <c r="K56" s="672"/>
      <c r="L56" s="14"/>
    </row>
    <row r="57" spans="1:13">
      <c r="A57" s="114"/>
      <c r="B57" s="283"/>
      <c r="C57" s="673"/>
      <c r="D57" s="674"/>
      <c r="E57" s="675"/>
      <c r="F57" s="676"/>
      <c r="G57" s="677"/>
      <c r="H57" s="678"/>
      <c r="I57" s="679"/>
      <c r="J57" s="679"/>
      <c r="K57" s="680"/>
      <c r="L57" s="265"/>
      <c r="M57" s="681"/>
    </row>
    <row r="58" spans="1:13">
      <c r="A58" s="683" t="s">
        <v>5</v>
      </c>
      <c r="B58" s="684" t="s">
        <v>315</v>
      </c>
      <c r="C58" s="685" t="s">
        <v>159</v>
      </c>
      <c r="D58" s="686" t="s">
        <v>10</v>
      </c>
      <c r="E58" s="687" t="s">
        <v>243</v>
      </c>
      <c r="F58" s="688" t="s">
        <v>244</v>
      </c>
      <c r="G58" s="688" t="s">
        <v>245</v>
      </c>
      <c r="H58" s="689" t="s">
        <v>246</v>
      </c>
      <c r="I58" s="525" t="s">
        <v>532</v>
      </c>
      <c r="J58" s="690" t="s">
        <v>13</v>
      </c>
      <c r="K58" s="691" t="s">
        <v>162</v>
      </c>
      <c r="L58" s="14"/>
    </row>
    <row r="59" spans="1:13">
      <c r="A59" s="139">
        <v>1</v>
      </c>
      <c r="B59" s="796" t="s">
        <v>700</v>
      </c>
      <c r="C59" s="144">
        <v>5</v>
      </c>
      <c r="D59" s="757" t="s">
        <v>849</v>
      </c>
      <c r="E59" s="693">
        <v>200</v>
      </c>
      <c r="F59" s="103">
        <v>31</v>
      </c>
      <c r="G59" s="608" t="s">
        <v>778</v>
      </c>
      <c r="H59" s="694">
        <v>14000</v>
      </c>
      <c r="I59" s="144"/>
      <c r="J59" s="100"/>
      <c r="K59" s="230" t="s">
        <v>275</v>
      </c>
      <c r="L59" s="33" t="s">
        <v>779</v>
      </c>
      <c r="M59" s="499"/>
    </row>
    <row r="60" spans="1:13">
      <c r="A60" s="139">
        <v>2</v>
      </c>
      <c r="B60" s="805" t="s">
        <v>780</v>
      </c>
      <c r="C60" s="144">
        <v>5</v>
      </c>
      <c r="D60" s="463" t="s">
        <v>851</v>
      </c>
      <c r="E60" s="693">
        <v>90</v>
      </c>
      <c r="F60" s="103">
        <v>31</v>
      </c>
      <c r="G60" s="608">
        <v>32000</v>
      </c>
      <c r="H60" s="694">
        <v>14000</v>
      </c>
      <c r="I60" s="144">
        <v>14000</v>
      </c>
      <c r="J60" s="144"/>
      <c r="K60" s="230"/>
      <c r="L60" s="33" t="s">
        <v>803</v>
      </c>
      <c r="M60" s="499"/>
    </row>
    <row r="61" spans="1:13">
      <c r="A61" s="134">
        <v>3</v>
      </c>
      <c r="B61" s="805" t="s">
        <v>617</v>
      </c>
      <c r="C61" s="144">
        <v>5</v>
      </c>
      <c r="D61" s="144" t="s">
        <v>855</v>
      </c>
      <c r="E61" s="693"/>
      <c r="F61" s="103">
        <v>31</v>
      </c>
      <c r="G61" s="608"/>
      <c r="H61" s="694">
        <v>17500</v>
      </c>
      <c r="I61" s="144"/>
      <c r="J61" s="100"/>
      <c r="K61" s="295" t="s">
        <v>619</v>
      </c>
      <c r="L61" s="33" t="s">
        <v>805</v>
      </c>
      <c r="M61" s="33"/>
    </row>
    <row r="62" spans="1:13">
      <c r="A62" s="139">
        <v>4</v>
      </c>
      <c r="B62" s="908" t="s">
        <v>856</v>
      </c>
      <c r="C62" s="144">
        <v>5</v>
      </c>
      <c r="D62" s="144" t="s">
        <v>857</v>
      </c>
      <c r="E62" s="693"/>
      <c r="F62" s="103">
        <v>30</v>
      </c>
      <c r="G62" s="608"/>
      <c r="H62" s="694">
        <v>20000</v>
      </c>
      <c r="I62" s="144">
        <v>20000</v>
      </c>
      <c r="J62" s="100"/>
      <c r="K62" s="520"/>
      <c r="L62" s="33"/>
      <c r="M62" s="499"/>
    </row>
    <row r="63" spans="1:13">
      <c r="A63" s="139">
        <v>5</v>
      </c>
      <c r="B63" s="692" t="s">
        <v>639</v>
      </c>
      <c r="C63" s="144">
        <v>5.03</v>
      </c>
      <c r="D63" s="144" t="s">
        <v>467</v>
      </c>
      <c r="E63" s="693"/>
      <c r="F63" s="103"/>
      <c r="G63" s="608"/>
      <c r="H63" s="695"/>
      <c r="I63" s="100"/>
      <c r="J63" s="100"/>
      <c r="K63" s="230" t="s">
        <v>118</v>
      </c>
      <c r="L63" s="14"/>
      <c r="M63" s="499"/>
    </row>
    <row r="64" spans="1:13">
      <c r="A64" s="139">
        <v>6</v>
      </c>
      <c r="B64" s="805" t="s">
        <v>461</v>
      </c>
      <c r="C64" s="144">
        <v>5</v>
      </c>
      <c r="D64" s="144" t="s">
        <v>858</v>
      </c>
      <c r="E64" s="693">
        <v>365</v>
      </c>
      <c r="F64" s="103">
        <v>31</v>
      </c>
      <c r="G64" s="608">
        <v>14000</v>
      </c>
      <c r="H64" s="694">
        <v>14000</v>
      </c>
      <c r="I64" s="144"/>
      <c r="J64" s="100"/>
      <c r="K64" s="230" t="s">
        <v>784</v>
      </c>
      <c r="L64" s="33"/>
      <c r="M64" s="499"/>
    </row>
    <row r="65" spans="1:13">
      <c r="A65" s="139">
        <v>7</v>
      </c>
      <c r="B65" s="692" t="s">
        <v>773</v>
      </c>
      <c r="C65" s="144">
        <v>5</v>
      </c>
      <c r="D65" s="144" t="s">
        <v>795</v>
      </c>
      <c r="E65" s="693">
        <v>180</v>
      </c>
      <c r="F65" s="258">
        <v>31</v>
      </c>
      <c r="G65" s="609"/>
      <c r="H65" s="608">
        <v>14000</v>
      </c>
      <c r="I65" s="100"/>
      <c r="J65" s="100"/>
      <c r="K65" s="230" t="s">
        <v>775</v>
      </c>
      <c r="L65" s="33" t="s">
        <v>823</v>
      </c>
      <c r="M65" s="499"/>
    </row>
    <row r="66" spans="1:13">
      <c r="A66" s="139">
        <v>8</v>
      </c>
      <c r="B66" s="805" t="s">
        <v>134</v>
      </c>
      <c r="C66" s="144">
        <v>5</v>
      </c>
      <c r="D66" s="715" t="s">
        <v>797</v>
      </c>
      <c r="E66" s="693" t="s">
        <v>534</v>
      </c>
      <c r="F66" s="144">
        <v>31</v>
      </c>
      <c r="G66" s="538">
        <v>363000</v>
      </c>
      <c r="H66" s="538">
        <v>33000</v>
      </c>
      <c r="I66" s="144">
        <v>33000</v>
      </c>
      <c r="J66" s="100"/>
      <c r="K66" s="230" t="s">
        <v>535</v>
      </c>
      <c r="L66" s="33" t="s">
        <v>581</v>
      </c>
      <c r="M66" s="499"/>
    </row>
    <row r="67" spans="1:13">
      <c r="A67" s="139">
        <v>9</v>
      </c>
      <c r="B67" s="805" t="s">
        <v>356</v>
      </c>
      <c r="C67" s="144">
        <v>5</v>
      </c>
      <c r="D67" s="699" t="s">
        <v>796</v>
      </c>
      <c r="E67" s="587">
        <v>30</v>
      </c>
      <c r="F67" s="270">
        <v>24</v>
      </c>
      <c r="G67" s="700">
        <v>20000</v>
      </c>
      <c r="H67" s="533">
        <v>20000</v>
      </c>
      <c r="I67" s="59"/>
      <c r="J67" s="144"/>
      <c r="K67" s="309" t="s">
        <v>806</v>
      </c>
      <c r="L67" s="33"/>
      <c r="M67" s="499"/>
    </row>
    <row r="68" spans="1:13">
      <c r="A68" s="134">
        <v>10</v>
      </c>
      <c r="B68" s="308"/>
      <c r="C68" s="59"/>
      <c r="D68" s="477"/>
      <c r="E68" s="537"/>
      <c r="F68" s="223"/>
      <c r="G68" s="533"/>
      <c r="H68" s="533"/>
      <c r="I68" s="270"/>
      <c r="J68" s="220"/>
      <c r="K68" s="888"/>
      <c r="L68" s="682"/>
      <c r="M68" s="499"/>
    </row>
    <row r="69" spans="1:13">
      <c r="A69" s="134">
        <v>11</v>
      </c>
      <c r="B69" s="236"/>
      <c r="C69" s="806"/>
      <c r="D69" s="45"/>
      <c r="E69" s="537"/>
      <c r="F69" s="223"/>
      <c r="G69" s="533"/>
      <c r="H69" s="877"/>
      <c r="I69" s="778"/>
      <c r="J69" s="498"/>
      <c r="K69" s="878"/>
      <c r="L69" s="810"/>
      <c r="M69" s="499"/>
    </row>
    <row r="70" spans="1:13">
      <c r="A70" s="134">
        <v>12</v>
      </c>
      <c r="B70" s="497"/>
      <c r="C70" s="806"/>
      <c r="D70" s="45"/>
      <c r="E70" s="618"/>
      <c r="F70" s="220"/>
      <c r="G70" s="620"/>
      <c r="H70" s="879"/>
      <c r="I70" s="880"/>
      <c r="J70" s="498"/>
      <c r="K70" s="878"/>
      <c r="L70" s="696"/>
      <c r="M70" s="499"/>
    </row>
    <row r="71" spans="1:13">
      <c r="A71" s="134">
        <v>13</v>
      </c>
      <c r="B71" s="236" t="s">
        <v>714</v>
      </c>
      <c r="C71" s="806">
        <v>5</v>
      </c>
      <c r="D71" s="45" t="s">
        <v>863</v>
      </c>
      <c r="E71" s="537">
        <v>60</v>
      </c>
      <c r="F71" s="223">
        <v>16</v>
      </c>
      <c r="G71" s="620"/>
      <c r="H71" s="538">
        <v>16000</v>
      </c>
      <c r="I71" s="778">
        <v>16000</v>
      </c>
      <c r="J71" s="498"/>
      <c r="K71" s="917" t="s">
        <v>806</v>
      </c>
      <c r="L71" s="810"/>
      <c r="M71" s="499"/>
    </row>
    <row r="72" spans="1:13">
      <c r="A72" s="134">
        <v>14</v>
      </c>
      <c r="B72" s="497"/>
      <c r="C72" s="806"/>
      <c r="D72" s="45"/>
      <c r="E72" s="537"/>
      <c r="F72" s="223"/>
      <c r="G72" s="533"/>
      <c r="H72" s="538"/>
      <c r="I72" s="881"/>
      <c r="J72" s="498"/>
      <c r="K72" s="878"/>
      <c r="L72" s="810"/>
      <c r="M72" s="499"/>
    </row>
    <row r="73" spans="1:13">
      <c r="A73" s="132"/>
      <c r="B73" s="236" t="s">
        <v>177</v>
      </c>
      <c r="C73" s="769">
        <f>SUM(C54:C72)</f>
        <v>50.03</v>
      </c>
      <c r="D73" s="8"/>
      <c r="E73" s="532">
        <f>SUM(E54:E72)</f>
        <v>925</v>
      </c>
      <c r="F73" s="220"/>
      <c r="G73" s="620">
        <f t="shared" ref="G73:I73" si="2">SUM(G59:G72)</f>
        <v>429000</v>
      </c>
      <c r="H73" s="701">
        <f t="shared" si="2"/>
        <v>162500</v>
      </c>
      <c r="I73" s="554">
        <f t="shared" si="2"/>
        <v>83000</v>
      </c>
      <c r="J73" s="220">
        <f>SUM(J59:J68)</f>
        <v>0</v>
      </c>
      <c r="K73" s="628">
        <f>H73+J73</f>
        <v>162500</v>
      </c>
      <c r="L73" s="696">
        <f>K73/G73*100</f>
        <v>37.878787878787875</v>
      </c>
      <c r="M73" s="499"/>
    </row>
    <row r="74" spans="1:13">
      <c r="A74" s="702"/>
      <c r="B74" s="811"/>
      <c r="C74" s="673"/>
      <c r="D74" s="812"/>
      <c r="E74" s="675"/>
      <c r="F74" s="676"/>
      <c r="G74" s="677"/>
      <c r="H74" s="703"/>
      <c r="I74" s="704"/>
      <c r="J74" s="220"/>
      <c r="K74" s="309"/>
      <c r="L74" s="265"/>
      <c r="M74" s="681"/>
    </row>
    <row r="75" spans="1:13">
      <c r="A75" s="630"/>
      <c r="B75" s="631"/>
      <c r="C75" s="632"/>
      <c r="D75" s="633"/>
      <c r="E75" s="634"/>
      <c r="F75" s="631"/>
      <c r="G75" s="635"/>
      <c r="H75" s="635"/>
      <c r="I75" s="636"/>
      <c r="J75" s="636"/>
      <c r="K75" s="637"/>
      <c r="L75" s="14"/>
    </row>
    <row r="76" spans="1:13">
      <c r="A76" s="638"/>
      <c r="B76" s="639"/>
      <c r="C76" s="150"/>
      <c r="D76" s="641"/>
      <c r="E76" s="642"/>
      <c r="F76" s="237"/>
      <c r="G76" s="150"/>
      <c r="H76" s="270"/>
      <c r="I76" s="237"/>
      <c r="J76" s="237"/>
      <c r="K76" s="643"/>
      <c r="L76" s="14"/>
    </row>
    <row r="77" spans="1:13">
      <c r="A77" s="638"/>
      <c r="B77" s="644"/>
      <c r="C77" s="260"/>
      <c r="D77" s="645"/>
      <c r="E77" s="642"/>
      <c r="F77" s="237"/>
      <c r="G77" s="150"/>
      <c r="H77" s="237"/>
      <c r="I77" s="237"/>
      <c r="J77" s="237"/>
      <c r="K77" s="646"/>
      <c r="L77" s="14"/>
    </row>
    <row r="78" spans="1:13">
      <c r="A78" s="638"/>
      <c r="B78" s="647"/>
      <c r="C78" s="649"/>
      <c r="D78" s="651"/>
      <c r="E78" s="652"/>
      <c r="F78" s="653"/>
      <c r="G78" s="653"/>
      <c r="H78" s="653"/>
      <c r="I78" s="654"/>
      <c r="J78" s="653"/>
      <c r="K78" s="655"/>
      <c r="L78" s="14"/>
    </row>
    <row r="79" spans="1:13">
      <c r="A79" s="638"/>
      <c r="B79" s="644"/>
      <c r="C79" s="260"/>
      <c r="D79" s="645"/>
      <c r="E79" s="642"/>
      <c r="F79" s="237"/>
      <c r="G79" s="270"/>
      <c r="H79" s="270"/>
      <c r="I79" s="237"/>
      <c r="J79" s="237"/>
      <c r="K79" s="646"/>
      <c r="L79" s="14"/>
    </row>
    <row r="80" spans="1:13">
      <c r="A80" s="638"/>
      <c r="B80" s="639"/>
      <c r="C80" s="260"/>
      <c r="D80" s="645"/>
      <c r="E80" s="587"/>
      <c r="F80" s="270"/>
      <c r="G80" s="270"/>
      <c r="H80" s="237"/>
      <c r="I80" s="150"/>
      <c r="J80" s="150"/>
      <c r="K80" s="646"/>
      <c r="L80" s="14"/>
    </row>
    <row r="81" spans="1:13">
      <c r="A81" s="656"/>
      <c r="B81" s="639"/>
      <c r="C81" s="309"/>
      <c r="D81" s="657"/>
      <c r="E81" s="587"/>
      <c r="F81" s="658"/>
      <c r="G81" s="659"/>
      <c r="H81" s="660"/>
      <c r="I81" s="642"/>
      <c r="J81" s="642"/>
      <c r="K81" s="661"/>
      <c r="L81" s="14"/>
    </row>
    <row r="82" spans="1:13">
      <c r="A82" s="662"/>
      <c r="B82" s="663"/>
      <c r="C82" s="664"/>
      <c r="D82" s="665"/>
      <c r="E82" s="666"/>
      <c r="F82" s="668"/>
      <c r="G82" s="669"/>
      <c r="H82" s="670"/>
      <c r="I82" s="671"/>
      <c r="J82" s="671"/>
      <c r="K82" s="672"/>
      <c r="L82" s="14"/>
    </row>
    <row r="83" spans="1:13">
      <c r="A83" s="705"/>
      <c r="B83" s="706"/>
      <c r="C83" s="707"/>
      <c r="D83" s="708"/>
      <c r="E83" s="709"/>
      <c r="F83" s="710"/>
      <c r="G83" s="711"/>
      <c r="H83" s="712"/>
      <c r="I83" s="707"/>
      <c r="J83" s="713"/>
      <c r="K83" s="714"/>
      <c r="L83" s="265"/>
      <c r="M83" s="681"/>
    </row>
    <row r="84" spans="1:13">
      <c r="A84" s="269"/>
      <c r="B84" s="335" t="s">
        <v>375</v>
      </c>
      <c r="C84" s="217"/>
      <c r="D84" s="129" t="s">
        <v>10</v>
      </c>
      <c r="E84" s="288" t="s">
        <v>243</v>
      </c>
      <c r="F84" s="289" t="s">
        <v>244</v>
      </c>
      <c r="G84" s="290" t="s">
        <v>245</v>
      </c>
      <c r="H84" s="291" t="s">
        <v>246</v>
      </c>
      <c r="I84" s="716" t="s">
        <v>532</v>
      </c>
      <c r="J84" s="22" t="s">
        <v>13</v>
      </c>
      <c r="K84" s="717" t="s">
        <v>162</v>
      </c>
      <c r="L84" s="14"/>
    </row>
    <row r="85" spans="1:13">
      <c r="A85" s="2">
        <v>1</v>
      </c>
      <c r="B85" s="481"/>
      <c r="C85" s="59"/>
      <c r="D85" s="45"/>
      <c r="E85" s="545"/>
      <c r="F85" s="59"/>
      <c r="G85" s="223"/>
      <c r="H85" s="718"/>
      <c r="I85" s="59"/>
      <c r="J85" s="6"/>
      <c r="K85" s="230"/>
      <c r="L85" s="340" t="s">
        <v>492</v>
      </c>
    </row>
    <row r="86" spans="1:13">
      <c r="A86" s="116"/>
      <c r="B86" s="172"/>
      <c r="C86" s="116"/>
      <c r="D86" s="118"/>
      <c r="E86" s="719"/>
      <c r="F86" s="255"/>
      <c r="G86" s="323" t="s">
        <v>177</v>
      </c>
      <c r="H86" s="238">
        <f>H85</f>
        <v>0</v>
      </c>
      <c r="I86" s="720">
        <f>SUM(I85)</f>
        <v>0</v>
      </c>
      <c r="J86" s="116"/>
      <c r="K86" s="606"/>
      <c r="L86" s="14"/>
    </row>
    <row r="87" spans="1:13">
      <c r="A87" s="219" t="s">
        <v>5</v>
      </c>
      <c r="B87" s="177" t="s">
        <v>106</v>
      </c>
      <c r="C87" s="217"/>
      <c r="D87" s="129" t="s">
        <v>10</v>
      </c>
      <c r="E87" s="288" t="s">
        <v>243</v>
      </c>
      <c r="F87" s="289" t="s">
        <v>244</v>
      </c>
      <c r="G87" s="290" t="s">
        <v>245</v>
      </c>
      <c r="H87" s="291" t="s">
        <v>246</v>
      </c>
      <c r="I87" s="716" t="s">
        <v>532</v>
      </c>
      <c r="J87" s="22" t="s">
        <v>13</v>
      </c>
      <c r="K87" s="717" t="s">
        <v>162</v>
      </c>
      <c r="L87" s="14"/>
    </row>
    <row r="88" spans="1:13">
      <c r="A88" s="100">
        <v>1</v>
      </c>
      <c r="B88" s="775" t="s">
        <v>869</v>
      </c>
      <c r="C88" s="144"/>
      <c r="D88" s="203" t="s">
        <v>870</v>
      </c>
      <c r="E88" s="693">
        <v>30</v>
      </c>
      <c r="F88" s="144">
        <v>18</v>
      </c>
      <c r="G88" s="258">
        <v>38000</v>
      </c>
      <c r="H88" s="722"/>
      <c r="I88" s="59">
        <v>38000</v>
      </c>
      <c r="J88" s="723"/>
      <c r="K88" s="230"/>
      <c r="L88" s="340" t="s">
        <v>492</v>
      </c>
    </row>
    <row r="89" spans="1:13">
      <c r="A89" s="14"/>
      <c r="B89" s="183"/>
      <c r="C89" s="14"/>
      <c r="D89" s="185"/>
      <c r="E89" s="557"/>
      <c r="F89" s="209"/>
      <c r="G89" s="323" t="s">
        <v>177</v>
      </c>
      <c r="H89" s="238">
        <f>H88</f>
        <v>0</v>
      </c>
      <c r="I89" s="720">
        <f>SUM(I88)</f>
        <v>38000</v>
      </c>
      <c r="J89" s="14"/>
      <c r="K89" s="606"/>
      <c r="L89" s="14"/>
    </row>
    <row r="90" spans="1:13">
      <c r="A90" s="219" t="s">
        <v>5</v>
      </c>
      <c r="B90" s="191" t="s">
        <v>122</v>
      </c>
      <c r="C90" s="189"/>
      <c r="D90" s="129" t="s">
        <v>10</v>
      </c>
      <c r="E90" s="288" t="s">
        <v>243</v>
      </c>
      <c r="F90" s="289" t="s">
        <v>244</v>
      </c>
      <c r="G90" s="290" t="s">
        <v>245</v>
      </c>
      <c r="H90" s="291" t="s">
        <v>246</v>
      </c>
      <c r="I90" s="217" t="s">
        <v>532</v>
      </c>
      <c r="J90" s="22" t="s">
        <v>13</v>
      </c>
      <c r="K90" s="717" t="s">
        <v>162</v>
      </c>
      <c r="L90" s="33" t="s">
        <v>470</v>
      </c>
    </row>
    <row r="91" spans="1:13">
      <c r="A91" s="2" t="s">
        <v>114</v>
      </c>
      <c r="B91" s="481" t="s">
        <v>128</v>
      </c>
      <c r="C91" s="59"/>
      <c r="D91" s="45" t="s">
        <v>148</v>
      </c>
      <c r="E91" s="545">
        <v>31</v>
      </c>
      <c r="F91" s="47">
        <v>31</v>
      </c>
      <c r="G91" s="223">
        <v>29000</v>
      </c>
      <c r="H91" s="222">
        <v>29000</v>
      </c>
      <c r="I91" s="144">
        <v>29000</v>
      </c>
      <c r="J91" s="6"/>
      <c r="K91" s="230"/>
      <c r="L91" s="14"/>
    </row>
    <row r="92" spans="1:13">
      <c r="A92" s="59" t="s">
        <v>151</v>
      </c>
      <c r="B92" s="4" t="s">
        <v>785</v>
      </c>
      <c r="C92" s="59"/>
      <c r="D92" s="45" t="s">
        <v>797</v>
      </c>
      <c r="E92" s="545">
        <v>30</v>
      </c>
      <c r="F92" s="47">
        <v>30</v>
      </c>
      <c r="G92" s="223">
        <v>27900</v>
      </c>
      <c r="H92" s="222">
        <v>27900</v>
      </c>
      <c r="I92" s="144"/>
      <c r="J92" s="6"/>
      <c r="K92" s="726"/>
      <c r="L92" s="14"/>
    </row>
    <row r="93" spans="1:13">
      <c r="A93" s="59" t="s">
        <v>152</v>
      </c>
      <c r="B93" s="453" t="s">
        <v>873</v>
      </c>
      <c r="C93" s="59"/>
      <c r="D93" s="45" t="s">
        <v>797</v>
      </c>
      <c r="E93" s="545">
        <v>31</v>
      </c>
      <c r="F93" s="47">
        <v>31</v>
      </c>
      <c r="G93" s="223">
        <v>21250</v>
      </c>
      <c r="H93" s="222">
        <v>21250</v>
      </c>
      <c r="I93" s="144"/>
      <c r="J93" s="6"/>
      <c r="K93" s="309" t="s">
        <v>839</v>
      </c>
      <c r="L93" s="33"/>
    </row>
    <row r="94" spans="1:13">
      <c r="A94" s="454" t="s">
        <v>153</v>
      </c>
      <c r="B94" s="815" t="s">
        <v>716</v>
      </c>
      <c r="C94" s="454"/>
      <c r="D94" s="477" t="s">
        <v>797</v>
      </c>
      <c r="E94" s="543">
        <v>180</v>
      </c>
      <c r="F94" s="456"/>
      <c r="G94" s="478"/>
      <c r="H94" s="478">
        <v>25000</v>
      </c>
      <c r="I94" s="463">
        <v>25000</v>
      </c>
      <c r="J94" s="479"/>
      <c r="K94" s="503"/>
      <c r="L94" s="501" t="s">
        <v>718</v>
      </c>
    </row>
    <row r="95" spans="1:13">
      <c r="A95" s="454" t="s">
        <v>132</v>
      </c>
      <c r="B95" s="253"/>
      <c r="C95" s="454"/>
      <c r="D95" s="477"/>
      <c r="E95" s="543"/>
      <c r="F95" s="456"/>
      <c r="G95" s="478"/>
      <c r="H95" s="478"/>
      <c r="I95" s="463"/>
      <c r="J95" s="454"/>
      <c r="K95" s="503"/>
      <c r="L95" s="501"/>
    </row>
    <row r="96" spans="1:13">
      <c r="A96" s="144" t="s">
        <v>132</v>
      </c>
      <c r="B96" s="903" t="s">
        <v>842</v>
      </c>
      <c r="C96" s="1212" t="s">
        <v>843</v>
      </c>
      <c r="D96" s="1210"/>
      <c r="E96" s="1210"/>
      <c r="F96" s="1211"/>
      <c r="G96" s="236"/>
      <c r="H96" s="478">
        <v>10000</v>
      </c>
      <c r="I96" s="463">
        <v>10000</v>
      </c>
      <c r="J96" s="14"/>
      <c r="K96" s="606"/>
      <c r="L96" s="14"/>
    </row>
    <row r="97" spans="1:12">
      <c r="G97" s="323"/>
      <c r="H97" s="728">
        <f t="shared" ref="H97:I97" si="3">SUM(H91:H96)</f>
        <v>113150</v>
      </c>
      <c r="I97" s="921">
        <f t="shared" si="3"/>
        <v>64000</v>
      </c>
      <c r="J97" s="14"/>
      <c r="K97" s="606"/>
      <c r="L97" s="14"/>
    </row>
    <row r="98" spans="1:12">
      <c r="A98" s="265"/>
      <c r="B98" s="905"/>
      <c r="C98" s="265"/>
      <c r="D98" s="731"/>
      <c r="E98" s="732"/>
      <c r="F98" s="733"/>
      <c r="G98" s="732"/>
      <c r="H98" s="732"/>
      <c r="I98" s="734"/>
      <c r="J98" s="704"/>
      <c r="K98" s="309"/>
      <c r="L98" s="14"/>
    </row>
    <row r="99" spans="1:12">
      <c r="A99" s="265"/>
      <c r="B99" s="730"/>
      <c r="C99" s="265"/>
      <c r="D99" s="731"/>
      <c r="E99" s="732"/>
      <c r="F99" s="733"/>
      <c r="G99" s="732"/>
      <c r="H99" s="732"/>
      <c r="I99" s="734"/>
      <c r="J99" s="704"/>
      <c r="K99" s="309"/>
      <c r="L99" s="14"/>
    </row>
    <row r="100" spans="1:12">
      <c r="A100" s="219" t="s">
        <v>5</v>
      </c>
      <c r="B100" s="342" t="s">
        <v>316</v>
      </c>
      <c r="C100" s="217"/>
      <c r="D100" s="129" t="s">
        <v>10</v>
      </c>
      <c r="E100" s="288" t="s">
        <v>243</v>
      </c>
      <c r="F100" s="289" t="s">
        <v>244</v>
      </c>
      <c r="G100" s="290" t="s">
        <v>245</v>
      </c>
      <c r="H100" s="291" t="s">
        <v>246</v>
      </c>
      <c r="I100" s="217" t="s">
        <v>532</v>
      </c>
      <c r="J100" s="22" t="s">
        <v>13</v>
      </c>
      <c r="K100" s="717" t="s">
        <v>162</v>
      </c>
      <c r="L100" s="287"/>
    </row>
    <row r="101" spans="1:12">
      <c r="A101" s="132" t="s">
        <v>458</v>
      </c>
      <c r="B101" s="906" t="s">
        <v>317</v>
      </c>
      <c r="C101" s="144"/>
      <c r="D101" s="645" t="s">
        <v>845</v>
      </c>
      <c r="E101" s="693">
        <v>90</v>
      </c>
      <c r="F101" s="103">
        <v>28</v>
      </c>
      <c r="G101" s="353">
        <v>28000</v>
      </c>
      <c r="H101" s="353"/>
      <c r="I101" s="144"/>
      <c r="J101" s="100"/>
      <c r="K101" s="464" t="s">
        <v>846</v>
      </c>
      <c r="L101" s="287"/>
    </row>
    <row r="102" spans="1:12">
      <c r="A102" s="132" t="s">
        <v>459</v>
      </c>
      <c r="B102" s="775" t="s">
        <v>883</v>
      </c>
      <c r="C102" s="100"/>
      <c r="D102" s="203" t="s">
        <v>884</v>
      </c>
      <c r="E102" s="587"/>
      <c r="F102" s="237"/>
      <c r="G102" s="449">
        <v>25000</v>
      </c>
      <c r="H102" s="353">
        <v>25000</v>
      </c>
      <c r="I102" s="144">
        <v>25000</v>
      </c>
      <c r="J102" s="144"/>
      <c r="K102" s="309"/>
      <c r="L102" s="325"/>
    </row>
    <row r="103" spans="1:12">
      <c r="A103" s="132" t="s">
        <v>460</v>
      </c>
      <c r="B103" s="816" t="s">
        <v>885</v>
      </c>
      <c r="C103" s="100"/>
      <c r="D103" s="203" t="s">
        <v>886</v>
      </c>
      <c r="E103" s="587"/>
      <c r="F103" s="237"/>
      <c r="G103" s="355">
        <v>15400</v>
      </c>
      <c r="H103" s="473">
        <v>15400</v>
      </c>
      <c r="I103" s="144">
        <v>15400</v>
      </c>
      <c r="J103" s="144"/>
      <c r="K103" s="309"/>
      <c r="L103" s="325"/>
    </row>
    <row r="104" spans="1:12">
      <c r="A104" s="132"/>
      <c r="B104" s="181"/>
      <c r="C104" s="100"/>
      <c r="D104" s="109"/>
      <c r="E104" s="587"/>
      <c r="F104" s="237"/>
      <c r="G104" s="323" t="s">
        <v>177</v>
      </c>
      <c r="H104" s="238">
        <f t="shared" ref="H104:I104" si="4">SUM(H101:H103)</f>
        <v>40400</v>
      </c>
      <c r="I104" s="736">
        <f t="shared" si="4"/>
        <v>40400</v>
      </c>
      <c r="J104" s="144"/>
      <c r="K104" s="309"/>
      <c r="L104" s="287"/>
    </row>
    <row r="105" spans="1:12">
      <c r="A105" s="265"/>
      <c r="B105" s="730"/>
      <c r="C105" s="265"/>
      <c r="D105" s="731"/>
      <c r="E105" s="732"/>
      <c r="F105" s="733"/>
      <c r="G105" s="737"/>
      <c r="H105" s="703"/>
      <c r="I105" s="734"/>
      <c r="J105" s="704"/>
      <c r="K105" s="734"/>
      <c r="L105" s="14"/>
    </row>
    <row r="106" spans="1:12">
      <c r="A106" s="265"/>
      <c r="B106" s="730"/>
      <c r="C106" s="265"/>
      <c r="D106" s="731"/>
      <c r="E106" s="732"/>
      <c r="F106" s="733"/>
      <c r="G106" s="737"/>
      <c r="H106" s="703"/>
      <c r="I106" s="734"/>
      <c r="J106" s="704"/>
      <c r="K106" s="734"/>
      <c r="L106" s="14"/>
    </row>
    <row r="107" spans="1:12">
      <c r="A107" s="219" t="s">
        <v>5</v>
      </c>
      <c r="B107" s="196" t="s">
        <v>111</v>
      </c>
      <c r="C107" s="189"/>
      <c r="D107" s="514" t="s">
        <v>10</v>
      </c>
      <c r="E107" s="515" t="s">
        <v>243</v>
      </c>
      <c r="F107" s="516" t="s">
        <v>244</v>
      </c>
      <c r="G107" s="738" t="s">
        <v>245</v>
      </c>
      <c r="H107" s="739" t="s">
        <v>246</v>
      </c>
      <c r="I107" s="217" t="s">
        <v>532</v>
      </c>
      <c r="J107" s="740" t="s">
        <v>13</v>
      </c>
      <c r="K107" s="741" t="s">
        <v>162</v>
      </c>
      <c r="L107" s="14"/>
    </row>
    <row r="108" spans="1:12">
      <c r="A108" s="2" t="s">
        <v>114</v>
      </c>
      <c r="B108" s="742" t="s">
        <v>630</v>
      </c>
      <c r="C108" s="59"/>
      <c r="D108" s="45" t="s">
        <v>887</v>
      </c>
      <c r="E108" s="545"/>
      <c r="F108" s="47">
        <v>27</v>
      </c>
      <c r="G108" s="223">
        <v>6300</v>
      </c>
      <c r="H108" s="223"/>
      <c r="I108" s="59">
        <v>6300</v>
      </c>
      <c r="J108" s="6"/>
      <c r="K108" s="230"/>
      <c r="L108" s="33"/>
    </row>
    <row r="109" spans="1:12">
      <c r="A109" s="6" t="s">
        <v>119</v>
      </c>
      <c r="B109" s="742" t="s">
        <v>847</v>
      </c>
      <c r="C109" s="59"/>
      <c r="D109" s="477" t="s">
        <v>848</v>
      </c>
      <c r="E109" s="545"/>
      <c r="F109" s="47">
        <v>22</v>
      </c>
      <c r="G109" s="223">
        <v>4258</v>
      </c>
      <c r="H109" s="223">
        <v>6000</v>
      </c>
      <c r="I109" s="697"/>
      <c r="J109" s="6"/>
      <c r="K109" s="230"/>
      <c r="L109" s="501"/>
    </row>
    <row r="110" spans="1:12">
      <c r="A110" s="192"/>
      <c r="B110" s="899"/>
      <c r="C110" s="144"/>
      <c r="D110" s="118"/>
      <c r="E110" s="719"/>
      <c r="F110" s="255"/>
      <c r="G110" s="236" t="s">
        <v>177</v>
      </c>
      <c r="H110" s="522">
        <f t="shared" ref="H110:I110" si="5">SUM(H108:H109)</f>
        <v>6000</v>
      </c>
      <c r="I110" s="729">
        <f t="shared" si="5"/>
        <v>6300</v>
      </c>
      <c r="J110" s="116"/>
      <c r="K110" s="642"/>
      <c r="L110" s="33"/>
    </row>
    <row r="111" spans="1:12">
      <c r="A111" s="324"/>
      <c r="B111" s="887"/>
      <c r="C111" s="14"/>
      <c r="D111" s="185"/>
      <c r="E111" s="557"/>
      <c r="F111" s="209"/>
      <c r="G111" s="209"/>
      <c r="H111" s="14"/>
      <c r="I111" s="14"/>
      <c r="J111" s="14"/>
      <c r="K111" s="743"/>
      <c r="L111" s="14"/>
    </row>
    <row r="112" spans="1:12">
      <c r="A112" s="889"/>
      <c r="C112" s="499"/>
      <c r="E112" s="287"/>
      <c r="I112" s="499"/>
      <c r="K112" s="287"/>
      <c r="L112" s="287"/>
    </row>
    <row r="113" spans="1:26">
      <c r="A113" s="357" t="s">
        <v>5</v>
      </c>
      <c r="B113" s="358" t="s">
        <v>319</v>
      </c>
      <c r="C113" s="510"/>
      <c r="D113" s="360" t="s">
        <v>10</v>
      </c>
      <c r="E113" s="361" t="s">
        <v>243</v>
      </c>
      <c r="F113" s="362" t="s">
        <v>244</v>
      </c>
      <c r="G113" s="362" t="s">
        <v>245</v>
      </c>
      <c r="H113" s="363" t="s">
        <v>246</v>
      </c>
      <c r="I113" s="744" t="s">
        <v>532</v>
      </c>
      <c r="J113" s="363" t="s">
        <v>13</v>
      </c>
      <c r="K113" s="745" t="s">
        <v>162</v>
      </c>
      <c r="L113" s="287"/>
    </row>
    <row r="114" spans="1:26">
      <c r="A114" s="365" t="s">
        <v>676</v>
      </c>
      <c r="B114" s="820" t="s">
        <v>773</v>
      </c>
      <c r="C114" s="511"/>
      <c r="D114" s="909" t="s">
        <v>795</v>
      </c>
      <c r="E114" s="746">
        <v>180</v>
      </c>
      <c r="F114" s="747"/>
      <c r="G114" s="547"/>
      <c r="H114" s="547">
        <v>25500</v>
      </c>
      <c r="I114" s="748"/>
      <c r="J114" s="7"/>
      <c r="K114" s="230" t="s">
        <v>765</v>
      </c>
      <c r="L114" s="325" t="s">
        <v>776</v>
      </c>
    </row>
    <row r="115" spans="1:26">
      <c r="A115" s="370"/>
      <c r="B115" s="371"/>
      <c r="C115" s="511"/>
      <c r="D115" s="371"/>
      <c r="E115" s="749"/>
      <c r="F115" s="368"/>
      <c r="G115" s="549"/>
      <c r="H115" s="547"/>
      <c r="I115" s="750"/>
      <c r="J115" s="7"/>
      <c r="K115" s="752"/>
      <c r="L115" s="287"/>
    </row>
    <row r="116" spans="1:26">
      <c r="A116" s="365" t="s">
        <v>677</v>
      </c>
      <c r="B116" s="790" t="s">
        <v>660</v>
      </c>
      <c r="C116" s="755"/>
      <c r="D116" s="756" t="s">
        <v>863</v>
      </c>
      <c r="E116" s="758">
        <v>90</v>
      </c>
      <c r="F116" s="759"/>
      <c r="G116" s="761"/>
      <c r="H116" s="762" t="s">
        <v>859</v>
      </c>
      <c r="I116" s="753">
        <v>27000</v>
      </c>
      <c r="J116" s="369"/>
      <c r="K116" s="230"/>
      <c r="L116" s="325" t="s">
        <v>888</v>
      </c>
    </row>
    <row r="117" spans="1:26">
      <c r="A117" s="753"/>
      <c r="B117" s="910"/>
      <c r="C117" s="755"/>
      <c r="D117" s="235"/>
      <c r="E117" s="652"/>
      <c r="F117" s="653"/>
      <c r="G117" s="764" t="s">
        <v>177</v>
      </c>
      <c r="H117" s="765">
        <f t="shared" ref="H117:I117" si="6">SUM(H114:H116)</f>
        <v>25500</v>
      </c>
      <c r="I117" s="766">
        <f t="shared" si="6"/>
        <v>27000</v>
      </c>
      <c r="J117" s="369"/>
      <c r="K117" s="767"/>
    </row>
    <row r="118" spans="1:26">
      <c r="C118" s="499"/>
      <c r="E118" s="287"/>
      <c r="I118" s="499"/>
      <c r="K118" s="287"/>
      <c r="L118" s="768"/>
    </row>
    <row r="119" spans="1:26">
      <c r="A119" s="219" t="s">
        <v>5</v>
      </c>
      <c r="B119" s="342" t="s">
        <v>861</v>
      </c>
      <c r="C119" s="187"/>
      <c r="D119" s="129" t="s">
        <v>10</v>
      </c>
      <c r="E119" s="288" t="s">
        <v>243</v>
      </c>
      <c r="F119" s="289" t="s">
        <v>244</v>
      </c>
      <c r="G119" s="290" t="s">
        <v>245</v>
      </c>
      <c r="H119" s="291" t="s">
        <v>246</v>
      </c>
      <c r="I119" s="217" t="s">
        <v>532</v>
      </c>
      <c r="J119" s="22" t="s">
        <v>13</v>
      </c>
      <c r="K119" s="717" t="s">
        <v>162</v>
      </c>
    </row>
    <row r="120" spans="1:26">
      <c r="A120" s="132" t="s">
        <v>114</v>
      </c>
      <c r="B120" s="481" t="s">
        <v>842</v>
      </c>
      <c r="C120" s="59"/>
      <c r="D120" s="51" t="s">
        <v>864</v>
      </c>
      <c r="E120" s="545"/>
      <c r="F120" s="47"/>
      <c r="G120" s="223">
        <v>10000</v>
      </c>
      <c r="H120" s="778">
        <v>10000</v>
      </c>
      <c r="I120" s="463"/>
      <c r="J120" s="6"/>
      <c r="K120" s="230" t="s">
        <v>331</v>
      </c>
    </row>
    <row r="121" spans="1:26">
      <c r="A121" s="482" t="s">
        <v>119</v>
      </c>
      <c r="B121" s="481"/>
      <c r="C121" s="454"/>
      <c r="D121" s="454"/>
      <c r="E121" s="543"/>
      <c r="F121" s="456"/>
      <c r="G121" s="478"/>
      <c r="H121" s="880"/>
      <c r="I121" s="779"/>
      <c r="J121" s="479"/>
      <c r="K121" s="503"/>
    </row>
    <row r="122" spans="1:26">
      <c r="A122" s="702" t="s">
        <v>114</v>
      </c>
      <c r="B122" s="283" t="s">
        <v>364</v>
      </c>
      <c r="C122" s="49"/>
      <c r="D122" s="51" t="s">
        <v>865</v>
      </c>
      <c r="E122" s="675">
        <v>27</v>
      </c>
      <c r="F122" s="221"/>
      <c r="G122" s="308">
        <v>57000</v>
      </c>
      <c r="H122" s="260">
        <v>19000</v>
      </c>
      <c r="I122" s="260"/>
      <c r="J122" s="251"/>
      <c r="K122" s="309" t="s">
        <v>693</v>
      </c>
      <c r="L122" s="926" t="s">
        <v>895</v>
      </c>
      <c r="M122" s="681"/>
      <c r="N122" s="681"/>
      <c r="O122" s="681"/>
      <c r="P122" s="681"/>
      <c r="Q122" s="681"/>
      <c r="R122" s="681"/>
      <c r="S122" s="681"/>
      <c r="T122" s="681"/>
      <c r="U122" s="681"/>
      <c r="V122" s="681"/>
      <c r="W122" s="681"/>
      <c r="X122" s="681"/>
      <c r="Y122" s="681"/>
      <c r="Z122" s="681"/>
    </row>
    <row r="123" spans="1:26">
      <c r="A123" s="132"/>
      <c r="B123" s="29"/>
      <c r="C123" s="6"/>
      <c r="D123" s="8"/>
      <c r="E123" s="675"/>
      <c r="F123" s="221"/>
      <c r="G123" s="236"/>
      <c r="H123" s="779"/>
      <c r="I123" s="463"/>
      <c r="J123" s="59"/>
      <c r="K123" s="309"/>
    </row>
    <row r="124" spans="1:26">
      <c r="A124" s="132"/>
      <c r="B124" s="29"/>
      <c r="C124" s="6"/>
      <c r="D124" s="8"/>
      <c r="E124" s="675"/>
      <c r="F124" s="221"/>
      <c r="G124" s="236"/>
      <c r="H124" s="779"/>
      <c r="I124" s="463"/>
      <c r="J124" s="59"/>
      <c r="K124" s="309"/>
    </row>
    <row r="125" spans="1:26">
      <c r="A125" s="132"/>
      <c r="B125" s="29"/>
      <c r="C125" s="6"/>
      <c r="D125" s="8"/>
      <c r="E125" s="675"/>
      <c r="F125" s="221"/>
      <c r="G125" s="236" t="s">
        <v>177</v>
      </c>
      <c r="H125" s="264">
        <f t="shared" ref="H125:I125" si="7">SUM(H120:H124)</f>
        <v>29000</v>
      </c>
      <c r="I125" s="920">
        <f t="shared" si="7"/>
        <v>0</v>
      </c>
      <c r="J125" s="59"/>
      <c r="K125" s="309"/>
    </row>
    <row r="126" spans="1:26">
      <c r="C126" s="499"/>
      <c r="E126" s="287"/>
      <c r="I126" s="499"/>
      <c r="K126" s="287"/>
    </row>
    <row r="127" spans="1:26">
      <c r="A127" s="219" t="s">
        <v>5</v>
      </c>
      <c r="B127" s="342" t="s">
        <v>323</v>
      </c>
      <c r="C127" s="187"/>
      <c r="D127" s="129" t="s">
        <v>10</v>
      </c>
      <c r="E127" s="288" t="s">
        <v>243</v>
      </c>
      <c r="F127" s="289" t="s">
        <v>244</v>
      </c>
      <c r="G127" s="290" t="s">
        <v>245</v>
      </c>
      <c r="H127" s="291" t="s">
        <v>246</v>
      </c>
      <c r="I127" s="217" t="s">
        <v>532</v>
      </c>
      <c r="J127" s="22" t="s">
        <v>13</v>
      </c>
      <c r="K127" s="717" t="s">
        <v>162</v>
      </c>
    </row>
    <row r="128" spans="1:26">
      <c r="A128" s="132" t="s">
        <v>114</v>
      </c>
      <c r="B128" s="481" t="s">
        <v>681</v>
      </c>
      <c r="C128" s="59"/>
      <c r="D128" s="51" t="s">
        <v>829</v>
      </c>
      <c r="E128" s="545">
        <v>90</v>
      </c>
      <c r="F128" s="47">
        <v>31</v>
      </c>
      <c r="G128" s="223">
        <v>57000</v>
      </c>
      <c r="H128" s="222">
        <v>19000</v>
      </c>
      <c r="I128" s="59">
        <v>19000</v>
      </c>
      <c r="J128" s="6"/>
      <c r="K128" s="230" t="s">
        <v>693</v>
      </c>
      <c r="L128" s="1" t="s">
        <v>901</v>
      </c>
    </row>
    <row r="129" spans="1:12">
      <c r="A129" s="482" t="s">
        <v>119</v>
      </c>
      <c r="B129" s="481" t="s">
        <v>873</v>
      </c>
      <c r="C129" s="454"/>
      <c r="D129" s="454" t="s">
        <v>797</v>
      </c>
      <c r="E129" s="543">
        <v>30</v>
      </c>
      <c r="F129" s="456">
        <v>30</v>
      </c>
      <c r="G129" s="478">
        <v>19500</v>
      </c>
      <c r="H129" s="478">
        <v>19500</v>
      </c>
      <c r="I129" s="727"/>
      <c r="J129" s="479"/>
      <c r="K129" s="503"/>
      <c r="L129" s="521"/>
    </row>
    <row r="130" spans="1:12">
      <c r="A130" s="132"/>
      <c r="B130" s="29"/>
      <c r="C130" s="6"/>
      <c r="D130" s="8"/>
      <c r="E130" s="675"/>
      <c r="F130" s="221"/>
      <c r="G130" s="236" t="s">
        <v>177</v>
      </c>
      <c r="H130" s="264">
        <f t="shared" ref="H130:I130" si="8">SUM(H128:H129)</f>
        <v>38500</v>
      </c>
      <c r="I130" s="770">
        <f t="shared" si="8"/>
        <v>19000</v>
      </c>
      <c r="J130" s="59"/>
      <c r="K130" s="309"/>
    </row>
    <row r="131" spans="1:12">
      <c r="C131" s="499"/>
      <c r="E131" s="287"/>
      <c r="I131" s="499"/>
      <c r="K131" s="287"/>
    </row>
    <row r="132" spans="1:12">
      <c r="C132" s="499"/>
      <c r="E132" s="287"/>
      <c r="I132" s="499"/>
      <c r="K132" s="287"/>
    </row>
    <row r="133" spans="1:12">
      <c r="A133" s="219" t="s">
        <v>5</v>
      </c>
      <c r="B133" s="342" t="s">
        <v>325</v>
      </c>
      <c r="C133" s="187"/>
      <c r="D133" s="129" t="s">
        <v>10</v>
      </c>
      <c r="E133" s="288" t="s">
        <v>243</v>
      </c>
      <c r="F133" s="289" t="s">
        <v>244</v>
      </c>
      <c r="G133" s="290" t="s">
        <v>245</v>
      </c>
      <c r="H133" s="291" t="s">
        <v>246</v>
      </c>
      <c r="I133" s="217" t="s">
        <v>532</v>
      </c>
      <c r="J133" s="22" t="s">
        <v>13</v>
      </c>
      <c r="K133" s="717" t="s">
        <v>162</v>
      </c>
    </row>
    <row r="134" spans="1:12">
      <c r="A134" s="452" t="s">
        <v>114</v>
      </c>
      <c r="B134" s="481" t="s">
        <v>134</v>
      </c>
      <c r="C134" s="454"/>
      <c r="D134" s="477" t="s">
        <v>148</v>
      </c>
      <c r="E134" s="543">
        <v>30</v>
      </c>
      <c r="F134" s="456">
        <v>31</v>
      </c>
      <c r="G134" s="478">
        <v>17500</v>
      </c>
      <c r="H134" s="478">
        <v>17500</v>
      </c>
      <c r="I134" s="454">
        <v>17500</v>
      </c>
      <c r="J134" s="454"/>
      <c r="K134" s="503"/>
      <c r="L134" s="509"/>
    </row>
    <row r="135" spans="1:12">
      <c r="A135" s="2" t="s">
        <v>119</v>
      </c>
      <c r="B135" s="481" t="s">
        <v>134</v>
      </c>
      <c r="C135" s="59"/>
      <c r="D135" s="59" t="s">
        <v>148</v>
      </c>
      <c r="E135" s="545">
        <v>30</v>
      </c>
      <c r="F135" s="47">
        <v>31</v>
      </c>
      <c r="G135" s="223">
        <v>17500</v>
      </c>
      <c r="H135" s="222">
        <v>17500</v>
      </c>
      <c r="I135" s="697">
        <v>17500</v>
      </c>
      <c r="J135" s="59"/>
      <c r="K135" s="230"/>
    </row>
    <row r="136" spans="1:12">
      <c r="A136" s="132"/>
      <c r="B136" s="29"/>
      <c r="C136" s="6"/>
      <c r="D136" s="8"/>
      <c r="E136" s="675"/>
      <c r="F136" s="221"/>
      <c r="G136" s="236" t="s">
        <v>177</v>
      </c>
      <c r="H136" s="264">
        <f t="shared" ref="H136:I136" si="9">SUM(H134:H135)</f>
        <v>35000</v>
      </c>
      <c r="I136" s="770">
        <f t="shared" si="9"/>
        <v>35000</v>
      </c>
      <c r="J136" s="59"/>
      <c r="K136" s="309"/>
    </row>
    <row r="137" spans="1:12">
      <c r="C137" s="499"/>
      <c r="E137" s="287"/>
      <c r="I137" s="499"/>
      <c r="K137" s="287"/>
    </row>
    <row r="138" spans="1:12">
      <c r="C138" s="499"/>
      <c r="E138" s="287"/>
      <c r="I138" s="499"/>
      <c r="K138" s="287"/>
    </row>
    <row r="139" spans="1:12">
      <c r="A139" s="219" t="s">
        <v>5</v>
      </c>
      <c r="B139" s="342" t="s">
        <v>326</v>
      </c>
      <c r="C139" s="187"/>
      <c r="D139" s="129" t="s">
        <v>10</v>
      </c>
      <c r="E139" s="288" t="s">
        <v>243</v>
      </c>
      <c r="F139" s="289" t="s">
        <v>244</v>
      </c>
      <c r="G139" s="290" t="s">
        <v>245</v>
      </c>
      <c r="H139" s="291" t="s">
        <v>246</v>
      </c>
      <c r="I139" s="217" t="s">
        <v>532</v>
      </c>
      <c r="J139" s="22" t="s">
        <v>13</v>
      </c>
      <c r="K139" s="717" t="s">
        <v>162</v>
      </c>
    </row>
    <row r="140" spans="1:12">
      <c r="A140" s="2" t="s">
        <v>114</v>
      </c>
      <c r="B140" s="481" t="s">
        <v>407</v>
      </c>
      <c r="C140" s="59"/>
      <c r="D140" s="51" t="s">
        <v>148</v>
      </c>
      <c r="E140" s="545">
        <v>30</v>
      </c>
      <c r="F140" s="47">
        <v>31</v>
      </c>
      <c r="G140" s="223">
        <v>21250</v>
      </c>
      <c r="H140" s="223">
        <v>21250</v>
      </c>
      <c r="I140" s="59">
        <v>21250</v>
      </c>
      <c r="J140" s="6"/>
      <c r="K140" s="230"/>
    </row>
    <row r="141" spans="1:12">
      <c r="A141" s="132" t="s">
        <v>119</v>
      </c>
      <c r="B141" s="4" t="s">
        <v>644</v>
      </c>
      <c r="C141" s="6"/>
      <c r="D141" s="45" t="s">
        <v>751</v>
      </c>
      <c r="E141" s="675">
        <v>30</v>
      </c>
      <c r="F141" s="222">
        <v>31</v>
      </c>
      <c r="G141" s="564">
        <v>10000</v>
      </c>
      <c r="H141" s="260">
        <v>10000</v>
      </c>
      <c r="I141" s="697"/>
      <c r="J141" s="59"/>
      <c r="K141" s="309" t="s">
        <v>866</v>
      </c>
    </row>
    <row r="142" spans="1:12">
      <c r="A142" s="235"/>
      <c r="B142" s="235"/>
      <c r="C142" s="771"/>
      <c r="D142" s="235"/>
      <c r="E142" s="610"/>
      <c r="F142" s="235"/>
      <c r="G142" s="323" t="s">
        <v>177</v>
      </c>
      <c r="H142" s="772">
        <f t="shared" ref="H142:I142" si="10">SUM(H140:H141)</f>
        <v>31250</v>
      </c>
      <c r="I142" s="773">
        <f t="shared" si="10"/>
        <v>21250</v>
      </c>
      <c r="J142" s="774"/>
      <c r="K142" s="610"/>
    </row>
    <row r="143" spans="1:12">
      <c r="C143" s="499"/>
      <c r="E143" s="287"/>
      <c r="I143" s="499"/>
      <c r="K143" s="287"/>
    </row>
    <row r="144" spans="1:12">
      <c r="E144" s="287"/>
      <c r="I144" s="499"/>
      <c r="K144" s="287"/>
    </row>
    <row r="145" spans="1:12">
      <c r="A145" s="219" t="s">
        <v>5</v>
      </c>
      <c r="B145" s="342" t="s">
        <v>437</v>
      </c>
      <c r="C145" s="187"/>
      <c r="D145" s="129" t="s">
        <v>10</v>
      </c>
      <c r="E145" s="288" t="s">
        <v>243</v>
      </c>
      <c r="F145" s="289" t="s">
        <v>244</v>
      </c>
      <c r="G145" s="290" t="s">
        <v>245</v>
      </c>
      <c r="H145" s="291" t="s">
        <v>246</v>
      </c>
      <c r="I145" s="217" t="s">
        <v>532</v>
      </c>
      <c r="J145" s="22" t="s">
        <v>13</v>
      </c>
      <c r="K145" s="717" t="s">
        <v>162</v>
      </c>
      <c r="L145" s="14"/>
    </row>
    <row r="146" spans="1:12">
      <c r="A146" s="463" t="s">
        <v>114</v>
      </c>
      <c r="B146" s="907"/>
      <c r="C146" s="463"/>
      <c r="D146" s="614"/>
      <c r="E146" s="776"/>
      <c r="F146" s="777"/>
      <c r="G146" s="778"/>
      <c r="H146" s="778"/>
      <c r="I146" s="463"/>
      <c r="J146" s="779"/>
      <c r="K146" s="503"/>
      <c r="L146" s="504"/>
    </row>
    <row r="147" spans="1:12">
      <c r="A147" s="260" t="s">
        <v>119</v>
      </c>
      <c r="B147" s="775"/>
      <c r="C147" s="260"/>
      <c r="D147" s="260"/>
      <c r="E147" s="587"/>
      <c r="F147" s="262"/>
      <c r="G147" s="270"/>
      <c r="H147" s="270"/>
      <c r="I147" s="794"/>
      <c r="J147" s="150"/>
      <c r="K147" s="309"/>
      <c r="L147" s="781"/>
    </row>
    <row r="148" spans="1:12">
      <c r="A148" s="260" t="s">
        <v>114</v>
      </c>
      <c r="B148" s="639" t="s">
        <v>871</v>
      </c>
      <c r="C148" s="260"/>
      <c r="D148" s="260" t="s">
        <v>796</v>
      </c>
      <c r="E148" s="587">
        <v>90</v>
      </c>
      <c r="F148" s="262">
        <v>7</v>
      </c>
      <c r="G148" s="270">
        <v>15000</v>
      </c>
      <c r="H148" s="270">
        <v>15000</v>
      </c>
      <c r="I148" s="794">
        <v>15000</v>
      </c>
      <c r="J148" s="150"/>
      <c r="K148" s="309" t="s">
        <v>806</v>
      </c>
      <c r="L148" s="482"/>
    </row>
    <row r="149" spans="1:12">
      <c r="A149" s="235"/>
      <c r="B149" s="4"/>
      <c r="C149" s="6"/>
      <c r="D149" s="45"/>
      <c r="E149" s="675"/>
      <c r="F149" s="221"/>
      <c r="G149" s="236" t="s">
        <v>177</v>
      </c>
      <c r="H149" s="264">
        <f t="shared" ref="H149:I149" si="11">SUM(H146:H148)</f>
        <v>15000</v>
      </c>
      <c r="I149" s="770">
        <f t="shared" si="11"/>
        <v>15000</v>
      </c>
      <c r="J149" s="59"/>
      <c r="K149" s="309"/>
      <c r="L149" s="341"/>
    </row>
    <row r="150" spans="1:12">
      <c r="A150" s="14"/>
      <c r="C150" s="499"/>
      <c r="E150" s="287"/>
      <c r="F150" s="286"/>
      <c r="G150" s="286"/>
      <c r="I150" s="499"/>
      <c r="K150" s="287"/>
    </row>
    <row r="151" spans="1:12">
      <c r="A151" s="219" t="s">
        <v>5</v>
      </c>
      <c r="B151" s="342" t="s">
        <v>441</v>
      </c>
      <c r="C151" s="187"/>
      <c r="D151" s="129" t="s">
        <v>10</v>
      </c>
      <c r="E151" s="288" t="s">
        <v>243</v>
      </c>
      <c r="F151" s="289" t="s">
        <v>244</v>
      </c>
      <c r="G151" s="290" t="s">
        <v>245</v>
      </c>
      <c r="H151" s="291" t="s">
        <v>246</v>
      </c>
      <c r="I151" s="217" t="s">
        <v>532</v>
      </c>
      <c r="J151" s="22" t="s">
        <v>13</v>
      </c>
      <c r="K151" s="717" t="s">
        <v>162</v>
      </c>
      <c r="L151" s="14"/>
    </row>
    <row r="152" spans="1:12">
      <c r="A152" s="132" t="s">
        <v>114</v>
      </c>
      <c r="B152" s="283" t="s">
        <v>914</v>
      </c>
      <c r="C152" s="59"/>
      <c r="D152" s="51" t="s">
        <v>915</v>
      </c>
      <c r="E152" s="545">
        <v>22</v>
      </c>
      <c r="F152" s="47">
        <v>8</v>
      </c>
      <c r="G152" s="223">
        <v>10000</v>
      </c>
      <c r="H152" s="222">
        <v>10000</v>
      </c>
      <c r="I152" s="59">
        <v>10000</v>
      </c>
      <c r="J152" s="6"/>
      <c r="K152" s="230"/>
      <c r="L152" s="352"/>
    </row>
    <row r="153" spans="1:12">
      <c r="A153" s="452" t="s">
        <v>119</v>
      </c>
      <c r="B153" s="481" t="s">
        <v>444</v>
      </c>
      <c r="C153" s="454"/>
      <c r="D153" s="454" t="s">
        <v>148</v>
      </c>
      <c r="E153" s="543">
        <v>365</v>
      </c>
      <c r="F153" s="456">
        <v>31</v>
      </c>
      <c r="G153" s="478">
        <v>19000</v>
      </c>
      <c r="H153" s="478">
        <v>19000</v>
      </c>
      <c r="I153" s="783">
        <v>19000</v>
      </c>
      <c r="J153" s="479"/>
      <c r="K153" s="503"/>
      <c r="L153" s="132"/>
    </row>
    <row r="154" spans="1:12">
      <c r="A154" s="132"/>
      <c r="B154" s="4"/>
      <c r="C154" s="6"/>
      <c r="D154" s="45"/>
      <c r="E154" s="675"/>
      <c r="F154" s="221"/>
      <c r="G154" s="236" t="s">
        <v>177</v>
      </c>
      <c r="H154" s="264">
        <f t="shared" ref="H154:I154" si="12">SUM(H152:H153)</f>
        <v>29000</v>
      </c>
      <c r="I154" s="770">
        <f t="shared" si="12"/>
        <v>29000</v>
      </c>
      <c r="J154" s="59"/>
      <c r="K154" s="309"/>
      <c r="L154" s="341"/>
    </row>
    <row r="155" spans="1:12">
      <c r="A155" s="33" t="s">
        <v>114</v>
      </c>
      <c r="B155" s="328" t="s">
        <v>916</v>
      </c>
      <c r="C155" s="499"/>
      <c r="E155" s="287"/>
      <c r="F155" s="286"/>
      <c r="G155" s="286"/>
      <c r="I155" s="499"/>
      <c r="K155" s="287"/>
    </row>
    <row r="156" spans="1:12">
      <c r="A156" s="219" t="s">
        <v>5</v>
      </c>
      <c r="B156" s="342" t="s">
        <v>445</v>
      </c>
      <c r="C156" s="187"/>
      <c r="D156" s="129" t="s">
        <v>10</v>
      </c>
      <c r="E156" s="288" t="s">
        <v>243</v>
      </c>
      <c r="F156" s="289" t="s">
        <v>244</v>
      </c>
      <c r="G156" s="290" t="s">
        <v>245</v>
      </c>
      <c r="H156" s="291" t="s">
        <v>246</v>
      </c>
      <c r="I156" s="217" t="s">
        <v>532</v>
      </c>
      <c r="J156" s="22" t="s">
        <v>13</v>
      </c>
      <c r="K156" s="717" t="s">
        <v>162</v>
      </c>
      <c r="L156" s="14"/>
    </row>
    <row r="157" spans="1:12">
      <c r="A157" s="2" t="s">
        <v>114</v>
      </c>
      <c r="B157" s="283" t="s">
        <v>918</v>
      </c>
      <c r="C157" s="251"/>
      <c r="D157" s="51" t="s">
        <v>919</v>
      </c>
      <c r="E157" s="675"/>
      <c r="F157" s="52"/>
      <c r="G157" s="222"/>
      <c r="H157" s="222"/>
      <c r="I157" s="251"/>
      <c r="J157" s="49"/>
      <c r="K157" s="309" t="s">
        <v>296</v>
      </c>
      <c r="L157" s="794"/>
    </row>
    <row r="158" spans="1:12">
      <c r="A158" s="452" t="s">
        <v>119</v>
      </c>
      <c r="B158" s="481" t="s">
        <v>695</v>
      </c>
      <c r="C158" s="454"/>
      <c r="D158" s="454" t="s">
        <v>887</v>
      </c>
      <c r="E158" s="543">
        <v>30</v>
      </c>
      <c r="F158" s="456"/>
      <c r="G158" s="478">
        <v>19000</v>
      </c>
      <c r="H158" s="478">
        <v>19000</v>
      </c>
      <c r="I158" s="783">
        <v>19000</v>
      </c>
      <c r="J158" s="479"/>
      <c r="K158" s="503"/>
      <c r="L158" s="132" t="s">
        <v>736</v>
      </c>
    </row>
    <row r="159" spans="1:12">
      <c r="A159" s="132"/>
      <c r="B159" s="4"/>
      <c r="C159" s="6"/>
      <c r="D159" s="45"/>
      <c r="E159" s="675"/>
      <c r="F159" s="221"/>
      <c r="G159" s="236" t="s">
        <v>177</v>
      </c>
      <c r="H159" s="264">
        <f t="shared" ref="H159:I159" si="13">SUM(H157:H158)</f>
        <v>19000</v>
      </c>
      <c r="I159" s="785">
        <f t="shared" si="13"/>
        <v>19000</v>
      </c>
      <c r="J159" s="59"/>
      <c r="K159" s="309"/>
      <c r="L159" s="341"/>
    </row>
    <row r="160" spans="1:12">
      <c r="A160" s="14"/>
      <c r="C160" s="499"/>
      <c r="E160" s="287"/>
      <c r="F160" s="286"/>
      <c r="G160" s="286"/>
      <c r="I160" s="499"/>
      <c r="K160" s="287"/>
    </row>
    <row r="161" spans="5:11">
      <c r="E161" s="287"/>
      <c r="I161" s="499"/>
      <c r="K161" s="287"/>
    </row>
    <row r="162" spans="5:11">
      <c r="E162" s="287"/>
      <c r="H162" s="786" t="s">
        <v>668</v>
      </c>
      <c r="I162" s="787">
        <f>SUM(I159+I154+I149+I142+I136+I130+I117+I110+I104+I97+I89+I86+I73+I47+I23+I125)</f>
        <v>688350</v>
      </c>
      <c r="K162" s="287"/>
    </row>
    <row r="163" spans="5:11">
      <c r="E163" s="287"/>
      <c r="I163" s="499"/>
      <c r="K163" s="287"/>
    </row>
    <row r="164" spans="5:11">
      <c r="E164" s="287"/>
      <c r="H164" s="788" t="s">
        <v>671</v>
      </c>
      <c r="I164" s="789">
        <f>SUM(H159+H154+H149+H142+H136+H130+H117+H110+H104+H97+H89+H86+H73+H47+H23+H125)</f>
        <v>1002200</v>
      </c>
      <c r="K164" s="287"/>
    </row>
    <row r="165" spans="5:11">
      <c r="E165" s="287"/>
      <c r="I165" s="499"/>
      <c r="K165" s="287"/>
    </row>
    <row r="166" spans="5:11">
      <c r="E166" s="287"/>
      <c r="I166" s="499"/>
      <c r="J166" s="1" t="s">
        <v>199</v>
      </c>
      <c r="K166" s="287"/>
    </row>
  </sheetData>
  <mergeCells count="1">
    <mergeCell ref="C96:F9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Z180"/>
  <sheetViews>
    <sheetView workbookViewId="0"/>
  </sheetViews>
  <sheetFormatPr defaultColWidth="12.5703125" defaultRowHeight="15.75" customHeight="1"/>
  <cols>
    <col min="1" max="1" width="12" customWidth="1"/>
    <col min="2" max="2" width="27.42578125" customWidth="1"/>
    <col min="4" max="4" width="21.42578125" customWidth="1"/>
    <col min="11" max="11" width="20.28515625" customWidth="1"/>
    <col min="12" max="12" width="22.7109375" customWidth="1"/>
  </cols>
  <sheetData>
    <row r="1" spans="1:26">
      <c r="A1" s="1" t="s">
        <v>199</v>
      </c>
      <c r="C1" s="499"/>
      <c r="E1" s="287"/>
      <c r="I1" s="499"/>
      <c r="K1" s="287"/>
    </row>
    <row r="2" spans="1:26">
      <c r="C2" s="499"/>
      <c r="E2" s="287"/>
      <c r="I2" s="499"/>
      <c r="K2" s="287"/>
    </row>
    <row r="3" spans="1:26">
      <c r="A3" s="523" t="s">
        <v>5</v>
      </c>
      <c r="B3" s="524" t="s">
        <v>7</v>
      </c>
      <c r="C3" s="525" t="s">
        <v>159</v>
      </c>
      <c r="D3" s="526" t="s">
        <v>10</v>
      </c>
      <c r="E3" s="527" t="s">
        <v>243</v>
      </c>
      <c r="F3" s="528" t="s">
        <v>244</v>
      </c>
      <c r="G3" s="528" t="s">
        <v>245</v>
      </c>
      <c r="H3" s="529" t="s">
        <v>246</v>
      </c>
      <c r="I3" s="525" t="s">
        <v>532</v>
      </c>
      <c r="J3" s="530" t="s">
        <v>13</v>
      </c>
      <c r="K3" s="531" t="s">
        <v>162</v>
      </c>
      <c r="L3" s="14"/>
    </row>
    <row r="4" spans="1:26">
      <c r="A4" s="219"/>
      <c r="B4" s="4"/>
      <c r="C4" s="59"/>
      <c r="D4" s="45"/>
      <c r="E4" s="532"/>
      <c r="F4" s="220"/>
      <c r="G4" s="533"/>
      <c r="H4" s="533"/>
      <c r="I4" s="223"/>
      <c r="J4" s="223"/>
      <c r="K4" s="534"/>
      <c r="L4" s="33"/>
    </row>
    <row r="5" spans="1:26">
      <c r="A5" s="269">
        <v>1</v>
      </c>
      <c r="B5" s="617" t="s">
        <v>29</v>
      </c>
      <c r="C5" s="619">
        <v>5</v>
      </c>
      <c r="D5" s="621" t="s">
        <v>867</v>
      </c>
      <c r="E5" s="622" t="s">
        <v>534</v>
      </c>
      <c r="F5" s="619">
        <v>31</v>
      </c>
      <c r="G5" s="623">
        <v>32000</v>
      </c>
      <c r="H5" s="623">
        <v>32000</v>
      </c>
      <c r="I5" s="619">
        <v>32000</v>
      </c>
      <c r="J5" s="619"/>
      <c r="K5" s="622" t="s">
        <v>799</v>
      </c>
      <c r="L5" s="14"/>
    </row>
    <row r="6" spans="1:26">
      <c r="A6" s="269">
        <v>2</v>
      </c>
      <c r="B6" s="625" t="s">
        <v>20</v>
      </c>
      <c r="C6" s="619">
        <v>5</v>
      </c>
      <c r="D6" s="627"/>
      <c r="E6" s="622"/>
      <c r="F6" s="619"/>
      <c r="G6" s="623"/>
      <c r="H6" s="623"/>
      <c r="I6" s="619"/>
      <c r="J6" s="619"/>
      <c r="K6" s="622" t="s">
        <v>118</v>
      </c>
      <c r="L6" s="324"/>
    </row>
    <row r="7" spans="1:26">
      <c r="A7" s="269">
        <v>3</v>
      </c>
      <c r="B7" s="617" t="s">
        <v>340</v>
      </c>
      <c r="C7" s="621">
        <v>5</v>
      </c>
      <c r="D7" s="621" t="s">
        <v>868</v>
      </c>
      <c r="E7" s="629" t="s">
        <v>534</v>
      </c>
      <c r="F7" s="621">
        <v>31</v>
      </c>
      <c r="G7" s="623">
        <v>210000</v>
      </c>
      <c r="H7" s="623">
        <v>17500</v>
      </c>
      <c r="I7" s="621">
        <v>17500</v>
      </c>
      <c r="J7" s="621"/>
      <c r="K7" s="629" t="s">
        <v>535</v>
      </c>
      <c r="L7" s="539"/>
      <c r="M7" s="509"/>
    </row>
    <row r="8" spans="1:26">
      <c r="A8" s="269">
        <v>4</v>
      </c>
      <c r="B8" s="625" t="s">
        <v>536</v>
      </c>
      <c r="C8" s="619">
        <v>5</v>
      </c>
      <c r="D8" s="619" t="s">
        <v>18</v>
      </c>
      <c r="E8" s="622"/>
      <c r="F8" s="619"/>
      <c r="G8" s="623"/>
      <c r="H8" s="623"/>
      <c r="I8" s="619"/>
      <c r="J8" s="619"/>
      <c r="K8" s="622" t="s">
        <v>118</v>
      </c>
      <c r="L8" s="324"/>
    </row>
    <row r="9" spans="1:26">
      <c r="A9" s="269">
        <v>5</v>
      </c>
      <c r="B9" s="784" t="s">
        <v>538</v>
      </c>
      <c r="C9" s="619">
        <v>5</v>
      </c>
      <c r="D9" s="619" t="s">
        <v>867</v>
      </c>
      <c r="E9" s="622"/>
      <c r="F9" s="619">
        <v>31</v>
      </c>
      <c r="G9" s="623"/>
      <c r="H9" s="623">
        <v>29600</v>
      </c>
      <c r="I9" s="619"/>
      <c r="J9" s="619"/>
      <c r="K9" s="622" t="s">
        <v>806</v>
      </c>
      <c r="L9" s="324"/>
    </row>
    <row r="10" spans="1:26">
      <c r="A10" s="837">
        <v>6</v>
      </c>
      <c r="B10" s="823" t="s">
        <v>749</v>
      </c>
      <c r="C10" s="838">
        <v>5</v>
      </c>
      <c r="D10" s="839" t="s">
        <v>867</v>
      </c>
      <c r="E10" s="840">
        <v>90</v>
      </c>
      <c r="F10" s="838">
        <v>30</v>
      </c>
      <c r="G10" s="841">
        <v>29600</v>
      </c>
      <c r="H10" s="841">
        <v>29600</v>
      </c>
      <c r="I10" s="838">
        <v>29600</v>
      </c>
      <c r="J10" s="838"/>
      <c r="K10" s="840" t="s">
        <v>806</v>
      </c>
      <c r="L10" s="176"/>
      <c r="M10" s="842"/>
      <c r="N10" s="842"/>
      <c r="O10" s="842"/>
      <c r="P10" s="842"/>
      <c r="Q10" s="842"/>
      <c r="R10" s="842"/>
      <c r="S10" s="842"/>
      <c r="T10" s="842"/>
      <c r="U10" s="842"/>
      <c r="V10" s="842"/>
      <c r="W10" s="842"/>
      <c r="X10" s="842"/>
      <c r="Y10" s="842"/>
      <c r="Z10" s="842"/>
    </row>
    <row r="11" spans="1:26">
      <c r="A11" s="269">
        <v>7</v>
      </c>
      <c r="B11" s="876"/>
      <c r="C11" s="825"/>
      <c r="D11" s="838"/>
      <c r="E11" s="828"/>
      <c r="F11" s="825"/>
      <c r="G11" s="827"/>
      <c r="H11" s="841"/>
      <c r="I11" s="621"/>
      <c r="J11" s="621"/>
      <c r="K11" s="629"/>
      <c r="L11" s="451"/>
      <c r="M11" s="509"/>
    </row>
    <row r="12" spans="1:26">
      <c r="A12" s="269">
        <v>8</v>
      </c>
      <c r="B12" s="617" t="s">
        <v>574</v>
      </c>
      <c r="C12" s="619">
        <v>5</v>
      </c>
      <c r="D12" s="621" t="s">
        <v>867</v>
      </c>
      <c r="E12" s="622">
        <v>180</v>
      </c>
      <c r="F12" s="619">
        <v>31</v>
      </c>
      <c r="G12" s="623">
        <v>155400</v>
      </c>
      <c r="H12" s="623" t="s">
        <v>753</v>
      </c>
      <c r="I12" s="619">
        <v>25900</v>
      </c>
      <c r="J12" s="619"/>
      <c r="K12" s="622" t="s">
        <v>331</v>
      </c>
      <c r="L12" s="33" t="s">
        <v>664</v>
      </c>
      <c r="M12" s="1" t="s">
        <v>199</v>
      </c>
    </row>
    <row r="13" spans="1:26">
      <c r="A13" s="269">
        <v>9</v>
      </c>
      <c r="B13" s="617"/>
      <c r="C13" s="619"/>
      <c r="D13" s="619"/>
      <c r="E13" s="622"/>
      <c r="F13" s="619"/>
      <c r="G13" s="623"/>
      <c r="H13" s="623"/>
      <c r="I13" s="619"/>
      <c r="J13" s="619"/>
      <c r="K13" s="622"/>
      <c r="L13" s="33"/>
    </row>
    <row r="14" spans="1:26">
      <c r="A14" s="269">
        <v>10</v>
      </c>
      <c r="B14" s="617" t="s">
        <v>577</v>
      </c>
      <c r="C14" s="619">
        <v>5</v>
      </c>
      <c r="D14" s="619" t="s">
        <v>874</v>
      </c>
      <c r="E14" s="622">
        <v>180</v>
      </c>
      <c r="F14" s="619"/>
      <c r="G14" s="623">
        <v>150000</v>
      </c>
      <c r="H14" s="623">
        <v>25000</v>
      </c>
      <c r="I14" s="619">
        <v>25000</v>
      </c>
      <c r="J14" s="619"/>
      <c r="K14" s="622" t="s">
        <v>579</v>
      </c>
      <c r="L14" s="303"/>
    </row>
    <row r="15" spans="1:26">
      <c r="A15" s="269">
        <v>11</v>
      </c>
      <c r="B15" s="617" t="s">
        <v>770</v>
      </c>
      <c r="C15" s="619">
        <v>5</v>
      </c>
      <c r="D15" s="619" t="s">
        <v>867</v>
      </c>
      <c r="E15" s="622"/>
      <c r="F15" s="619"/>
      <c r="G15" s="623">
        <v>111000</v>
      </c>
      <c r="H15" s="623">
        <v>37000</v>
      </c>
      <c r="I15" s="619">
        <v>74000</v>
      </c>
      <c r="J15" s="619"/>
      <c r="K15" s="622" t="s">
        <v>771</v>
      </c>
      <c r="L15" s="33" t="s">
        <v>875</v>
      </c>
    </row>
    <row r="16" spans="1:26">
      <c r="A16" s="269">
        <v>12</v>
      </c>
      <c r="B16" s="617" t="s">
        <v>23</v>
      </c>
      <c r="C16" s="619">
        <v>5</v>
      </c>
      <c r="D16" s="619" t="s">
        <v>867</v>
      </c>
      <c r="E16" s="622" t="s">
        <v>534</v>
      </c>
      <c r="F16" s="619">
        <v>31</v>
      </c>
      <c r="G16" s="623">
        <v>33000</v>
      </c>
      <c r="H16" s="623">
        <v>33000</v>
      </c>
      <c r="I16" s="619">
        <v>33000</v>
      </c>
      <c r="J16" s="619"/>
      <c r="K16" s="622"/>
      <c r="L16" s="341" t="s">
        <v>581</v>
      </c>
    </row>
    <row r="17" spans="1:12">
      <c r="A17" s="269">
        <v>13</v>
      </c>
      <c r="B17" s="283"/>
      <c r="C17" s="251"/>
      <c r="D17" s="251"/>
      <c r="E17" s="882"/>
      <c r="F17" s="251"/>
      <c r="G17" s="251"/>
      <c r="H17" s="251"/>
      <c r="I17" s="251"/>
      <c r="J17" s="251"/>
      <c r="K17" s="673"/>
      <c r="L17" s="33"/>
    </row>
    <row r="18" spans="1:12">
      <c r="A18" s="269">
        <v>14</v>
      </c>
      <c r="B18" s="481" t="s">
        <v>743</v>
      </c>
      <c r="C18" s="454">
        <v>5</v>
      </c>
      <c r="D18" s="477" t="s">
        <v>209</v>
      </c>
      <c r="E18" s="543"/>
      <c r="F18" s="478">
        <v>31</v>
      </c>
      <c r="G18" s="478"/>
      <c r="H18" s="478">
        <v>25900</v>
      </c>
      <c r="I18" s="478">
        <v>25900</v>
      </c>
      <c r="J18" s="498"/>
      <c r="K18" s="503"/>
      <c r="L18" s="501" t="s">
        <v>148</v>
      </c>
    </row>
    <row r="19" spans="1:12">
      <c r="A19" s="269">
        <v>15</v>
      </c>
      <c r="B19" s="4" t="s">
        <v>773</v>
      </c>
      <c r="C19" s="59">
        <v>5</v>
      </c>
      <c r="D19" s="45" t="s">
        <v>878</v>
      </c>
      <c r="E19" s="545">
        <v>180</v>
      </c>
      <c r="F19" s="223">
        <v>11</v>
      </c>
      <c r="G19" s="223"/>
      <c r="H19" s="222">
        <v>25900</v>
      </c>
      <c r="I19" s="223">
        <v>25900</v>
      </c>
      <c r="J19" s="220"/>
      <c r="K19" s="1" t="s">
        <v>775</v>
      </c>
      <c r="L19" s="230" t="s">
        <v>776</v>
      </c>
    </row>
    <row r="20" spans="1:12">
      <c r="A20" s="269">
        <v>16</v>
      </c>
      <c r="B20" s="253"/>
      <c r="C20" s="59"/>
      <c r="D20" s="45"/>
      <c r="E20" s="545"/>
      <c r="F20" s="223"/>
      <c r="G20" s="223"/>
      <c r="H20" s="273"/>
      <c r="I20" s="233"/>
      <c r="J20" s="233"/>
      <c r="K20" s="230"/>
      <c r="L20" s="14"/>
    </row>
    <row r="21" spans="1:12">
      <c r="A21" s="269">
        <v>17</v>
      </c>
      <c r="B21" s="453" t="s">
        <v>628</v>
      </c>
      <c r="C21" s="454">
        <v>5</v>
      </c>
      <c r="D21" s="455" t="s">
        <v>879</v>
      </c>
      <c r="E21" s="543"/>
      <c r="F21" s="458"/>
      <c r="G21" s="458"/>
      <c r="H21" s="458">
        <v>25900</v>
      </c>
      <c r="I21" s="829">
        <v>25900</v>
      </c>
      <c r="J21" s="548"/>
      <c r="K21" s="503"/>
      <c r="L21" s="451"/>
    </row>
    <row r="22" spans="1:12">
      <c r="A22" s="269"/>
      <c r="B22" s="922" t="s">
        <v>880</v>
      </c>
      <c r="C22" s="59"/>
      <c r="D22" s="251" t="s">
        <v>881</v>
      </c>
      <c r="E22" s="550"/>
      <c r="F22" s="401"/>
      <c r="G22" s="402"/>
      <c r="H22" s="222"/>
      <c r="I22" s="551"/>
      <c r="J22" s="395"/>
      <c r="K22" s="309" t="s">
        <v>882</v>
      </c>
      <c r="L22" s="682" t="s">
        <v>590</v>
      </c>
    </row>
    <row r="23" spans="1:12">
      <c r="A23" s="114"/>
      <c r="B23" s="236" t="s">
        <v>177</v>
      </c>
      <c r="C23" s="6">
        <f>SUM(C3:C22)</f>
        <v>65</v>
      </c>
      <c r="D23" s="109"/>
      <c r="E23" s="552"/>
      <c r="F23" s="237"/>
      <c r="G23" s="237">
        <f t="shared" ref="G23:H23" si="0">SUM(G4:G22)</f>
        <v>721000</v>
      </c>
      <c r="H23" s="553">
        <f t="shared" si="0"/>
        <v>281400</v>
      </c>
      <c r="I23" s="554">
        <f>SUM(I5:I22)</f>
        <v>314700</v>
      </c>
      <c r="J23" s="555">
        <f>SUM(J4:J22)</f>
        <v>0</v>
      </c>
      <c r="K23" s="556">
        <f>H23+J23</f>
        <v>281400</v>
      </c>
      <c r="L23" s="696">
        <f>K23/G23*100</f>
        <v>39.029126213592235</v>
      </c>
    </row>
    <row r="24" spans="1:12">
      <c r="A24" s="265"/>
      <c r="B24" s="206"/>
      <c r="C24" s="697"/>
      <c r="D24" s="185"/>
      <c r="E24" s="557"/>
      <c r="F24" s="558"/>
      <c r="G24" s="558"/>
      <c r="H24" s="265"/>
      <c r="I24" s="265"/>
      <c r="J24" s="265"/>
      <c r="K24" s="559"/>
      <c r="L24" s="14"/>
    </row>
    <row r="25" spans="1:12">
      <c r="A25" s="560"/>
      <c r="B25" s="561"/>
      <c r="C25" s="562"/>
      <c r="D25" s="561"/>
      <c r="E25" s="563"/>
      <c r="F25" s="561"/>
      <c r="G25" s="565"/>
      <c r="H25" s="565"/>
      <c r="I25" s="566"/>
      <c r="J25" s="566"/>
      <c r="K25" s="567"/>
      <c r="L25" s="33"/>
    </row>
    <row r="26" spans="1:12">
      <c r="A26" s="568"/>
      <c r="B26" s="569"/>
      <c r="C26" s="338"/>
      <c r="D26" s="570"/>
      <c r="E26" s="571"/>
      <c r="F26" s="572"/>
      <c r="G26" s="572"/>
      <c r="H26" s="573"/>
      <c r="I26" s="574"/>
      <c r="J26" s="574"/>
      <c r="K26" s="575"/>
      <c r="L26" s="33"/>
    </row>
    <row r="27" spans="1:12">
      <c r="A27" s="568"/>
      <c r="B27" s="576"/>
      <c r="C27" s="340"/>
      <c r="D27" s="577"/>
      <c r="E27" s="578"/>
      <c r="F27" s="319"/>
      <c r="G27" s="319"/>
      <c r="H27" s="320"/>
      <c r="I27" s="320"/>
      <c r="J27" s="320"/>
      <c r="K27" s="579"/>
      <c r="L27" s="33"/>
    </row>
    <row r="28" spans="1:12">
      <c r="A28" s="580"/>
      <c r="B28" s="581"/>
      <c r="C28" s="260"/>
      <c r="D28" s="260"/>
      <c r="E28" s="578"/>
      <c r="F28" s="582"/>
      <c r="G28" s="572"/>
      <c r="H28" s="270"/>
      <c r="I28" s="583"/>
      <c r="J28" s="584"/>
      <c r="K28" s="585"/>
      <c r="L28" s="303"/>
    </row>
    <row r="29" spans="1:12">
      <c r="A29" s="568"/>
      <c r="B29" s="586"/>
      <c r="C29" s="340"/>
      <c r="D29" s="577"/>
      <c r="E29" s="587"/>
      <c r="F29" s="582"/>
      <c r="G29" s="582"/>
      <c r="H29" s="237"/>
      <c r="I29" s="582"/>
      <c r="J29" s="582"/>
      <c r="K29" s="588"/>
      <c r="L29" s="33"/>
    </row>
    <row r="30" spans="1:12">
      <c r="A30" s="589"/>
      <c r="B30" s="590"/>
      <c r="C30" s="591"/>
      <c r="D30" s="590"/>
      <c r="E30" s="592"/>
      <c r="F30" s="590"/>
      <c r="G30" s="590"/>
      <c r="H30" s="590"/>
      <c r="I30" s="591"/>
      <c r="J30" s="590"/>
      <c r="K30" s="593"/>
    </row>
    <row r="31" spans="1:12">
      <c r="A31" s="2"/>
      <c r="B31" s="4"/>
      <c r="C31" s="6"/>
      <c r="D31" s="8"/>
      <c r="E31" s="532"/>
      <c r="F31" s="220"/>
      <c r="G31" s="220"/>
      <c r="H31" s="6"/>
      <c r="I31" s="6"/>
      <c r="J31" s="6"/>
      <c r="K31" s="594"/>
      <c r="L31" s="14"/>
    </row>
    <row r="32" spans="1:12">
      <c r="A32" s="595" t="s">
        <v>5</v>
      </c>
      <c r="B32" s="596" t="s">
        <v>74</v>
      </c>
      <c r="C32" s="597" t="s">
        <v>159</v>
      </c>
      <c r="D32" s="598" t="s">
        <v>10</v>
      </c>
      <c r="E32" s="599" t="s">
        <v>243</v>
      </c>
      <c r="F32" s="600" t="s">
        <v>244</v>
      </c>
      <c r="G32" s="600" t="s">
        <v>245</v>
      </c>
      <c r="H32" s="601" t="s">
        <v>246</v>
      </c>
      <c r="I32" s="597" t="s">
        <v>532</v>
      </c>
      <c r="J32" s="602" t="s">
        <v>13</v>
      </c>
      <c r="K32" s="603" t="s">
        <v>162</v>
      </c>
      <c r="L32" s="14"/>
    </row>
    <row r="33" spans="1:12">
      <c r="A33" s="269">
        <v>1</v>
      </c>
      <c r="B33" s="443" t="s">
        <v>135</v>
      </c>
      <c r="C33" s="144">
        <v>5</v>
      </c>
      <c r="D33" s="715" t="s">
        <v>867</v>
      </c>
      <c r="E33" s="230" t="s">
        <v>148</v>
      </c>
      <c r="F33" s="144">
        <v>31</v>
      </c>
      <c r="G33" s="608"/>
      <c r="H33" s="608">
        <v>32000</v>
      </c>
      <c r="I33" s="608">
        <v>32000</v>
      </c>
      <c r="J33" s="609"/>
      <c r="K33" s="503"/>
      <c r="L33" s="491"/>
    </row>
    <row r="34" spans="1:12">
      <c r="A34" s="269">
        <v>2</v>
      </c>
      <c r="B34" s="830" t="s">
        <v>785</v>
      </c>
      <c r="C34" s="178">
        <v>5</v>
      </c>
      <c r="D34" s="854" t="s">
        <v>867</v>
      </c>
      <c r="E34" s="855">
        <v>90</v>
      </c>
      <c r="F34" s="854">
        <v>30</v>
      </c>
      <c r="G34" s="856"/>
      <c r="H34" s="857">
        <v>28000</v>
      </c>
      <c r="I34" s="864">
        <v>28000</v>
      </c>
      <c r="J34" s="612"/>
      <c r="K34" s="503" t="s">
        <v>806</v>
      </c>
      <c r="L34" s="14"/>
    </row>
    <row r="35" spans="1:12">
      <c r="A35" s="269">
        <v>3</v>
      </c>
      <c r="B35" s="830" t="s">
        <v>889</v>
      </c>
      <c r="C35" s="178">
        <v>5</v>
      </c>
      <c r="D35" s="171" t="s">
        <v>890</v>
      </c>
      <c r="E35" s="295"/>
      <c r="F35" s="178"/>
      <c r="G35" s="865"/>
      <c r="H35" s="865"/>
      <c r="I35" s="609"/>
      <c r="J35" s="609"/>
      <c r="K35" s="503" t="s">
        <v>118</v>
      </c>
      <c r="L35" s="14"/>
    </row>
    <row r="36" spans="1:12">
      <c r="A36" s="269">
        <v>4</v>
      </c>
      <c r="B36" s="443" t="s">
        <v>23</v>
      </c>
      <c r="C36" s="144">
        <v>5</v>
      </c>
      <c r="D36" s="715" t="s">
        <v>867</v>
      </c>
      <c r="E36" s="230" t="s">
        <v>534</v>
      </c>
      <c r="F36" s="144">
        <v>22</v>
      </c>
      <c r="G36" s="538">
        <v>363000</v>
      </c>
      <c r="H36" s="538">
        <v>33000</v>
      </c>
      <c r="I36" s="608">
        <v>33000</v>
      </c>
      <c r="J36" s="609"/>
      <c r="K36" s="503" t="s">
        <v>535</v>
      </c>
      <c r="L36" s="33" t="s">
        <v>581</v>
      </c>
    </row>
    <row r="37" spans="1:12">
      <c r="A37" s="269">
        <v>5</v>
      </c>
      <c r="B37" s="893"/>
      <c r="C37" s="473"/>
      <c r="D37" s="725"/>
      <c r="E37" s="230"/>
      <c r="F37" s="144"/>
      <c r="G37" s="608"/>
      <c r="H37" s="608"/>
      <c r="I37" s="608"/>
      <c r="J37" s="609"/>
      <c r="K37" s="503"/>
      <c r="L37" s="33"/>
    </row>
    <row r="38" spans="1:12">
      <c r="A38" s="269">
        <v>6</v>
      </c>
      <c r="B38" s="893"/>
      <c r="C38" s="144"/>
      <c r="D38" s="203"/>
      <c r="E38" s="230"/>
      <c r="F38" s="144"/>
      <c r="G38" s="608"/>
      <c r="H38" s="608"/>
      <c r="I38" s="608"/>
      <c r="J38" s="609"/>
      <c r="K38" s="503"/>
      <c r="L38" s="792"/>
    </row>
    <row r="39" spans="1:12">
      <c r="A39" s="269">
        <v>7</v>
      </c>
      <c r="B39" s="443" t="s">
        <v>536</v>
      </c>
      <c r="C39" s="144">
        <v>5</v>
      </c>
      <c r="D39" s="203"/>
      <c r="E39" s="606"/>
      <c r="F39" s="607"/>
      <c r="G39" s="609"/>
      <c r="H39" s="609"/>
      <c r="I39" s="609"/>
      <c r="J39" s="609"/>
      <c r="K39" s="503" t="s">
        <v>118</v>
      </c>
      <c r="L39" s="491"/>
    </row>
    <row r="40" spans="1:12">
      <c r="A40" s="269">
        <v>8</v>
      </c>
      <c r="B40" s="443" t="s">
        <v>366</v>
      </c>
      <c r="C40" s="144">
        <v>5</v>
      </c>
      <c r="D40" s="203" t="s">
        <v>868</v>
      </c>
      <c r="E40" s="230" t="s">
        <v>148</v>
      </c>
      <c r="F40" s="144">
        <v>31</v>
      </c>
      <c r="G40" s="609">
        <v>17500</v>
      </c>
      <c r="H40" s="608">
        <v>17500</v>
      </c>
      <c r="I40" s="608">
        <v>17500</v>
      </c>
      <c r="J40" s="609"/>
      <c r="K40" s="503" t="s">
        <v>331</v>
      </c>
      <c r="L40" s="491"/>
    </row>
    <row r="41" spans="1:12">
      <c r="A41" s="269">
        <v>9</v>
      </c>
      <c r="B41" s="793"/>
      <c r="C41" s="144"/>
      <c r="D41" s="203"/>
      <c r="E41" s="230"/>
      <c r="F41" s="144"/>
      <c r="G41" s="609"/>
      <c r="H41" s="865"/>
      <c r="I41" s="609"/>
      <c r="J41" s="609"/>
      <c r="K41" s="503"/>
      <c r="L41" s="33"/>
    </row>
    <row r="42" spans="1:12">
      <c r="A42" s="269">
        <v>10</v>
      </c>
      <c r="B42" s="443"/>
      <c r="C42" s="463"/>
      <c r="D42" s="715"/>
      <c r="E42" s="503"/>
      <c r="F42" s="463"/>
      <c r="G42" s="861"/>
      <c r="H42" s="862"/>
      <c r="I42" s="862"/>
      <c r="J42" s="861"/>
      <c r="K42" s="503"/>
      <c r="L42" s="867"/>
    </row>
    <row r="43" spans="1:12">
      <c r="A43" s="269">
        <v>11</v>
      </c>
      <c r="B43" s="453"/>
      <c r="C43" s="454"/>
      <c r="D43" s="477"/>
      <c r="E43" s="543"/>
      <c r="F43" s="478"/>
      <c r="G43" s="478"/>
      <c r="H43" s="478"/>
      <c r="I43" s="478"/>
      <c r="J43" s="498"/>
      <c r="K43" s="487"/>
      <c r="L43" s="792"/>
    </row>
    <row r="44" spans="1:12">
      <c r="A44" s="269">
        <v>12</v>
      </c>
      <c r="B44" s="893"/>
      <c r="C44" s="260"/>
      <c r="D44" s="645"/>
      <c r="E44" s="309"/>
      <c r="F44" s="694"/>
      <c r="G44" s="694"/>
      <c r="H44" s="694"/>
      <c r="I44" s="694"/>
      <c r="J44" s="695"/>
      <c r="K44" s="309"/>
      <c r="L44" s="898"/>
    </row>
    <row r="45" spans="1:12">
      <c r="A45" s="269">
        <v>13</v>
      </c>
      <c r="B45" s="443" t="s">
        <v>773</v>
      </c>
      <c r="C45" s="144">
        <v>5</v>
      </c>
      <c r="D45" s="203" t="s">
        <v>898</v>
      </c>
      <c r="E45" s="230">
        <v>180</v>
      </c>
      <c r="F45" s="608">
        <v>11</v>
      </c>
      <c r="G45" s="608"/>
      <c r="H45" s="608">
        <v>24500</v>
      </c>
      <c r="I45" s="608">
        <v>24500</v>
      </c>
      <c r="J45" s="609"/>
      <c r="K45" s="503" t="s">
        <v>768</v>
      </c>
      <c r="L45" s="496"/>
    </row>
    <row r="46" spans="1:12">
      <c r="A46" s="269">
        <v>14</v>
      </c>
      <c r="B46" s="443"/>
      <c r="C46" s="144"/>
      <c r="D46" s="203"/>
      <c r="E46" s="230"/>
      <c r="F46" s="608"/>
      <c r="G46" s="608"/>
      <c r="H46" s="608"/>
      <c r="I46" s="848"/>
      <c r="J46" s="609"/>
      <c r="K46" s="503"/>
      <c r="L46" s="682"/>
    </row>
    <row r="47" spans="1:12">
      <c r="A47" s="2"/>
      <c r="B47" s="236" t="s">
        <v>177</v>
      </c>
      <c r="C47" s="6">
        <f>SUM(C33:C46)</f>
        <v>35</v>
      </c>
      <c r="D47" s="8"/>
      <c r="E47" s="618">
        <f>SUM(E33:E46)</f>
        <v>270</v>
      </c>
      <c r="F47" s="620"/>
      <c r="G47" s="620">
        <f t="shared" ref="G47:J47" si="1">SUM(G33:G46)</f>
        <v>380500</v>
      </c>
      <c r="H47" s="624">
        <f t="shared" si="1"/>
        <v>135000</v>
      </c>
      <c r="I47" s="626">
        <f t="shared" si="1"/>
        <v>135000</v>
      </c>
      <c r="J47" s="620">
        <f t="shared" si="1"/>
        <v>0</v>
      </c>
      <c r="K47" s="628">
        <f>H47+J47</f>
        <v>135000</v>
      </c>
      <c r="L47" s="696">
        <f>K47/G47*100</f>
        <v>35.479632063074902</v>
      </c>
    </row>
    <row r="48" spans="1:12">
      <c r="A48" s="14"/>
      <c r="B48" s="206"/>
      <c r="C48" s="198"/>
      <c r="D48" s="185"/>
      <c r="E48" s="557"/>
      <c r="F48" s="209"/>
      <c r="G48" s="209"/>
      <c r="H48" s="14"/>
      <c r="I48" s="14"/>
      <c r="J48" s="14"/>
      <c r="K48" s="559"/>
      <c r="L48" s="14"/>
    </row>
    <row r="49" spans="1:13">
      <c r="A49" s="683" t="s">
        <v>5</v>
      </c>
      <c r="B49" s="931" t="s">
        <v>281</v>
      </c>
      <c r="C49" s="685" t="s">
        <v>159</v>
      </c>
      <c r="D49" s="686" t="s">
        <v>10</v>
      </c>
      <c r="E49" s="687" t="s">
        <v>243</v>
      </c>
      <c r="F49" s="688" t="s">
        <v>244</v>
      </c>
      <c r="G49" s="688" t="s">
        <v>245</v>
      </c>
      <c r="H49" s="689" t="s">
        <v>246</v>
      </c>
      <c r="I49" s="685" t="s">
        <v>532</v>
      </c>
      <c r="J49" s="690" t="s">
        <v>13</v>
      </c>
      <c r="K49" s="691" t="s">
        <v>162</v>
      </c>
      <c r="L49" s="14"/>
    </row>
    <row r="50" spans="1:13">
      <c r="A50" s="269">
        <v>1</v>
      </c>
      <c r="B50" s="639"/>
      <c r="C50" s="150"/>
      <c r="D50" s="641"/>
      <c r="E50" s="642"/>
      <c r="F50" s="237"/>
      <c r="G50" s="150"/>
      <c r="H50" s="270"/>
      <c r="I50" s="237"/>
      <c r="J50" s="237"/>
      <c r="K50" s="933"/>
      <c r="L50" s="451"/>
    </row>
    <row r="51" spans="1:13">
      <c r="A51" s="269">
        <v>2</v>
      </c>
      <c r="B51" s="644"/>
      <c r="C51" s="260"/>
      <c r="D51" s="645"/>
      <c r="E51" s="642"/>
      <c r="F51" s="237"/>
      <c r="G51" s="150"/>
      <c r="H51" s="237"/>
      <c r="I51" s="237"/>
      <c r="J51" s="237"/>
      <c r="K51" s="934"/>
      <c r="L51" s="14"/>
    </row>
    <row r="52" spans="1:13">
      <c r="A52" s="269">
        <v>3</v>
      </c>
      <c r="B52" s="647"/>
      <c r="C52" s="649"/>
      <c r="D52" s="651"/>
      <c r="E52" s="652"/>
      <c r="F52" s="653"/>
      <c r="G52" s="653"/>
      <c r="H52" s="653"/>
      <c r="I52" s="654"/>
      <c r="J52" s="653"/>
      <c r="K52" s="935"/>
      <c r="L52" s="14"/>
    </row>
    <row r="53" spans="1:13">
      <c r="A53" s="269">
        <v>4</v>
      </c>
      <c r="B53" s="644"/>
      <c r="C53" s="260"/>
      <c r="D53" s="645"/>
      <c r="E53" s="642"/>
      <c r="F53" s="237"/>
      <c r="G53" s="270"/>
      <c r="H53" s="270"/>
      <c r="I53" s="237"/>
      <c r="J53" s="237"/>
      <c r="K53" s="934"/>
      <c r="L53" s="14"/>
    </row>
    <row r="54" spans="1:13">
      <c r="A54" s="269">
        <v>5</v>
      </c>
      <c r="B54" s="639"/>
      <c r="C54" s="260"/>
      <c r="D54" s="645"/>
      <c r="E54" s="587"/>
      <c r="F54" s="270"/>
      <c r="G54" s="270"/>
      <c r="H54" s="237"/>
      <c r="I54" s="150"/>
      <c r="J54" s="150"/>
      <c r="K54" s="934"/>
      <c r="L54" s="14"/>
    </row>
    <row r="55" spans="1:13">
      <c r="A55" s="269">
        <v>6</v>
      </c>
      <c r="B55" s="639"/>
      <c r="C55" s="309"/>
      <c r="D55" s="657"/>
      <c r="E55" s="587"/>
      <c r="F55" s="658"/>
      <c r="G55" s="659"/>
      <c r="H55" s="660"/>
      <c r="I55" s="642"/>
      <c r="J55" s="642"/>
      <c r="K55" s="309"/>
      <c r="L55" s="14"/>
    </row>
    <row r="56" spans="1:13">
      <c r="A56" s="269">
        <v>7</v>
      </c>
      <c r="B56" s="639"/>
      <c r="C56" s="309"/>
      <c r="D56" s="657"/>
      <c r="E56" s="587"/>
      <c r="F56" s="658"/>
      <c r="G56" s="659"/>
      <c r="H56" s="660"/>
      <c r="I56" s="642"/>
      <c r="J56" s="642"/>
      <c r="K56" s="309"/>
      <c r="L56" s="14"/>
    </row>
    <row r="57" spans="1:13">
      <c r="A57" s="269">
        <v>8</v>
      </c>
      <c r="B57" s="639"/>
      <c r="C57" s="309"/>
      <c r="D57" s="657"/>
      <c r="E57" s="587"/>
      <c r="F57" s="658"/>
      <c r="G57" s="659"/>
      <c r="H57" s="660"/>
      <c r="I57" s="642"/>
      <c r="J57" s="642"/>
      <c r="K57" s="309"/>
      <c r="L57" s="14"/>
    </row>
    <row r="58" spans="1:13">
      <c r="A58" s="269">
        <v>9</v>
      </c>
      <c r="B58" s="639"/>
      <c r="C58" s="309"/>
      <c r="D58" s="657"/>
      <c r="E58" s="587"/>
      <c r="F58" s="658"/>
      <c r="G58" s="659"/>
      <c r="H58" s="660"/>
      <c r="I58" s="642"/>
      <c r="J58" s="642"/>
      <c r="K58" s="309"/>
      <c r="L58" s="14"/>
    </row>
    <row r="59" spans="1:13">
      <c r="A59" s="269">
        <v>10</v>
      </c>
      <c r="B59" s="639"/>
      <c r="C59" s="309"/>
      <c r="D59" s="657"/>
      <c r="E59" s="587"/>
      <c r="F59" s="658"/>
      <c r="G59" s="659"/>
      <c r="H59" s="660"/>
      <c r="I59" s="642"/>
      <c r="J59" s="642"/>
      <c r="K59" s="309"/>
      <c r="L59" s="14"/>
    </row>
    <row r="60" spans="1:13">
      <c r="A60" s="269">
        <v>11</v>
      </c>
      <c r="B60" s="639"/>
      <c r="C60" s="309"/>
      <c r="D60" s="657"/>
      <c r="E60" s="587"/>
      <c r="F60" s="658"/>
      <c r="G60" s="659"/>
      <c r="H60" s="660"/>
      <c r="I60" s="642"/>
      <c r="J60" s="642"/>
      <c r="K60" s="309"/>
      <c r="L60" s="14"/>
    </row>
    <row r="61" spans="1:13">
      <c r="A61" s="269">
        <v>12</v>
      </c>
      <c r="B61" s="639"/>
      <c r="C61" s="309"/>
      <c r="D61" s="657"/>
      <c r="E61" s="587"/>
      <c r="F61" s="658"/>
      <c r="G61" s="659"/>
      <c r="H61" s="660"/>
      <c r="I61" s="642"/>
      <c r="J61" s="642"/>
      <c r="K61" s="309"/>
      <c r="L61" s="14"/>
    </row>
    <row r="62" spans="1:13">
      <c r="A62" s="114"/>
      <c r="B62" s="940"/>
      <c r="C62" s="734"/>
      <c r="D62" s="731"/>
      <c r="E62" s="732"/>
      <c r="F62" s="733"/>
      <c r="G62" s="737"/>
      <c r="H62" s="703"/>
      <c r="I62" s="704"/>
      <c r="J62" s="704"/>
      <c r="K62" s="734"/>
      <c r="L62" s="265"/>
      <c r="M62" s="681"/>
    </row>
    <row r="63" spans="1:13">
      <c r="A63" s="683" t="s">
        <v>5</v>
      </c>
      <c r="B63" s="941" t="s">
        <v>913</v>
      </c>
      <c r="C63" s="942" t="s">
        <v>159</v>
      </c>
      <c r="D63" s="943" t="s">
        <v>10</v>
      </c>
      <c r="E63" s="944" t="s">
        <v>243</v>
      </c>
      <c r="F63" s="946" t="s">
        <v>244</v>
      </c>
      <c r="G63" s="946" t="s">
        <v>245</v>
      </c>
      <c r="H63" s="947" t="s">
        <v>246</v>
      </c>
      <c r="I63" s="525" t="s">
        <v>532</v>
      </c>
      <c r="J63" s="948" t="s">
        <v>13</v>
      </c>
      <c r="K63" s="949" t="s">
        <v>162</v>
      </c>
      <c r="L63" s="14"/>
    </row>
    <row r="64" spans="1:13">
      <c r="A64" s="139">
        <v>1</v>
      </c>
      <c r="B64" s="796" t="s">
        <v>700</v>
      </c>
      <c r="C64" s="144">
        <v>5</v>
      </c>
      <c r="D64" s="757" t="s">
        <v>917</v>
      </c>
      <c r="E64" s="693">
        <v>200</v>
      </c>
      <c r="F64" s="103">
        <v>31</v>
      </c>
      <c r="G64" s="608" t="s">
        <v>778</v>
      </c>
      <c r="H64" s="694">
        <v>14000</v>
      </c>
      <c r="I64" s="144"/>
      <c r="J64" s="100"/>
      <c r="K64" s="230" t="s">
        <v>275</v>
      </c>
      <c r="L64" s="33" t="s">
        <v>779</v>
      </c>
      <c r="M64" s="499"/>
    </row>
    <row r="65" spans="1:13">
      <c r="A65" s="139">
        <v>2</v>
      </c>
      <c r="B65" s="805" t="s">
        <v>889</v>
      </c>
      <c r="C65" s="144">
        <v>5</v>
      </c>
      <c r="D65" s="463" t="s">
        <v>920</v>
      </c>
      <c r="E65" s="693"/>
      <c r="F65" s="103"/>
      <c r="G65" s="608"/>
      <c r="H65" s="694"/>
      <c r="I65" s="144"/>
      <c r="J65" s="144"/>
      <c r="K65" s="230" t="s">
        <v>118</v>
      </c>
      <c r="L65" s="33"/>
      <c r="M65" s="499"/>
    </row>
    <row r="66" spans="1:13">
      <c r="A66" s="134">
        <v>3</v>
      </c>
      <c r="B66" s="805" t="s">
        <v>617</v>
      </c>
      <c r="C66" s="144">
        <v>5</v>
      </c>
      <c r="D66" s="144" t="s">
        <v>921</v>
      </c>
      <c r="E66" s="693"/>
      <c r="F66" s="103">
        <v>31</v>
      </c>
      <c r="G66" s="608"/>
      <c r="H66" s="694">
        <v>17500</v>
      </c>
      <c r="I66" s="144"/>
      <c r="J66" s="100"/>
      <c r="K66" s="295" t="s">
        <v>619</v>
      </c>
      <c r="L66" s="33" t="s">
        <v>805</v>
      </c>
      <c r="M66" s="33"/>
    </row>
    <row r="67" spans="1:13">
      <c r="A67" s="139">
        <v>4</v>
      </c>
      <c r="B67" s="853" t="s">
        <v>856</v>
      </c>
      <c r="C67" s="144">
        <v>5</v>
      </c>
      <c r="D67" s="144" t="s">
        <v>857</v>
      </c>
      <c r="E67" s="693"/>
      <c r="F67" s="103">
        <v>30</v>
      </c>
      <c r="G67" s="608"/>
      <c r="H67" s="694">
        <v>20000</v>
      </c>
      <c r="I67" s="144"/>
      <c r="J67" s="100"/>
      <c r="K67" s="520"/>
      <c r="L67" s="33"/>
      <c r="M67" s="499"/>
    </row>
    <row r="68" spans="1:13">
      <c r="A68" s="139">
        <v>5</v>
      </c>
      <c r="B68" s="692" t="s">
        <v>639</v>
      </c>
      <c r="C68" s="144">
        <v>5</v>
      </c>
      <c r="D68" s="144" t="s">
        <v>467</v>
      </c>
      <c r="E68" s="693"/>
      <c r="F68" s="103"/>
      <c r="G68" s="608"/>
      <c r="H68" s="695"/>
      <c r="I68" s="100"/>
      <c r="J68" s="100"/>
      <c r="K68" s="230" t="s">
        <v>118</v>
      </c>
      <c r="L68" s="14"/>
      <c r="M68" s="499"/>
    </row>
    <row r="69" spans="1:13">
      <c r="A69" s="139">
        <v>6</v>
      </c>
      <c r="B69" s="805" t="s">
        <v>461</v>
      </c>
      <c r="C69" s="144">
        <v>5</v>
      </c>
      <c r="D69" s="144" t="s">
        <v>922</v>
      </c>
      <c r="E69" s="693">
        <v>365</v>
      </c>
      <c r="F69" s="103">
        <v>31</v>
      </c>
      <c r="G69" s="608">
        <v>14000</v>
      </c>
      <c r="H69" s="694">
        <v>14000</v>
      </c>
      <c r="I69" s="144"/>
      <c r="J69" s="100"/>
      <c r="K69" s="230" t="s">
        <v>784</v>
      </c>
      <c r="L69" s="33"/>
      <c r="M69" s="499"/>
    </row>
    <row r="70" spans="1:13">
      <c r="A70" s="139">
        <v>7</v>
      </c>
      <c r="B70" s="692" t="s">
        <v>773</v>
      </c>
      <c r="C70" s="144">
        <v>5</v>
      </c>
      <c r="D70" s="144" t="s">
        <v>898</v>
      </c>
      <c r="E70" s="693">
        <v>180</v>
      </c>
      <c r="F70" s="258">
        <v>31</v>
      </c>
      <c r="G70" s="609"/>
      <c r="H70" s="608">
        <v>14000</v>
      </c>
      <c r="I70" s="144">
        <v>14000</v>
      </c>
      <c r="J70" s="100"/>
      <c r="K70" s="230" t="s">
        <v>775</v>
      </c>
      <c r="L70" s="33" t="s">
        <v>823</v>
      </c>
      <c r="M70" s="499"/>
    </row>
    <row r="71" spans="1:13">
      <c r="A71" s="139">
        <v>8</v>
      </c>
      <c r="B71" s="805" t="s">
        <v>134</v>
      </c>
      <c r="C71" s="144">
        <v>5</v>
      </c>
      <c r="D71" s="715" t="s">
        <v>867</v>
      </c>
      <c r="E71" s="693" t="s">
        <v>534</v>
      </c>
      <c r="F71" s="144">
        <v>31</v>
      </c>
      <c r="G71" s="538">
        <v>363000</v>
      </c>
      <c r="H71" s="538">
        <v>33000</v>
      </c>
      <c r="I71" s="144">
        <v>33000</v>
      </c>
      <c r="J71" s="100"/>
      <c r="K71" s="230" t="s">
        <v>535</v>
      </c>
      <c r="L71" s="33" t="s">
        <v>581</v>
      </c>
      <c r="M71" s="499"/>
    </row>
    <row r="72" spans="1:13">
      <c r="A72" s="139">
        <v>9</v>
      </c>
      <c r="B72" s="805" t="s">
        <v>923</v>
      </c>
      <c r="C72" s="144">
        <v>5</v>
      </c>
      <c r="D72" s="699" t="s">
        <v>924</v>
      </c>
      <c r="E72" s="587">
        <v>30</v>
      </c>
      <c r="F72" s="270">
        <v>1</v>
      </c>
      <c r="G72" s="700">
        <v>18000</v>
      </c>
      <c r="H72" s="533">
        <v>18000</v>
      </c>
      <c r="I72" s="59"/>
      <c r="J72" s="144"/>
      <c r="K72" s="309"/>
      <c r="L72" s="33"/>
      <c r="M72" s="499"/>
    </row>
    <row r="73" spans="1:13">
      <c r="A73" s="134">
        <v>10</v>
      </c>
      <c r="B73" s="308"/>
      <c r="C73" s="59"/>
      <c r="D73" s="477"/>
      <c r="E73" s="537"/>
      <c r="F73" s="223"/>
      <c r="G73" s="533"/>
      <c r="H73" s="533"/>
      <c r="I73" s="270"/>
      <c r="J73" s="220"/>
      <c r="K73" s="888"/>
      <c r="L73" s="682"/>
      <c r="M73" s="499"/>
    </row>
    <row r="74" spans="1:13">
      <c r="A74" s="134">
        <v>11</v>
      </c>
      <c r="B74" s="236"/>
      <c r="C74" s="806"/>
      <c r="D74" s="45"/>
      <c r="E74" s="537"/>
      <c r="F74" s="223"/>
      <c r="G74" s="533"/>
      <c r="H74" s="877"/>
      <c r="I74" s="778"/>
      <c r="J74" s="498"/>
      <c r="K74" s="878"/>
      <c r="L74" s="810"/>
      <c r="M74" s="499"/>
    </row>
    <row r="75" spans="1:13">
      <c r="A75" s="134">
        <v>12</v>
      </c>
      <c r="B75" s="497"/>
      <c r="C75" s="806"/>
      <c r="D75" s="45"/>
      <c r="E75" s="618"/>
      <c r="F75" s="220"/>
      <c r="G75" s="620"/>
      <c r="H75" s="879"/>
      <c r="I75" s="880"/>
      <c r="J75" s="498"/>
      <c r="K75" s="878"/>
      <c r="L75" s="696"/>
      <c r="M75" s="499"/>
    </row>
    <row r="76" spans="1:13">
      <c r="A76" s="134">
        <v>13</v>
      </c>
      <c r="B76" s="431" t="s">
        <v>925</v>
      </c>
      <c r="C76" s="806"/>
      <c r="D76" s="45"/>
      <c r="E76" s="537"/>
      <c r="F76" s="223"/>
      <c r="G76" s="620"/>
      <c r="H76" s="538"/>
      <c r="I76" s="778"/>
      <c r="J76" s="498"/>
      <c r="K76" s="917"/>
      <c r="L76" s="810"/>
      <c r="M76" s="499"/>
    </row>
    <row r="77" spans="1:13">
      <c r="A77" s="134">
        <v>14</v>
      </c>
      <c r="B77" s="956" t="s">
        <v>927</v>
      </c>
      <c r="C77" s="806"/>
      <c r="D77" s="45" t="s">
        <v>929</v>
      </c>
      <c r="E77" s="537"/>
      <c r="F77" s="223"/>
      <c r="G77" s="533"/>
      <c r="H77" s="538"/>
      <c r="I77" s="778"/>
      <c r="J77" s="880"/>
      <c r="K77" s="878"/>
      <c r="L77" s="810"/>
      <c r="M77" s="499"/>
    </row>
    <row r="78" spans="1:13">
      <c r="A78" s="132"/>
      <c r="B78" s="236" t="s">
        <v>177</v>
      </c>
      <c r="C78" s="769">
        <f>SUM(C54:C77)</f>
        <v>45</v>
      </c>
      <c r="D78" s="8"/>
      <c r="E78" s="532">
        <f>SUM(E54:E77)</f>
        <v>775</v>
      </c>
      <c r="F78" s="220"/>
      <c r="G78" s="620">
        <f t="shared" ref="G78:I78" si="2">SUM(G64:G77)</f>
        <v>395000</v>
      </c>
      <c r="H78" s="701">
        <f t="shared" si="2"/>
        <v>130500</v>
      </c>
      <c r="I78" s="958">
        <f t="shared" si="2"/>
        <v>47000</v>
      </c>
      <c r="J78" s="220">
        <f>SUM(J64:J73)</f>
        <v>0</v>
      </c>
      <c r="K78" s="628">
        <f>H78+J78</f>
        <v>130500</v>
      </c>
      <c r="L78" s="696">
        <f>K78/G78*100</f>
        <v>33.037974683544306</v>
      </c>
      <c r="M78" s="499"/>
    </row>
    <row r="79" spans="1:13">
      <c r="A79" s="702"/>
      <c r="B79" s="811"/>
      <c r="C79" s="673"/>
      <c r="D79" s="812"/>
      <c r="E79" s="675"/>
      <c r="F79" s="676"/>
      <c r="G79" s="677"/>
      <c r="H79" s="703"/>
      <c r="I79" s="704"/>
      <c r="J79" s="220"/>
      <c r="K79" s="309"/>
      <c r="L79" s="265"/>
      <c r="M79" s="681"/>
    </row>
    <row r="80" spans="1:13">
      <c r="A80" s="683" t="s">
        <v>5</v>
      </c>
      <c r="B80" s="964" t="s">
        <v>934</v>
      </c>
      <c r="C80" s="685" t="s">
        <v>159</v>
      </c>
      <c r="D80" s="686" t="s">
        <v>10</v>
      </c>
      <c r="E80" s="687" t="s">
        <v>243</v>
      </c>
      <c r="F80" s="688" t="s">
        <v>244</v>
      </c>
      <c r="G80" s="688" t="s">
        <v>245</v>
      </c>
      <c r="H80" s="689" t="s">
        <v>246</v>
      </c>
      <c r="I80" s="525" t="s">
        <v>532</v>
      </c>
      <c r="J80" s="690" t="s">
        <v>13</v>
      </c>
      <c r="K80" s="691" t="s">
        <v>162</v>
      </c>
      <c r="L80" s="14"/>
    </row>
    <row r="81" spans="1:13">
      <c r="A81" s="139">
        <v>1</v>
      </c>
      <c r="B81" s="639" t="s">
        <v>134</v>
      </c>
      <c r="C81" s="260">
        <v>5</v>
      </c>
      <c r="D81" s="645" t="s">
        <v>937</v>
      </c>
      <c r="E81" s="642"/>
      <c r="F81" s="270">
        <v>28</v>
      </c>
      <c r="G81" s="260">
        <v>14000</v>
      </c>
      <c r="H81" s="270">
        <v>13066</v>
      </c>
      <c r="I81" s="270">
        <v>13066</v>
      </c>
      <c r="J81" s="237"/>
      <c r="K81" s="933"/>
      <c r="L81" s="14"/>
    </row>
    <row r="82" spans="1:13">
      <c r="A82" s="139">
        <v>2</v>
      </c>
      <c r="B82" s="644" t="s">
        <v>939</v>
      </c>
      <c r="C82" s="260">
        <v>5</v>
      </c>
      <c r="D82" s="645" t="s">
        <v>940</v>
      </c>
      <c r="E82" s="642"/>
      <c r="F82" s="237"/>
      <c r="G82" s="150"/>
      <c r="H82" s="237"/>
      <c r="I82" s="237"/>
      <c r="J82" s="237"/>
      <c r="K82" s="934" t="s">
        <v>118</v>
      </c>
      <c r="L82" s="14"/>
    </row>
    <row r="83" spans="1:13">
      <c r="A83" s="134">
        <v>3</v>
      </c>
      <c r="B83" s="970" t="s">
        <v>889</v>
      </c>
      <c r="C83" s="973">
        <v>5</v>
      </c>
      <c r="D83" s="975" t="s">
        <v>941</v>
      </c>
      <c r="E83" s="652"/>
      <c r="F83" s="653"/>
      <c r="G83" s="653"/>
      <c r="H83" s="653"/>
      <c r="I83" s="654"/>
      <c r="J83" s="653"/>
      <c r="K83" s="978" t="s">
        <v>118</v>
      </c>
      <c r="L83" s="14"/>
    </row>
    <row r="84" spans="1:13">
      <c r="A84" s="139">
        <v>4</v>
      </c>
      <c r="B84" s="644" t="s">
        <v>57</v>
      </c>
      <c r="C84" s="260">
        <v>5</v>
      </c>
      <c r="D84" s="981">
        <v>45903</v>
      </c>
      <c r="E84" s="642"/>
      <c r="F84" s="237"/>
      <c r="G84" s="270"/>
      <c r="H84" s="270"/>
      <c r="I84" s="237"/>
      <c r="J84" s="237"/>
      <c r="K84" s="934" t="s">
        <v>118</v>
      </c>
      <c r="L84" s="14"/>
    </row>
    <row r="85" spans="1:13">
      <c r="A85" s="139">
        <v>5</v>
      </c>
      <c r="B85" s="639" t="s">
        <v>943</v>
      </c>
      <c r="C85" s="260">
        <v>5</v>
      </c>
      <c r="D85" s="645" t="s">
        <v>874</v>
      </c>
      <c r="E85" s="587"/>
      <c r="F85" s="270"/>
      <c r="G85" s="270"/>
      <c r="H85" s="237"/>
      <c r="I85" s="150"/>
      <c r="J85" s="150"/>
      <c r="K85" s="934" t="s">
        <v>118</v>
      </c>
      <c r="L85" s="14"/>
    </row>
    <row r="86" spans="1:13">
      <c r="A86" s="139">
        <v>6</v>
      </c>
      <c r="B86" s="639" t="s">
        <v>946</v>
      </c>
      <c r="C86" s="309">
        <v>6</v>
      </c>
      <c r="D86" s="982" t="s">
        <v>949</v>
      </c>
      <c r="E86" s="587"/>
      <c r="F86" s="658"/>
      <c r="G86" s="659">
        <v>32000</v>
      </c>
      <c r="H86" s="660">
        <v>16000</v>
      </c>
      <c r="I86" s="309">
        <v>32000</v>
      </c>
      <c r="J86" s="642"/>
      <c r="K86" s="309" t="s">
        <v>951</v>
      </c>
      <c r="L86" s="33" t="s">
        <v>903</v>
      </c>
    </row>
    <row r="87" spans="1:13">
      <c r="A87" s="139">
        <v>7</v>
      </c>
      <c r="B87" s="639" t="s">
        <v>952</v>
      </c>
      <c r="C87" s="309">
        <v>5</v>
      </c>
      <c r="D87" s="982" t="s">
        <v>953</v>
      </c>
      <c r="E87" s="587"/>
      <c r="F87" s="658"/>
      <c r="G87" s="659"/>
      <c r="H87" s="660" t="s">
        <v>954</v>
      </c>
      <c r="I87" s="642"/>
      <c r="J87" s="642"/>
      <c r="K87" s="309" t="s">
        <v>275</v>
      </c>
      <c r="L87" s="14"/>
    </row>
    <row r="88" spans="1:13">
      <c r="A88" s="139">
        <v>8</v>
      </c>
      <c r="B88" s="639"/>
      <c r="C88" s="309"/>
      <c r="D88" s="657"/>
      <c r="E88" s="587"/>
      <c r="F88" s="658"/>
      <c r="G88" s="659"/>
      <c r="H88" s="660"/>
      <c r="I88" s="642"/>
      <c r="J88" s="642"/>
      <c r="K88" s="309"/>
      <c r="L88" s="14"/>
    </row>
    <row r="89" spans="1:13">
      <c r="A89" s="139">
        <v>9</v>
      </c>
      <c r="B89" s="639"/>
      <c r="C89" s="309"/>
      <c r="D89" s="657"/>
      <c r="E89" s="587"/>
      <c r="F89" s="658"/>
      <c r="G89" s="659"/>
      <c r="H89" s="660"/>
      <c r="I89" s="642"/>
      <c r="J89" s="642"/>
      <c r="K89" s="309"/>
      <c r="L89" s="14"/>
    </row>
    <row r="90" spans="1:13">
      <c r="A90" s="134">
        <v>10</v>
      </c>
      <c r="B90" s="639"/>
      <c r="C90" s="309"/>
      <c r="D90" s="657"/>
      <c r="E90" s="587"/>
      <c r="F90" s="658"/>
      <c r="G90" s="659"/>
      <c r="H90" s="660"/>
      <c r="I90" s="642"/>
      <c r="J90" s="642"/>
      <c r="K90" s="309"/>
      <c r="L90" s="14"/>
    </row>
    <row r="91" spans="1:13">
      <c r="A91" s="134">
        <v>11</v>
      </c>
      <c r="B91" s="639"/>
      <c r="C91" s="309"/>
      <c r="D91" s="657"/>
      <c r="E91" s="587"/>
      <c r="F91" s="658"/>
      <c r="G91" s="659"/>
      <c r="H91" s="660"/>
      <c r="I91" s="642"/>
      <c r="J91" s="642"/>
      <c r="K91" s="309"/>
      <c r="L91" s="14"/>
    </row>
    <row r="92" spans="1:13">
      <c r="A92" s="134">
        <v>12</v>
      </c>
      <c r="B92" s="984" t="s">
        <v>960</v>
      </c>
      <c r="C92" s="309"/>
      <c r="D92" s="657"/>
      <c r="E92" s="587"/>
      <c r="F92" s="658"/>
      <c r="G92" s="659"/>
      <c r="H92" s="660"/>
      <c r="I92" s="642"/>
      <c r="J92" s="642"/>
      <c r="K92" s="309"/>
      <c r="L92" s="14"/>
    </row>
    <row r="93" spans="1:13">
      <c r="A93" s="705"/>
      <c r="B93" s="706"/>
      <c r="C93" s="707"/>
      <c r="D93" s="708"/>
      <c r="E93" s="709"/>
      <c r="F93" s="710"/>
      <c r="G93" s="711"/>
      <c r="H93" s="712"/>
      <c r="I93" s="707"/>
      <c r="J93" s="713"/>
      <c r="K93" s="714"/>
      <c r="L93" s="265"/>
      <c r="M93" s="681"/>
    </row>
    <row r="94" spans="1:13">
      <c r="A94" s="269"/>
      <c r="B94" s="941" t="s">
        <v>964</v>
      </c>
      <c r="C94" s="217"/>
      <c r="D94" s="129" t="s">
        <v>10</v>
      </c>
      <c r="E94" s="288" t="s">
        <v>243</v>
      </c>
      <c r="F94" s="289" t="s">
        <v>244</v>
      </c>
      <c r="G94" s="290" t="s">
        <v>245</v>
      </c>
      <c r="H94" s="291" t="s">
        <v>246</v>
      </c>
      <c r="I94" s="716" t="s">
        <v>532</v>
      </c>
      <c r="J94" s="22" t="s">
        <v>13</v>
      </c>
      <c r="K94" s="717" t="s">
        <v>162</v>
      </c>
      <c r="L94" s="265"/>
      <c r="M94" s="681"/>
    </row>
    <row r="95" spans="1:13">
      <c r="A95" s="2">
        <v>1</v>
      </c>
      <c r="B95" s="481" t="s">
        <v>889</v>
      </c>
      <c r="C95" s="59"/>
      <c r="D95" s="45" t="s">
        <v>967</v>
      </c>
      <c r="E95" s="545"/>
      <c r="F95" s="59"/>
      <c r="G95" s="223"/>
      <c r="H95" s="718"/>
      <c r="I95" s="59"/>
      <c r="J95" s="6"/>
      <c r="K95" s="230" t="s">
        <v>118</v>
      </c>
      <c r="L95" s="265"/>
      <c r="M95" s="681"/>
    </row>
    <row r="96" spans="1:13">
      <c r="A96" s="705"/>
      <c r="B96" s="706"/>
      <c r="C96" s="707"/>
      <c r="D96" s="708"/>
      <c r="E96" s="709"/>
      <c r="F96" s="710"/>
      <c r="G96" s="711"/>
      <c r="H96" s="712"/>
      <c r="I96" s="707"/>
      <c r="J96" s="713"/>
      <c r="K96" s="714"/>
      <c r="L96" s="265"/>
      <c r="M96" s="681"/>
    </row>
    <row r="97" spans="1:13">
      <c r="A97" s="705"/>
      <c r="B97" s="706"/>
      <c r="C97" s="707"/>
      <c r="D97" s="708"/>
      <c r="E97" s="709"/>
      <c r="F97" s="710"/>
      <c r="G97" s="711"/>
      <c r="H97" s="712"/>
      <c r="I97" s="707"/>
      <c r="J97" s="713"/>
      <c r="K97" s="714"/>
      <c r="L97" s="265"/>
      <c r="M97" s="681"/>
    </row>
    <row r="98" spans="1:13">
      <c r="A98" s="269"/>
      <c r="B98" s="335" t="s">
        <v>375</v>
      </c>
      <c r="C98" s="217"/>
      <c r="D98" s="129" t="s">
        <v>10</v>
      </c>
      <c r="E98" s="288" t="s">
        <v>243</v>
      </c>
      <c r="F98" s="289" t="s">
        <v>244</v>
      </c>
      <c r="G98" s="290" t="s">
        <v>245</v>
      </c>
      <c r="H98" s="291" t="s">
        <v>246</v>
      </c>
      <c r="I98" s="716" t="s">
        <v>532</v>
      </c>
      <c r="J98" s="22" t="s">
        <v>13</v>
      </c>
      <c r="K98" s="717" t="s">
        <v>162</v>
      </c>
      <c r="L98" s="14"/>
    </row>
    <row r="99" spans="1:13">
      <c r="A99" s="2">
        <v>1</v>
      </c>
      <c r="B99" s="481"/>
      <c r="C99" s="59"/>
      <c r="D99" s="45"/>
      <c r="E99" s="545"/>
      <c r="F99" s="59"/>
      <c r="G99" s="223"/>
      <c r="H99" s="718"/>
      <c r="I99" s="59"/>
      <c r="J99" s="6"/>
      <c r="K99" s="230"/>
      <c r="L99" s="340" t="s">
        <v>492</v>
      </c>
    </row>
    <row r="100" spans="1:13">
      <c r="A100" s="116"/>
      <c r="B100" s="172"/>
      <c r="C100" s="116"/>
      <c r="D100" s="118"/>
      <c r="E100" s="719"/>
      <c r="F100" s="255"/>
      <c r="G100" s="323" t="s">
        <v>177</v>
      </c>
      <c r="H100" s="238">
        <f>H99</f>
        <v>0</v>
      </c>
      <c r="I100" s="720">
        <f>SUM(I99)</f>
        <v>0</v>
      </c>
      <c r="J100" s="116"/>
      <c r="K100" s="606"/>
      <c r="L100" s="14"/>
    </row>
    <row r="101" spans="1:13">
      <c r="A101" s="219" t="s">
        <v>5</v>
      </c>
      <c r="B101" s="177" t="s">
        <v>106</v>
      </c>
      <c r="C101" s="217"/>
      <c r="D101" s="129" t="s">
        <v>10</v>
      </c>
      <c r="E101" s="288" t="s">
        <v>243</v>
      </c>
      <c r="F101" s="289" t="s">
        <v>244</v>
      </c>
      <c r="G101" s="290" t="s">
        <v>245</v>
      </c>
      <c r="H101" s="291" t="s">
        <v>246</v>
      </c>
      <c r="I101" s="716" t="s">
        <v>532</v>
      </c>
      <c r="J101" s="22" t="s">
        <v>13</v>
      </c>
      <c r="K101" s="717" t="s">
        <v>162</v>
      </c>
      <c r="L101" s="14"/>
    </row>
    <row r="102" spans="1:13">
      <c r="A102" s="100">
        <v>1</v>
      </c>
      <c r="B102" s="896" t="s">
        <v>869</v>
      </c>
      <c r="C102" s="144"/>
      <c r="D102" s="203" t="s">
        <v>870</v>
      </c>
      <c r="E102" s="693">
        <v>30</v>
      </c>
      <c r="F102" s="144">
        <v>18</v>
      </c>
      <c r="G102" s="258">
        <v>38000</v>
      </c>
      <c r="H102" s="722"/>
      <c r="I102" s="59"/>
      <c r="J102" s="723"/>
      <c r="K102" s="230"/>
      <c r="L102" s="340" t="s">
        <v>492</v>
      </c>
    </row>
    <row r="103" spans="1:13">
      <c r="A103" s="14"/>
      <c r="B103" s="183"/>
      <c r="C103" s="14"/>
      <c r="D103" s="185"/>
      <c r="E103" s="557"/>
      <c r="F103" s="209"/>
      <c r="G103" s="323" t="s">
        <v>177</v>
      </c>
      <c r="H103" s="238">
        <f>H102</f>
        <v>0</v>
      </c>
      <c r="I103" s="720">
        <f>SUM(I102)</f>
        <v>0</v>
      </c>
      <c r="J103" s="14"/>
      <c r="K103" s="606"/>
      <c r="L103" s="14"/>
    </row>
    <row r="104" spans="1:13">
      <c r="A104" s="219" t="s">
        <v>5</v>
      </c>
      <c r="B104" s="191" t="s">
        <v>122</v>
      </c>
      <c r="C104" s="189"/>
      <c r="D104" s="129" t="s">
        <v>10</v>
      </c>
      <c r="E104" s="288" t="s">
        <v>243</v>
      </c>
      <c r="F104" s="289" t="s">
        <v>244</v>
      </c>
      <c r="G104" s="290" t="s">
        <v>245</v>
      </c>
      <c r="H104" s="291" t="s">
        <v>246</v>
      </c>
      <c r="I104" s="217" t="s">
        <v>532</v>
      </c>
      <c r="J104" s="22" t="s">
        <v>13</v>
      </c>
      <c r="K104" s="717" t="s">
        <v>162</v>
      </c>
      <c r="L104" s="33" t="s">
        <v>470</v>
      </c>
    </row>
    <row r="105" spans="1:13">
      <c r="A105" s="2" t="s">
        <v>114</v>
      </c>
      <c r="B105" s="481" t="s">
        <v>128</v>
      </c>
      <c r="C105" s="59"/>
      <c r="D105" s="45" t="s">
        <v>148</v>
      </c>
      <c r="E105" s="545">
        <v>31</v>
      </c>
      <c r="F105" s="47">
        <v>31</v>
      </c>
      <c r="G105" s="223">
        <v>29000</v>
      </c>
      <c r="H105" s="222">
        <v>29000</v>
      </c>
      <c r="I105" s="144"/>
      <c r="J105" s="6"/>
      <c r="K105" s="230"/>
      <c r="L105" s="14"/>
    </row>
    <row r="106" spans="1:13">
      <c r="A106" s="59" t="s">
        <v>151</v>
      </c>
      <c r="B106" s="4" t="s">
        <v>785</v>
      </c>
      <c r="C106" s="59"/>
      <c r="D106" s="45" t="s">
        <v>867</v>
      </c>
      <c r="E106" s="545">
        <v>30</v>
      </c>
      <c r="F106" s="47">
        <v>30</v>
      </c>
      <c r="G106" s="223">
        <v>27900</v>
      </c>
      <c r="H106" s="222">
        <v>27900</v>
      </c>
      <c r="I106" s="144">
        <v>27900</v>
      </c>
      <c r="J106" s="6"/>
      <c r="K106" s="726"/>
      <c r="L106" s="14"/>
    </row>
    <row r="107" spans="1:13">
      <c r="A107" s="59" t="s">
        <v>152</v>
      </c>
      <c r="B107" s="453" t="s">
        <v>972</v>
      </c>
      <c r="C107" s="59"/>
      <c r="D107" s="45" t="s">
        <v>973</v>
      </c>
      <c r="E107" s="545">
        <v>90</v>
      </c>
      <c r="F107" s="47">
        <v>20</v>
      </c>
      <c r="G107" s="223"/>
      <c r="H107" s="222">
        <v>25000</v>
      </c>
      <c r="I107" s="144">
        <v>75000</v>
      </c>
      <c r="J107" s="6"/>
      <c r="K107" s="309" t="s">
        <v>693</v>
      </c>
      <c r="L107" s="33" t="s">
        <v>975</v>
      </c>
    </row>
    <row r="108" spans="1:13">
      <c r="A108" s="454" t="s">
        <v>153</v>
      </c>
      <c r="B108" s="815" t="s">
        <v>716</v>
      </c>
      <c r="C108" s="454"/>
      <c r="D108" s="477" t="s">
        <v>867</v>
      </c>
      <c r="E108" s="543">
        <v>180</v>
      </c>
      <c r="F108" s="456"/>
      <c r="G108" s="478"/>
      <c r="H108" s="478">
        <v>25000</v>
      </c>
      <c r="I108" s="463"/>
      <c r="J108" s="479"/>
      <c r="K108" s="503"/>
      <c r="L108" s="501" t="s">
        <v>718</v>
      </c>
    </row>
    <row r="109" spans="1:13">
      <c r="A109" s="454" t="s">
        <v>132</v>
      </c>
      <c r="B109" s="253"/>
      <c r="C109" s="454"/>
      <c r="D109" s="477"/>
      <c r="E109" s="543"/>
      <c r="F109" s="456"/>
      <c r="G109" s="478"/>
      <c r="H109" s="478"/>
      <c r="I109" s="463"/>
      <c r="J109" s="454"/>
      <c r="K109" s="503"/>
      <c r="L109" s="501"/>
    </row>
    <row r="110" spans="1:13">
      <c r="A110" s="144" t="s">
        <v>132</v>
      </c>
      <c r="B110" s="903" t="s">
        <v>842</v>
      </c>
      <c r="C110" s="1212" t="s">
        <v>843</v>
      </c>
      <c r="D110" s="1210"/>
      <c r="E110" s="1210"/>
      <c r="F110" s="1211"/>
      <c r="G110" s="236"/>
      <c r="H110" s="478">
        <v>10000</v>
      </c>
      <c r="I110" s="463"/>
      <c r="J110" s="14"/>
      <c r="K110" s="606"/>
      <c r="L110" s="14"/>
    </row>
    <row r="111" spans="1:13">
      <c r="A111" s="991" t="s">
        <v>114</v>
      </c>
      <c r="B111" s="919" t="s">
        <v>977</v>
      </c>
      <c r="G111" s="323"/>
      <c r="H111" s="728">
        <f t="shared" ref="H111:I111" si="3">SUM(H105:H110)</f>
        <v>116900</v>
      </c>
      <c r="I111" s="921">
        <f t="shared" si="3"/>
        <v>102900</v>
      </c>
      <c r="J111" s="14"/>
      <c r="K111" s="606"/>
      <c r="L111" s="14"/>
    </row>
    <row r="112" spans="1:13">
      <c r="A112" s="265"/>
      <c r="B112" s="905"/>
      <c r="C112" s="265"/>
      <c r="D112" s="731"/>
      <c r="E112" s="732"/>
      <c r="F112" s="733"/>
      <c r="G112" s="732"/>
      <c r="H112" s="732"/>
      <c r="I112" s="734"/>
      <c r="J112" s="704"/>
      <c r="K112" s="309"/>
      <c r="L112" s="14"/>
    </row>
    <row r="113" spans="1:12">
      <c r="A113" s="265"/>
      <c r="B113" s="730"/>
      <c r="C113" s="265"/>
      <c r="D113" s="731"/>
      <c r="E113" s="732"/>
      <c r="F113" s="733"/>
      <c r="G113" s="732"/>
      <c r="H113" s="732"/>
      <c r="I113" s="734"/>
      <c r="J113" s="704"/>
      <c r="K113" s="309"/>
      <c r="L113" s="14"/>
    </row>
    <row r="114" spans="1:12">
      <c r="A114" s="219" t="s">
        <v>5</v>
      </c>
      <c r="B114" s="342" t="s">
        <v>316</v>
      </c>
      <c r="C114" s="217"/>
      <c r="D114" s="129" t="s">
        <v>10</v>
      </c>
      <c r="E114" s="288" t="s">
        <v>243</v>
      </c>
      <c r="F114" s="289" t="s">
        <v>244</v>
      </c>
      <c r="G114" s="290" t="s">
        <v>245</v>
      </c>
      <c r="H114" s="291" t="s">
        <v>246</v>
      </c>
      <c r="I114" s="217" t="s">
        <v>532</v>
      </c>
      <c r="J114" s="22" t="s">
        <v>13</v>
      </c>
      <c r="K114" s="717" t="s">
        <v>162</v>
      </c>
      <c r="L114" s="287"/>
    </row>
    <row r="115" spans="1:12">
      <c r="A115" s="132" t="s">
        <v>458</v>
      </c>
      <c r="B115" s="775"/>
      <c r="C115" s="144"/>
      <c r="D115" s="645"/>
      <c r="E115" s="693"/>
      <c r="F115" s="103"/>
      <c r="G115" s="353"/>
      <c r="H115" s="353"/>
      <c r="I115" s="144"/>
      <c r="J115" s="100"/>
      <c r="K115" s="503"/>
      <c r="L115" s="287"/>
    </row>
    <row r="116" spans="1:12">
      <c r="A116" s="132" t="s">
        <v>459</v>
      </c>
      <c r="B116" s="896" t="s">
        <v>883</v>
      </c>
      <c r="C116" s="100"/>
      <c r="D116" s="203" t="s">
        <v>884</v>
      </c>
      <c r="E116" s="587"/>
      <c r="F116" s="237"/>
      <c r="G116" s="449">
        <v>25000</v>
      </c>
      <c r="H116" s="353">
        <v>25000</v>
      </c>
      <c r="I116" s="144"/>
      <c r="J116" s="144"/>
      <c r="K116" s="309" t="s">
        <v>980</v>
      </c>
      <c r="L116" s="325"/>
    </row>
    <row r="117" spans="1:12">
      <c r="A117" s="132" t="s">
        <v>460</v>
      </c>
      <c r="B117" s="883" t="s">
        <v>885</v>
      </c>
      <c r="C117" s="100"/>
      <c r="D117" s="203" t="s">
        <v>886</v>
      </c>
      <c r="E117" s="587"/>
      <c r="F117" s="237"/>
      <c r="G117" s="355">
        <v>15400</v>
      </c>
      <c r="H117" s="473">
        <v>15400</v>
      </c>
      <c r="I117" s="144"/>
      <c r="J117" s="144"/>
      <c r="K117" s="309" t="s">
        <v>980</v>
      </c>
      <c r="L117" s="325"/>
    </row>
    <row r="118" spans="1:12">
      <c r="A118" s="132"/>
      <c r="B118" s="181"/>
      <c r="C118" s="100"/>
      <c r="D118" s="109"/>
      <c r="E118" s="587"/>
      <c r="F118" s="237"/>
      <c r="G118" s="323" t="s">
        <v>177</v>
      </c>
      <c r="H118" s="238">
        <f t="shared" ref="H118:I118" si="4">SUM(H115:H117)</f>
        <v>40400</v>
      </c>
      <c r="I118" s="736">
        <f t="shared" si="4"/>
        <v>0</v>
      </c>
      <c r="J118" s="144"/>
      <c r="K118" s="309"/>
      <c r="L118" s="287"/>
    </row>
    <row r="119" spans="1:12">
      <c r="A119" s="265"/>
      <c r="B119" s="730"/>
      <c r="C119" s="265"/>
      <c r="D119" s="731"/>
      <c r="E119" s="732"/>
      <c r="F119" s="733"/>
      <c r="G119" s="737"/>
      <c r="H119" s="703"/>
      <c r="I119" s="734"/>
      <c r="J119" s="704"/>
      <c r="K119" s="734"/>
      <c r="L119" s="14"/>
    </row>
    <row r="120" spans="1:12">
      <c r="A120" s="265"/>
      <c r="B120" s="730"/>
      <c r="C120" s="265"/>
      <c r="D120" s="731"/>
      <c r="E120" s="732"/>
      <c r="F120" s="733"/>
      <c r="G120" s="737"/>
      <c r="H120" s="703"/>
      <c r="I120" s="734"/>
      <c r="J120" s="704"/>
      <c r="K120" s="734"/>
      <c r="L120" s="14"/>
    </row>
    <row r="121" spans="1:12">
      <c r="A121" s="219" t="s">
        <v>5</v>
      </c>
      <c r="B121" s="196" t="s">
        <v>111</v>
      </c>
      <c r="C121" s="189"/>
      <c r="D121" s="514" t="s">
        <v>10</v>
      </c>
      <c r="E121" s="515" t="s">
        <v>243</v>
      </c>
      <c r="F121" s="516" t="s">
        <v>244</v>
      </c>
      <c r="G121" s="738" t="s">
        <v>245</v>
      </c>
      <c r="H121" s="739" t="s">
        <v>246</v>
      </c>
      <c r="I121" s="217" t="s">
        <v>532</v>
      </c>
      <c r="J121" s="740" t="s">
        <v>13</v>
      </c>
      <c r="K121" s="741" t="s">
        <v>162</v>
      </c>
      <c r="L121" s="14"/>
    </row>
    <row r="122" spans="1:12">
      <c r="A122" s="2" t="s">
        <v>114</v>
      </c>
      <c r="B122" s="742" t="s">
        <v>630</v>
      </c>
      <c r="C122" s="59"/>
      <c r="D122" s="45" t="s">
        <v>983</v>
      </c>
      <c r="E122" s="545"/>
      <c r="F122" s="47">
        <v>27</v>
      </c>
      <c r="G122" s="223">
        <v>5900</v>
      </c>
      <c r="H122" s="223">
        <v>5900</v>
      </c>
      <c r="I122" s="59">
        <v>5900</v>
      </c>
      <c r="J122" s="6"/>
      <c r="K122" s="230"/>
      <c r="L122" s="33" t="s">
        <v>520</v>
      </c>
    </row>
    <row r="123" spans="1:12">
      <c r="A123" s="6" t="s">
        <v>119</v>
      </c>
      <c r="B123" s="742" t="s">
        <v>847</v>
      </c>
      <c r="C123" s="59"/>
      <c r="D123" s="477" t="s">
        <v>984</v>
      </c>
      <c r="E123" s="545"/>
      <c r="F123" s="47">
        <v>22</v>
      </c>
      <c r="G123" s="223">
        <v>4258</v>
      </c>
      <c r="H123" s="223">
        <v>5400</v>
      </c>
      <c r="I123" s="697"/>
      <c r="J123" s="6"/>
      <c r="K123" s="230"/>
      <c r="L123" s="501"/>
    </row>
    <row r="124" spans="1:12">
      <c r="A124" s="192"/>
      <c r="B124" s="899"/>
      <c r="C124" s="144"/>
      <c r="D124" s="118"/>
      <c r="E124" s="719"/>
      <c r="F124" s="255"/>
      <c r="G124" s="236" t="s">
        <v>177</v>
      </c>
      <c r="H124" s="522">
        <f t="shared" ref="H124:I124" si="5">SUM(H122:H123)</f>
        <v>11300</v>
      </c>
      <c r="I124" s="729">
        <f t="shared" si="5"/>
        <v>5900</v>
      </c>
      <c r="J124" s="116"/>
      <c r="K124" s="642"/>
      <c r="L124" s="33"/>
    </row>
    <row r="125" spans="1:12">
      <c r="A125" s="324"/>
      <c r="B125" s="887"/>
      <c r="C125" s="14"/>
      <c r="D125" s="185"/>
      <c r="E125" s="557"/>
      <c r="F125" s="209"/>
      <c r="G125" s="209"/>
      <c r="H125" s="14"/>
      <c r="I125" s="14"/>
      <c r="J125" s="14"/>
      <c r="K125" s="743"/>
      <c r="L125" s="14"/>
    </row>
    <row r="126" spans="1:12">
      <c r="A126" s="889"/>
      <c r="C126" s="499"/>
      <c r="E126" s="287"/>
      <c r="I126" s="499"/>
      <c r="K126" s="287"/>
      <c r="L126" s="287"/>
    </row>
    <row r="127" spans="1:12">
      <c r="A127" s="357" t="s">
        <v>5</v>
      </c>
      <c r="B127" s="358" t="s">
        <v>319</v>
      </c>
      <c r="C127" s="510"/>
      <c r="D127" s="360" t="s">
        <v>10</v>
      </c>
      <c r="E127" s="361" t="s">
        <v>243</v>
      </c>
      <c r="F127" s="362" t="s">
        <v>244</v>
      </c>
      <c r="G127" s="362" t="s">
        <v>245</v>
      </c>
      <c r="H127" s="363" t="s">
        <v>246</v>
      </c>
      <c r="I127" s="744" t="s">
        <v>532</v>
      </c>
      <c r="J127" s="363" t="s">
        <v>13</v>
      </c>
      <c r="K127" s="745" t="s">
        <v>162</v>
      </c>
      <c r="L127" s="287"/>
    </row>
    <row r="128" spans="1:12">
      <c r="A128" s="365" t="s">
        <v>676</v>
      </c>
      <c r="B128" s="820" t="s">
        <v>773</v>
      </c>
      <c r="C128" s="511"/>
      <c r="D128" s="909" t="s">
        <v>898</v>
      </c>
      <c r="E128" s="746">
        <v>180</v>
      </c>
      <c r="F128" s="747"/>
      <c r="G128" s="547"/>
      <c r="H128" s="547">
        <v>25500</v>
      </c>
      <c r="I128" s="748">
        <v>25500</v>
      </c>
      <c r="J128" s="7"/>
      <c r="K128" s="230" t="s">
        <v>765</v>
      </c>
      <c r="L128" s="325" t="s">
        <v>776</v>
      </c>
    </row>
    <row r="129" spans="1:26">
      <c r="A129" s="370"/>
      <c r="B129" s="371"/>
      <c r="C129" s="511"/>
      <c r="D129" s="371"/>
      <c r="E129" s="749"/>
      <c r="F129" s="368"/>
      <c r="G129" s="549"/>
      <c r="H129" s="547"/>
      <c r="I129" s="750"/>
      <c r="J129" s="7"/>
      <c r="K129" s="752"/>
      <c r="L129" s="287"/>
    </row>
    <row r="130" spans="1:26">
      <c r="A130" s="365" t="s">
        <v>677</v>
      </c>
      <c r="B130" s="997" t="s">
        <v>660</v>
      </c>
      <c r="C130" s="755"/>
      <c r="D130" s="756" t="s">
        <v>997</v>
      </c>
      <c r="E130" s="758">
        <v>90</v>
      </c>
      <c r="F130" s="759"/>
      <c r="G130" s="761"/>
      <c r="H130" s="762">
        <v>23000</v>
      </c>
      <c r="I130" s="753"/>
      <c r="J130" s="369"/>
      <c r="K130" s="230"/>
      <c r="L130" s="325" t="s">
        <v>182</v>
      </c>
    </row>
    <row r="131" spans="1:26">
      <c r="A131" s="753"/>
      <c r="B131" s="998" t="s">
        <v>925</v>
      </c>
      <c r="C131" s="755"/>
      <c r="D131" s="235"/>
      <c r="E131" s="652"/>
      <c r="F131" s="653"/>
      <c r="G131" s="764" t="s">
        <v>177</v>
      </c>
      <c r="H131" s="765">
        <f t="shared" ref="H131:I131" si="6">SUM(H128:H130)</f>
        <v>48500</v>
      </c>
      <c r="I131" s="766">
        <f t="shared" si="6"/>
        <v>25500</v>
      </c>
      <c r="J131" s="369"/>
      <c r="K131" s="767"/>
    </row>
    <row r="132" spans="1:26">
      <c r="C132" s="499"/>
      <c r="E132" s="287"/>
      <c r="I132" s="499"/>
      <c r="K132" s="287"/>
      <c r="L132" s="768"/>
    </row>
    <row r="133" spans="1:26">
      <c r="A133" s="219" t="s">
        <v>5</v>
      </c>
      <c r="B133" s="342" t="s">
        <v>861</v>
      </c>
      <c r="C133" s="187"/>
      <c r="D133" s="129" t="s">
        <v>10</v>
      </c>
      <c r="E133" s="288" t="s">
        <v>243</v>
      </c>
      <c r="F133" s="289" t="s">
        <v>244</v>
      </c>
      <c r="G133" s="290" t="s">
        <v>245</v>
      </c>
      <c r="H133" s="291" t="s">
        <v>246</v>
      </c>
      <c r="I133" s="217" t="s">
        <v>532</v>
      </c>
      <c r="J133" s="22" t="s">
        <v>13</v>
      </c>
      <c r="K133" s="717" t="s">
        <v>162</v>
      </c>
    </row>
    <row r="134" spans="1:26">
      <c r="A134" s="132" t="s">
        <v>114</v>
      </c>
      <c r="B134" s="481" t="s">
        <v>842</v>
      </c>
      <c r="C134" s="59"/>
      <c r="D134" s="51" t="s">
        <v>864</v>
      </c>
      <c r="E134" s="545"/>
      <c r="F134" s="47"/>
      <c r="G134" s="223">
        <v>10000</v>
      </c>
      <c r="H134" s="778">
        <v>10000</v>
      </c>
      <c r="I134" s="463"/>
      <c r="J134" s="6"/>
      <c r="K134" s="230" t="s">
        <v>331</v>
      </c>
    </row>
    <row r="135" spans="1:26">
      <c r="A135" s="482" t="s">
        <v>119</v>
      </c>
      <c r="B135" s="481"/>
      <c r="C135" s="454"/>
      <c r="D135" s="454"/>
      <c r="E135" s="543"/>
      <c r="F135" s="456"/>
      <c r="G135" s="478"/>
      <c r="H135" s="880"/>
      <c r="I135" s="779"/>
      <c r="J135" s="479"/>
      <c r="K135" s="503"/>
    </row>
    <row r="136" spans="1:26">
      <c r="A136" s="702" t="s">
        <v>114</v>
      </c>
      <c r="B136" s="283" t="s">
        <v>364</v>
      </c>
      <c r="C136" s="49"/>
      <c r="D136" s="51" t="s">
        <v>1010</v>
      </c>
      <c r="E136" s="675">
        <v>27</v>
      </c>
      <c r="F136" s="221"/>
      <c r="G136" s="308">
        <v>57000</v>
      </c>
      <c r="H136" s="260">
        <v>19000</v>
      </c>
      <c r="I136" s="260"/>
      <c r="J136" s="251"/>
      <c r="K136" s="309" t="s">
        <v>693</v>
      </c>
      <c r="L136" s="926" t="s">
        <v>895</v>
      </c>
      <c r="M136" s="681"/>
      <c r="N136" s="681"/>
      <c r="O136" s="681"/>
      <c r="P136" s="681"/>
      <c r="Q136" s="681"/>
      <c r="R136" s="681"/>
      <c r="S136" s="681"/>
      <c r="T136" s="681"/>
      <c r="U136" s="681"/>
      <c r="V136" s="681"/>
      <c r="W136" s="681"/>
      <c r="X136" s="681"/>
      <c r="Y136" s="681"/>
      <c r="Z136" s="681"/>
    </row>
    <row r="137" spans="1:26">
      <c r="A137" s="132"/>
      <c r="B137" s="29"/>
      <c r="C137" s="6"/>
      <c r="D137" s="8"/>
      <c r="E137" s="675"/>
      <c r="F137" s="221"/>
      <c r="G137" s="236"/>
      <c r="H137" s="779"/>
      <c r="I137" s="463"/>
      <c r="J137" s="59"/>
      <c r="K137" s="309"/>
    </row>
    <row r="138" spans="1:26">
      <c r="A138" s="132"/>
      <c r="B138" s="29"/>
      <c r="C138" s="6"/>
      <c r="D138" s="8"/>
      <c r="E138" s="675"/>
      <c r="F138" s="221"/>
      <c r="G138" s="236"/>
      <c r="H138" s="779"/>
      <c r="I138" s="463"/>
      <c r="J138" s="59"/>
      <c r="K138" s="309"/>
    </row>
    <row r="139" spans="1:26">
      <c r="A139" s="132"/>
      <c r="B139" s="29"/>
      <c r="C139" s="6"/>
      <c r="D139" s="8"/>
      <c r="E139" s="675"/>
      <c r="F139" s="221"/>
      <c r="G139" s="236" t="s">
        <v>177</v>
      </c>
      <c r="H139" s="264">
        <f t="shared" ref="H139:I139" si="7">SUM(H134:H138)</f>
        <v>29000</v>
      </c>
      <c r="I139" s="920">
        <f t="shared" si="7"/>
        <v>0</v>
      </c>
      <c r="J139" s="59"/>
      <c r="K139" s="309"/>
    </row>
    <row r="140" spans="1:26">
      <c r="C140" s="499"/>
      <c r="E140" s="287"/>
      <c r="I140" s="499"/>
      <c r="K140" s="287"/>
    </row>
    <row r="141" spans="1:26">
      <c r="A141" s="219" t="s">
        <v>5</v>
      </c>
      <c r="B141" s="342" t="s">
        <v>323</v>
      </c>
      <c r="C141" s="187"/>
      <c r="D141" s="129" t="s">
        <v>10</v>
      </c>
      <c r="E141" s="288" t="s">
        <v>243</v>
      </c>
      <c r="F141" s="289" t="s">
        <v>244</v>
      </c>
      <c r="G141" s="290" t="s">
        <v>245</v>
      </c>
      <c r="H141" s="291" t="s">
        <v>246</v>
      </c>
      <c r="I141" s="217" t="s">
        <v>532</v>
      </c>
      <c r="J141" s="22" t="s">
        <v>13</v>
      </c>
      <c r="K141" s="717" t="s">
        <v>162</v>
      </c>
    </row>
    <row r="142" spans="1:26">
      <c r="A142" s="132" t="s">
        <v>114</v>
      </c>
      <c r="B142" s="481" t="s">
        <v>681</v>
      </c>
      <c r="C142" s="59"/>
      <c r="D142" s="51" t="s">
        <v>1014</v>
      </c>
      <c r="E142" s="545">
        <v>90</v>
      </c>
      <c r="F142" s="47">
        <v>31</v>
      </c>
      <c r="G142" s="223">
        <v>57000</v>
      </c>
      <c r="H142" s="222">
        <v>19000</v>
      </c>
      <c r="I142" s="59"/>
      <c r="J142" s="6"/>
      <c r="K142" s="230" t="s">
        <v>693</v>
      </c>
      <c r="L142" s="1" t="s">
        <v>901</v>
      </c>
    </row>
    <row r="143" spans="1:26">
      <c r="A143" s="482" t="s">
        <v>119</v>
      </c>
      <c r="B143" s="481"/>
      <c r="C143" s="454"/>
      <c r="D143" s="454"/>
      <c r="E143" s="543"/>
      <c r="F143" s="456"/>
      <c r="G143" s="478"/>
      <c r="H143" s="478"/>
      <c r="I143" s="727"/>
      <c r="J143" s="479"/>
      <c r="K143" s="503"/>
      <c r="L143" s="521"/>
    </row>
    <row r="144" spans="1:26">
      <c r="A144" s="132"/>
      <c r="B144" s="29"/>
      <c r="C144" s="6"/>
      <c r="D144" s="8"/>
      <c r="E144" s="675"/>
      <c r="F144" s="221"/>
      <c r="G144" s="236" t="s">
        <v>177</v>
      </c>
      <c r="H144" s="264">
        <f t="shared" ref="H144:I144" si="8">SUM(H142:H143)</f>
        <v>19000</v>
      </c>
      <c r="I144" s="770">
        <f t="shared" si="8"/>
        <v>0</v>
      </c>
      <c r="J144" s="59"/>
      <c r="K144" s="309"/>
    </row>
    <row r="145" spans="1:12">
      <c r="C145" s="499"/>
      <c r="E145" s="287"/>
      <c r="I145" s="499"/>
      <c r="K145" s="287"/>
    </row>
    <row r="146" spans="1:12">
      <c r="C146" s="499"/>
      <c r="E146" s="287"/>
      <c r="I146" s="499"/>
      <c r="K146" s="287"/>
    </row>
    <row r="147" spans="1:12">
      <c r="A147" s="219" t="s">
        <v>5</v>
      </c>
      <c r="B147" s="342" t="s">
        <v>325</v>
      </c>
      <c r="C147" s="187"/>
      <c r="D147" s="129" t="s">
        <v>10</v>
      </c>
      <c r="E147" s="288" t="s">
        <v>243</v>
      </c>
      <c r="F147" s="289" t="s">
        <v>244</v>
      </c>
      <c r="G147" s="290" t="s">
        <v>245</v>
      </c>
      <c r="H147" s="291" t="s">
        <v>246</v>
      </c>
      <c r="I147" s="217" t="s">
        <v>532</v>
      </c>
      <c r="J147" s="22" t="s">
        <v>13</v>
      </c>
      <c r="K147" s="717" t="s">
        <v>162</v>
      </c>
    </row>
    <row r="148" spans="1:12">
      <c r="A148" s="452" t="s">
        <v>114</v>
      </c>
      <c r="B148" s="481" t="s">
        <v>134</v>
      </c>
      <c r="C148" s="454"/>
      <c r="D148" s="477" t="s">
        <v>148</v>
      </c>
      <c r="E148" s="543">
        <v>30</v>
      </c>
      <c r="F148" s="456">
        <v>31</v>
      </c>
      <c r="G148" s="478">
        <v>17500</v>
      </c>
      <c r="H148" s="478">
        <v>17500</v>
      </c>
      <c r="I148" s="454">
        <v>17500</v>
      </c>
      <c r="J148" s="454"/>
      <c r="K148" s="503"/>
      <c r="L148" s="509"/>
    </row>
    <row r="149" spans="1:12">
      <c r="A149" s="2" t="s">
        <v>119</v>
      </c>
      <c r="B149" s="481" t="s">
        <v>134</v>
      </c>
      <c r="C149" s="59"/>
      <c r="D149" s="59" t="s">
        <v>148</v>
      </c>
      <c r="E149" s="545">
        <v>30</v>
      </c>
      <c r="F149" s="47">
        <v>31</v>
      </c>
      <c r="G149" s="223">
        <v>17500</v>
      </c>
      <c r="H149" s="222">
        <v>17500</v>
      </c>
      <c r="I149" s="697">
        <v>17500</v>
      </c>
      <c r="J149" s="59"/>
      <c r="K149" s="230"/>
    </row>
    <row r="150" spans="1:12">
      <c r="A150" s="132"/>
      <c r="B150" s="29"/>
      <c r="C150" s="6"/>
      <c r="D150" s="8"/>
      <c r="E150" s="675"/>
      <c r="F150" s="221"/>
      <c r="G150" s="236" t="s">
        <v>177</v>
      </c>
      <c r="H150" s="264">
        <f t="shared" ref="H150:I150" si="9">SUM(H148:H149)</f>
        <v>35000</v>
      </c>
      <c r="I150" s="770">
        <f t="shared" si="9"/>
        <v>35000</v>
      </c>
      <c r="J150" s="59"/>
      <c r="K150" s="309"/>
    </row>
    <row r="151" spans="1:12">
      <c r="C151" s="499"/>
      <c r="E151" s="287"/>
      <c r="I151" s="499"/>
      <c r="K151" s="287"/>
    </row>
    <row r="152" spans="1:12">
      <c r="C152" s="499"/>
      <c r="E152" s="287"/>
      <c r="I152" s="499"/>
      <c r="K152" s="287"/>
    </row>
    <row r="153" spans="1:12">
      <c r="A153" s="219" t="s">
        <v>5</v>
      </c>
      <c r="B153" s="342" t="s">
        <v>326</v>
      </c>
      <c r="C153" s="187"/>
      <c r="D153" s="129" t="s">
        <v>10</v>
      </c>
      <c r="E153" s="288" t="s">
        <v>243</v>
      </c>
      <c r="F153" s="289" t="s">
        <v>244</v>
      </c>
      <c r="G153" s="290" t="s">
        <v>245</v>
      </c>
      <c r="H153" s="291" t="s">
        <v>246</v>
      </c>
      <c r="I153" s="217" t="s">
        <v>532</v>
      </c>
      <c r="J153" s="22" t="s">
        <v>13</v>
      </c>
      <c r="K153" s="717" t="s">
        <v>162</v>
      </c>
    </row>
    <row r="154" spans="1:12">
      <c r="A154" s="2" t="s">
        <v>114</v>
      </c>
      <c r="B154" s="481" t="s">
        <v>407</v>
      </c>
      <c r="C154" s="59"/>
      <c r="D154" s="51" t="s">
        <v>148</v>
      </c>
      <c r="E154" s="545">
        <v>30</v>
      </c>
      <c r="F154" s="47">
        <v>31</v>
      </c>
      <c r="G154" s="223">
        <v>21250</v>
      </c>
      <c r="H154" s="223">
        <v>21250</v>
      </c>
      <c r="I154" s="59">
        <v>21250</v>
      </c>
      <c r="J154" s="6"/>
      <c r="K154" s="230"/>
    </row>
    <row r="155" spans="1:12">
      <c r="A155" s="132" t="s">
        <v>119</v>
      </c>
      <c r="B155" s="4" t="s">
        <v>644</v>
      </c>
      <c r="C155" s="6"/>
      <c r="D155" s="45" t="s">
        <v>751</v>
      </c>
      <c r="E155" s="675">
        <v>30</v>
      </c>
      <c r="F155" s="222">
        <v>31</v>
      </c>
      <c r="G155" s="564">
        <v>10000</v>
      </c>
      <c r="H155" s="260">
        <v>10000</v>
      </c>
      <c r="I155" s="697">
        <v>10000</v>
      </c>
      <c r="J155" s="59"/>
      <c r="K155" s="309" t="s">
        <v>866</v>
      </c>
    </row>
    <row r="156" spans="1:12">
      <c r="A156" s="235"/>
      <c r="B156" s="235"/>
      <c r="C156" s="771"/>
      <c r="D156" s="235"/>
      <c r="E156" s="610"/>
      <c r="F156" s="235"/>
      <c r="G156" s="323" t="s">
        <v>177</v>
      </c>
      <c r="H156" s="772">
        <f t="shared" ref="H156:I156" si="10">SUM(H154:H155)</f>
        <v>31250</v>
      </c>
      <c r="I156" s="773">
        <f t="shared" si="10"/>
        <v>31250</v>
      </c>
      <c r="J156" s="774"/>
      <c r="K156" s="610"/>
    </row>
    <row r="157" spans="1:12">
      <c r="C157" s="499"/>
      <c r="E157" s="287"/>
      <c r="I157" s="499"/>
      <c r="K157" s="287"/>
    </row>
    <row r="158" spans="1:12">
      <c r="E158" s="287"/>
      <c r="I158" s="499"/>
      <c r="K158" s="287"/>
    </row>
    <row r="159" spans="1:12">
      <c r="A159" s="219" t="s">
        <v>5</v>
      </c>
      <c r="B159" s="342" t="s">
        <v>437</v>
      </c>
      <c r="C159" s="187"/>
      <c r="D159" s="129" t="s">
        <v>10</v>
      </c>
      <c r="E159" s="288" t="s">
        <v>243</v>
      </c>
      <c r="F159" s="289" t="s">
        <v>244</v>
      </c>
      <c r="G159" s="290" t="s">
        <v>245</v>
      </c>
      <c r="H159" s="291" t="s">
        <v>246</v>
      </c>
      <c r="I159" s="217" t="s">
        <v>532</v>
      </c>
      <c r="J159" s="22" t="s">
        <v>13</v>
      </c>
      <c r="K159" s="717" t="s">
        <v>162</v>
      </c>
      <c r="L159" s="14"/>
    </row>
    <row r="160" spans="1:12">
      <c r="A160" s="463" t="s">
        <v>114</v>
      </c>
      <c r="B160" s="907"/>
      <c r="C160" s="463"/>
      <c r="D160" s="614"/>
      <c r="E160" s="776"/>
      <c r="F160" s="777"/>
      <c r="G160" s="778"/>
      <c r="H160" s="778"/>
      <c r="I160" s="463"/>
      <c r="J160" s="779"/>
      <c r="K160" s="503"/>
      <c r="L160" s="504"/>
    </row>
    <row r="161" spans="1:12">
      <c r="A161" s="260" t="s">
        <v>119</v>
      </c>
      <c r="B161" s="775" t="s">
        <v>1032</v>
      </c>
      <c r="C161" s="260"/>
      <c r="D161" s="260" t="s">
        <v>1034</v>
      </c>
      <c r="E161" s="587"/>
      <c r="F161" s="262"/>
      <c r="G161" s="270"/>
      <c r="H161" s="270"/>
      <c r="I161" s="794"/>
      <c r="J161" s="150"/>
      <c r="K161" s="309"/>
      <c r="L161" s="781"/>
    </row>
    <row r="162" spans="1:12">
      <c r="A162" s="260" t="s">
        <v>114</v>
      </c>
      <c r="B162" s="639" t="s">
        <v>871</v>
      </c>
      <c r="C162" s="260"/>
      <c r="D162" s="260" t="s">
        <v>1037</v>
      </c>
      <c r="E162" s="587">
        <v>90</v>
      </c>
      <c r="F162" s="262">
        <v>7</v>
      </c>
      <c r="G162" s="270">
        <v>15000</v>
      </c>
      <c r="H162" s="270">
        <v>15000</v>
      </c>
      <c r="I162" s="794">
        <v>15000</v>
      </c>
      <c r="J162" s="150"/>
      <c r="K162" s="309"/>
      <c r="L162" s="482"/>
    </row>
    <row r="163" spans="1:12">
      <c r="A163" s="235"/>
      <c r="B163" s="4"/>
      <c r="C163" s="6"/>
      <c r="D163" s="45"/>
      <c r="E163" s="675"/>
      <c r="F163" s="221"/>
      <c r="G163" s="236" t="s">
        <v>177</v>
      </c>
      <c r="H163" s="264">
        <f t="shared" ref="H163:I163" si="11">SUM(H160:H162)</f>
        <v>15000</v>
      </c>
      <c r="I163" s="770">
        <f t="shared" si="11"/>
        <v>15000</v>
      </c>
      <c r="J163" s="59"/>
      <c r="K163" s="309"/>
      <c r="L163" s="341"/>
    </row>
    <row r="164" spans="1:12">
      <c r="A164" s="14"/>
      <c r="C164" s="499"/>
      <c r="E164" s="287"/>
      <c r="F164" s="286"/>
      <c r="G164" s="286"/>
      <c r="I164" s="499"/>
      <c r="K164" s="287"/>
    </row>
    <row r="165" spans="1:12">
      <c r="A165" s="219" t="s">
        <v>5</v>
      </c>
      <c r="B165" s="342" t="s">
        <v>441</v>
      </c>
      <c r="C165" s="187"/>
      <c r="D165" s="129" t="s">
        <v>10</v>
      </c>
      <c r="E165" s="288" t="s">
        <v>243</v>
      </c>
      <c r="F165" s="289" t="s">
        <v>244</v>
      </c>
      <c r="G165" s="290" t="s">
        <v>245</v>
      </c>
      <c r="H165" s="291" t="s">
        <v>246</v>
      </c>
      <c r="I165" s="217" t="s">
        <v>532</v>
      </c>
      <c r="J165" s="22" t="s">
        <v>13</v>
      </c>
      <c r="K165" s="717" t="s">
        <v>162</v>
      </c>
      <c r="L165" s="14"/>
    </row>
    <row r="166" spans="1:12">
      <c r="A166" s="132" t="s">
        <v>114</v>
      </c>
      <c r="B166" s="481" t="s">
        <v>1047</v>
      </c>
      <c r="C166" s="59"/>
      <c r="D166" s="51" t="s">
        <v>1049</v>
      </c>
      <c r="E166" s="545">
        <v>22</v>
      </c>
      <c r="F166" s="47">
        <v>8</v>
      </c>
      <c r="G166" s="223">
        <v>22500</v>
      </c>
      <c r="H166" s="222">
        <v>10000</v>
      </c>
      <c r="I166" s="59">
        <v>12500</v>
      </c>
      <c r="J166" s="6"/>
      <c r="K166" s="230"/>
      <c r="L166" s="352" t="s">
        <v>1050</v>
      </c>
    </row>
    <row r="167" spans="1:12">
      <c r="A167" s="452" t="s">
        <v>119</v>
      </c>
      <c r="B167" s="481" t="s">
        <v>444</v>
      </c>
      <c r="C167" s="454"/>
      <c r="D167" s="454" t="s">
        <v>148</v>
      </c>
      <c r="E167" s="543">
        <v>365</v>
      </c>
      <c r="F167" s="456">
        <v>31</v>
      </c>
      <c r="G167" s="478">
        <v>19000</v>
      </c>
      <c r="H167" s="478">
        <v>19000</v>
      </c>
      <c r="I167" s="783">
        <v>19000</v>
      </c>
      <c r="J167" s="479"/>
      <c r="K167" s="503"/>
      <c r="L167" s="132"/>
    </row>
    <row r="168" spans="1:12">
      <c r="A168" s="132"/>
      <c r="B168" s="4"/>
      <c r="C168" s="6"/>
      <c r="D168" s="45"/>
      <c r="E168" s="675"/>
      <c r="F168" s="221"/>
      <c r="G168" s="236" t="s">
        <v>177</v>
      </c>
      <c r="H168" s="264">
        <f t="shared" ref="H168:I168" si="12">SUM(H166:H167)</f>
        <v>29000</v>
      </c>
      <c r="I168" s="770">
        <f t="shared" si="12"/>
        <v>31500</v>
      </c>
      <c r="J168" s="59"/>
      <c r="K168" s="309"/>
      <c r="L168" s="341"/>
    </row>
    <row r="169" spans="1:12">
      <c r="A169" s="33" t="s">
        <v>114</v>
      </c>
      <c r="B169" s="328" t="s">
        <v>1051</v>
      </c>
      <c r="C169" s="499"/>
      <c r="E169" s="287"/>
      <c r="F169" s="286"/>
      <c r="G169" s="286"/>
      <c r="I169" s="499"/>
      <c r="K169" s="287"/>
    </row>
    <row r="170" spans="1:12">
      <c r="A170" s="219" t="s">
        <v>5</v>
      </c>
      <c r="B170" s="342" t="s">
        <v>445</v>
      </c>
      <c r="C170" s="187"/>
      <c r="D170" s="129" t="s">
        <v>10</v>
      </c>
      <c r="E170" s="288" t="s">
        <v>243</v>
      </c>
      <c r="F170" s="289" t="s">
        <v>244</v>
      </c>
      <c r="G170" s="290" t="s">
        <v>245</v>
      </c>
      <c r="H170" s="291" t="s">
        <v>246</v>
      </c>
      <c r="I170" s="217" t="s">
        <v>532</v>
      </c>
      <c r="J170" s="22" t="s">
        <v>13</v>
      </c>
      <c r="K170" s="717" t="s">
        <v>162</v>
      </c>
      <c r="L170" s="14"/>
    </row>
    <row r="171" spans="1:12">
      <c r="A171" s="2" t="s">
        <v>114</v>
      </c>
      <c r="B171" s="283" t="s">
        <v>1052</v>
      </c>
      <c r="C171" s="251"/>
      <c r="D171" s="251" t="s">
        <v>1053</v>
      </c>
      <c r="E171" s="675"/>
      <c r="F171" s="52"/>
      <c r="G171" s="222"/>
      <c r="H171" s="222"/>
      <c r="I171" s="251"/>
      <c r="J171" s="49"/>
      <c r="K171" s="309" t="s">
        <v>1054</v>
      </c>
      <c r="L171" s="794" t="s">
        <v>1055</v>
      </c>
    </row>
    <row r="172" spans="1:12">
      <c r="A172" s="452" t="s">
        <v>119</v>
      </c>
      <c r="B172" s="328" t="s">
        <v>695</v>
      </c>
      <c r="C172" s="454"/>
      <c r="D172" s="454" t="s">
        <v>983</v>
      </c>
      <c r="E172" s="543">
        <v>30</v>
      </c>
      <c r="F172" s="456"/>
      <c r="G172" s="478">
        <v>19000</v>
      </c>
      <c r="H172" s="478">
        <v>19000</v>
      </c>
      <c r="I172" s="783">
        <v>19000</v>
      </c>
      <c r="J172" s="479"/>
      <c r="K172" s="503"/>
      <c r="L172" s="132" t="s">
        <v>1056</v>
      </c>
    </row>
    <row r="173" spans="1:12">
      <c r="A173" s="132"/>
      <c r="B173" s="4"/>
      <c r="C173" s="6"/>
      <c r="D173" s="45"/>
      <c r="E173" s="675"/>
      <c r="F173" s="221"/>
      <c r="G173" s="236" t="s">
        <v>177</v>
      </c>
      <c r="H173" s="264">
        <f t="shared" ref="H173:I173" si="13">SUM(H171:H172)</f>
        <v>19000</v>
      </c>
      <c r="I173" s="785">
        <f t="shared" si="13"/>
        <v>19000</v>
      </c>
      <c r="J173" s="59"/>
      <c r="K173" s="309"/>
      <c r="L173" s="341"/>
    </row>
    <row r="174" spans="1:12">
      <c r="A174" s="14"/>
      <c r="C174" s="499"/>
      <c r="E174" s="287"/>
      <c r="F174" s="286"/>
      <c r="G174" s="286"/>
      <c r="I174" s="499"/>
      <c r="K174" s="287"/>
    </row>
    <row r="175" spans="1:12">
      <c r="E175" s="287"/>
      <c r="I175" s="499"/>
      <c r="K175" s="287"/>
    </row>
    <row r="176" spans="1:12">
      <c r="E176" s="287"/>
      <c r="H176" s="786" t="s">
        <v>668</v>
      </c>
      <c r="I176" s="787">
        <f>SUM(I173+I168+I163+I156+I150+I144+I131+I124+I118+I111+I103+I100+I78+I47+I23+I139)</f>
        <v>762750</v>
      </c>
      <c r="K176" s="287"/>
    </row>
    <row r="177" spans="5:11">
      <c r="E177" s="287"/>
      <c r="I177" s="499"/>
      <c r="K177" s="287"/>
    </row>
    <row r="178" spans="5:11">
      <c r="E178" s="287"/>
      <c r="H178" s="788" t="s">
        <v>671</v>
      </c>
      <c r="I178" s="789">
        <f>SUM(H173+H168+H163+H156+H150+H144+H131+H124+H118+H111+H103+H100+H78+H47+H23+H139)</f>
        <v>941250</v>
      </c>
      <c r="K178" s="287"/>
    </row>
    <row r="179" spans="5:11">
      <c r="E179" s="287"/>
      <c r="I179" s="499"/>
      <c r="K179" s="287"/>
    </row>
    <row r="180" spans="5:11">
      <c r="E180" s="287"/>
      <c r="I180" s="499"/>
      <c r="J180" s="1" t="s">
        <v>199</v>
      </c>
      <c r="K180" s="287"/>
    </row>
  </sheetData>
  <mergeCells count="1">
    <mergeCell ref="C110:F11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AQ199"/>
  <sheetViews>
    <sheetView workbookViewId="0"/>
  </sheetViews>
  <sheetFormatPr defaultColWidth="12.5703125" defaultRowHeight="15.75" customHeight="1"/>
  <cols>
    <col min="1" max="1" width="12" customWidth="1"/>
    <col min="2" max="2" width="32.28515625" customWidth="1"/>
    <col min="4" max="4" width="21.42578125" customWidth="1"/>
    <col min="11" max="13" width="20.28515625" customWidth="1"/>
    <col min="14" max="14" width="22.7109375" customWidth="1"/>
    <col min="18" max="18" width="12" customWidth="1"/>
    <col min="19" max="19" width="27.42578125" customWidth="1"/>
    <col min="21" max="21" width="21.42578125" customWidth="1"/>
    <col min="28" max="28" width="20.28515625" customWidth="1"/>
    <col min="29" max="29" width="22.7109375" customWidth="1"/>
  </cols>
  <sheetData>
    <row r="1" spans="1:28">
      <c r="A1" s="1">
        <v>3</v>
      </c>
      <c r="C1" s="499"/>
      <c r="E1" s="287"/>
      <c r="I1" s="499"/>
      <c r="K1" s="287"/>
      <c r="L1" s="287"/>
      <c r="M1" s="287"/>
    </row>
    <row r="2" spans="1:28">
      <c r="C2" s="499"/>
      <c r="E2" s="287"/>
      <c r="I2" s="499"/>
      <c r="K2" s="287"/>
      <c r="L2" s="287"/>
      <c r="M2" s="287"/>
    </row>
    <row r="3" spans="1:28">
      <c r="A3" s="523" t="s">
        <v>5</v>
      </c>
      <c r="B3" s="524" t="s">
        <v>7</v>
      </c>
      <c r="C3" s="525" t="s">
        <v>159</v>
      </c>
      <c r="D3" s="526" t="s">
        <v>10</v>
      </c>
      <c r="E3" s="527" t="s">
        <v>243</v>
      </c>
      <c r="F3" s="528" t="s">
        <v>244</v>
      </c>
      <c r="G3" s="528" t="s">
        <v>245</v>
      </c>
      <c r="H3" s="529" t="s">
        <v>246</v>
      </c>
      <c r="I3" s="525" t="s">
        <v>532</v>
      </c>
      <c r="J3" s="530" t="s">
        <v>13</v>
      </c>
      <c r="K3" s="923" t="s">
        <v>891</v>
      </c>
      <c r="L3" s="923" t="s">
        <v>892</v>
      </c>
      <c r="M3" s="531" t="s">
        <v>162</v>
      </c>
      <c r="N3" s="14"/>
    </row>
    <row r="4" spans="1:28">
      <c r="A4" s="219"/>
      <c r="B4" s="4"/>
      <c r="C4" s="59"/>
      <c r="D4" s="45"/>
      <c r="E4" s="532"/>
      <c r="F4" s="220"/>
      <c r="G4" s="533"/>
      <c r="H4" s="533"/>
      <c r="I4" s="223"/>
      <c r="J4" s="223"/>
      <c r="K4" s="924"/>
      <c r="L4" s="924"/>
      <c r="M4" s="534"/>
      <c r="N4" s="33"/>
    </row>
    <row r="5" spans="1:28">
      <c r="A5" s="269">
        <v>1</v>
      </c>
      <c r="B5" s="617" t="s">
        <v>29</v>
      </c>
      <c r="C5" s="619">
        <v>5</v>
      </c>
      <c r="D5" s="621" t="s">
        <v>893</v>
      </c>
      <c r="E5" s="622" t="s">
        <v>534</v>
      </c>
      <c r="F5" s="619">
        <v>31</v>
      </c>
      <c r="G5" s="623">
        <v>32000</v>
      </c>
      <c r="H5" s="623">
        <v>32000</v>
      </c>
      <c r="I5" s="925">
        <v>32000</v>
      </c>
      <c r="J5" s="619"/>
      <c r="K5" s="622"/>
      <c r="L5" s="622"/>
      <c r="M5" s="622" t="s">
        <v>799</v>
      </c>
      <c r="N5" s="14"/>
    </row>
    <row r="6" spans="1:28">
      <c r="A6" s="269">
        <v>2</v>
      </c>
      <c r="B6" s="625" t="s">
        <v>894</v>
      </c>
      <c r="C6" s="619">
        <v>5</v>
      </c>
      <c r="D6" s="627"/>
      <c r="E6" s="622"/>
      <c r="F6" s="619"/>
      <c r="G6" s="623"/>
      <c r="H6" s="623"/>
      <c r="I6" s="619"/>
      <c r="J6" s="619"/>
      <c r="K6" s="622"/>
      <c r="L6" s="622"/>
      <c r="M6" s="622" t="s">
        <v>118</v>
      </c>
      <c r="N6" s="324"/>
    </row>
    <row r="7" spans="1:28">
      <c r="A7" s="269">
        <v>3</v>
      </c>
      <c r="B7" s="617" t="s">
        <v>340</v>
      </c>
      <c r="C7" s="621">
        <v>5</v>
      </c>
      <c r="D7" s="621" t="s">
        <v>896</v>
      </c>
      <c r="E7" s="629" t="s">
        <v>534</v>
      </c>
      <c r="F7" s="621">
        <v>31</v>
      </c>
      <c r="G7" s="623">
        <v>210000</v>
      </c>
      <c r="H7" s="623">
        <v>17500</v>
      </c>
      <c r="I7" s="621"/>
      <c r="J7" s="621"/>
      <c r="K7" s="629"/>
      <c r="L7" s="629"/>
      <c r="M7" s="629" t="s">
        <v>535</v>
      </c>
      <c r="N7" s="539"/>
      <c r="O7" s="509"/>
    </row>
    <row r="8" spans="1:28">
      <c r="A8" s="269">
        <v>4</v>
      </c>
      <c r="B8" s="625" t="s">
        <v>897</v>
      </c>
      <c r="C8" s="619">
        <v>5</v>
      </c>
      <c r="D8" s="619" t="s">
        <v>148</v>
      </c>
      <c r="E8" s="622"/>
      <c r="F8" s="619">
        <v>31</v>
      </c>
      <c r="G8" s="623"/>
      <c r="H8" s="623">
        <v>25900</v>
      </c>
      <c r="I8" s="925">
        <v>25900</v>
      </c>
      <c r="J8" s="619"/>
      <c r="K8" s="622"/>
      <c r="L8" s="622"/>
      <c r="M8" s="622"/>
      <c r="N8" s="324"/>
    </row>
    <row r="9" spans="1:28">
      <c r="A9" s="269">
        <v>5</v>
      </c>
      <c r="B9" s="927" t="s">
        <v>538</v>
      </c>
      <c r="C9" s="619">
        <v>5</v>
      </c>
      <c r="D9" s="619" t="s">
        <v>893</v>
      </c>
      <c r="E9" s="622"/>
      <c r="F9" s="619">
        <v>31</v>
      </c>
      <c r="G9" s="623"/>
      <c r="H9" s="623">
        <v>29600</v>
      </c>
      <c r="I9" s="925">
        <v>37000</v>
      </c>
      <c r="J9" s="619"/>
      <c r="K9" s="622"/>
      <c r="L9" s="622"/>
      <c r="M9" s="622" t="s">
        <v>899</v>
      </c>
      <c r="N9" s="324"/>
    </row>
    <row r="10" spans="1:28">
      <c r="A10" s="837">
        <v>6</v>
      </c>
      <c r="B10" s="928" t="s">
        <v>773</v>
      </c>
      <c r="C10" s="59">
        <v>5</v>
      </c>
      <c r="D10" s="45" t="s">
        <v>900</v>
      </c>
      <c r="E10" s="545">
        <v>180</v>
      </c>
      <c r="F10" s="223">
        <v>11</v>
      </c>
      <c r="G10" s="223"/>
      <c r="H10" s="222">
        <v>25900</v>
      </c>
      <c r="I10" s="929">
        <v>25900</v>
      </c>
      <c r="J10" s="220"/>
      <c r="K10" s="394"/>
      <c r="L10" s="394"/>
      <c r="M10" s="234" t="s">
        <v>775</v>
      </c>
      <c r="N10" s="230" t="s">
        <v>776</v>
      </c>
      <c r="O10" s="842"/>
      <c r="P10" s="842"/>
      <c r="Q10" s="842"/>
      <c r="R10" s="842"/>
      <c r="S10" s="842"/>
      <c r="T10" s="842"/>
      <c r="U10" s="842"/>
      <c r="V10" s="842"/>
      <c r="W10" s="842"/>
      <c r="X10" s="842"/>
      <c r="Y10" s="842"/>
      <c r="Z10" s="842"/>
      <c r="AA10" s="842"/>
      <c r="AB10" s="842"/>
    </row>
    <row r="11" spans="1:28">
      <c r="A11" s="269">
        <v>7</v>
      </c>
      <c r="B11" s="876" t="s">
        <v>902</v>
      </c>
      <c r="C11" s="825">
        <v>5</v>
      </c>
      <c r="D11" s="838" t="s">
        <v>893</v>
      </c>
      <c r="E11" s="828">
        <v>60</v>
      </c>
      <c r="F11" s="825">
        <v>31</v>
      </c>
      <c r="G11" s="827">
        <v>29600</v>
      </c>
      <c r="H11" s="841"/>
      <c r="I11" s="621"/>
      <c r="J11" s="621"/>
      <c r="K11" s="629"/>
      <c r="L11" s="629"/>
      <c r="M11" s="930" t="s">
        <v>899</v>
      </c>
      <c r="N11" s="501" t="s">
        <v>903</v>
      </c>
      <c r="O11" s="509"/>
    </row>
    <row r="12" spans="1:28">
      <c r="A12" s="269">
        <v>8</v>
      </c>
      <c r="B12" s="617" t="s">
        <v>574</v>
      </c>
      <c r="C12" s="619">
        <v>5</v>
      </c>
      <c r="D12" s="621" t="s">
        <v>893</v>
      </c>
      <c r="E12" s="622">
        <v>180</v>
      </c>
      <c r="F12" s="619">
        <v>31</v>
      </c>
      <c r="G12" s="623">
        <v>155400</v>
      </c>
      <c r="H12" s="623" t="s">
        <v>753</v>
      </c>
      <c r="I12" s="925">
        <v>25900</v>
      </c>
      <c r="J12" s="619"/>
      <c r="K12" s="622"/>
      <c r="L12" s="622"/>
      <c r="M12" s="804" t="s">
        <v>331</v>
      </c>
      <c r="N12" s="33"/>
      <c r="O12" s="1" t="s">
        <v>199</v>
      </c>
    </row>
    <row r="13" spans="1:28">
      <c r="A13" s="269">
        <v>9</v>
      </c>
      <c r="B13" s="617" t="s">
        <v>904</v>
      </c>
      <c r="C13" s="619">
        <v>5</v>
      </c>
      <c r="D13" s="619" t="s">
        <v>879</v>
      </c>
      <c r="E13" s="622">
        <v>180</v>
      </c>
      <c r="F13" s="619">
        <v>31</v>
      </c>
      <c r="G13" s="623"/>
      <c r="H13" s="623">
        <v>25900</v>
      </c>
      <c r="I13" s="925">
        <v>25900</v>
      </c>
      <c r="J13" s="619"/>
      <c r="K13" s="622"/>
      <c r="L13" s="622"/>
      <c r="M13" s="804"/>
      <c r="N13" s="33"/>
    </row>
    <row r="14" spans="1:28">
      <c r="A14" s="269">
        <v>10</v>
      </c>
      <c r="B14" s="617" t="s">
        <v>577</v>
      </c>
      <c r="C14" s="619">
        <v>5</v>
      </c>
      <c r="D14" s="619" t="s">
        <v>905</v>
      </c>
      <c r="E14" s="622">
        <v>180</v>
      </c>
      <c r="F14" s="619"/>
      <c r="G14" s="623">
        <v>150000</v>
      </c>
      <c r="H14" s="623">
        <v>25000</v>
      </c>
      <c r="I14" s="925">
        <v>25000</v>
      </c>
      <c r="J14" s="619"/>
      <c r="K14" s="622"/>
      <c r="L14" s="622"/>
      <c r="M14" s="804" t="s">
        <v>579</v>
      </c>
      <c r="N14" s="303"/>
    </row>
    <row r="15" spans="1:28">
      <c r="A15" s="269">
        <v>11</v>
      </c>
      <c r="B15" s="617" t="s">
        <v>770</v>
      </c>
      <c r="C15" s="619">
        <v>5</v>
      </c>
      <c r="D15" s="619" t="s">
        <v>893</v>
      </c>
      <c r="E15" s="622"/>
      <c r="F15" s="619"/>
      <c r="G15" s="623">
        <v>111000</v>
      </c>
      <c r="H15" s="623">
        <v>37000</v>
      </c>
      <c r="I15" s="925">
        <v>37000</v>
      </c>
      <c r="J15" s="619"/>
      <c r="K15" s="622"/>
      <c r="L15" s="622"/>
      <c r="M15" s="804" t="s">
        <v>906</v>
      </c>
      <c r="N15" s="33" t="s">
        <v>875</v>
      </c>
    </row>
    <row r="16" spans="1:28">
      <c r="A16" s="269">
        <v>12</v>
      </c>
      <c r="B16" s="617" t="s">
        <v>23</v>
      </c>
      <c r="C16" s="619">
        <v>5</v>
      </c>
      <c r="D16" s="619" t="s">
        <v>893</v>
      </c>
      <c r="E16" s="622" t="s">
        <v>534</v>
      </c>
      <c r="F16" s="619">
        <v>31</v>
      </c>
      <c r="G16" s="623">
        <v>33000</v>
      </c>
      <c r="H16" s="623">
        <v>33000</v>
      </c>
      <c r="I16" s="925">
        <v>33000</v>
      </c>
      <c r="J16" s="619"/>
      <c r="K16" s="622"/>
      <c r="L16" s="622"/>
      <c r="M16" s="622"/>
      <c r="N16" s="341" t="s">
        <v>581</v>
      </c>
    </row>
    <row r="17" spans="1:43">
      <c r="A17" s="269">
        <v>13</v>
      </c>
      <c r="B17" s="328" t="s">
        <v>907</v>
      </c>
      <c r="C17" s="251"/>
      <c r="D17" s="251"/>
      <c r="E17" s="882"/>
      <c r="F17" s="251"/>
      <c r="G17" s="251"/>
      <c r="H17" s="251"/>
      <c r="I17" s="932">
        <v>25900</v>
      </c>
      <c r="J17" s="251"/>
      <c r="K17" s="673"/>
      <c r="L17" s="673"/>
      <c r="M17" s="673"/>
      <c r="N17" s="33"/>
    </row>
    <row r="18" spans="1:43">
      <c r="A18" s="269">
        <v>14</v>
      </c>
      <c r="B18" s="928" t="s">
        <v>908</v>
      </c>
      <c r="C18" s="454"/>
      <c r="D18" s="477"/>
      <c r="E18" s="543"/>
      <c r="F18" s="478"/>
      <c r="G18" s="478"/>
      <c r="H18" s="478"/>
      <c r="I18" s="929">
        <v>32000</v>
      </c>
      <c r="J18" s="498"/>
      <c r="K18" s="520"/>
      <c r="L18" s="520"/>
      <c r="M18" s="503"/>
      <c r="N18" s="501"/>
    </row>
    <row r="19" spans="1:43">
      <c r="A19" s="269">
        <v>15</v>
      </c>
      <c r="B19" s="328" t="s">
        <v>909</v>
      </c>
      <c r="C19" s="59"/>
      <c r="D19" s="45"/>
      <c r="E19" s="545"/>
      <c r="F19" s="223"/>
      <c r="G19" s="223"/>
      <c r="H19" s="222"/>
      <c r="I19" s="223"/>
      <c r="J19" s="220"/>
      <c r="N19" s="230"/>
    </row>
    <row r="20" spans="1:43">
      <c r="A20" s="269">
        <v>16</v>
      </c>
      <c r="B20" s="254" t="s">
        <v>910</v>
      </c>
      <c r="C20" s="59"/>
      <c r="D20" s="45"/>
      <c r="E20" s="545"/>
      <c r="F20" s="223"/>
      <c r="G20" s="223"/>
      <c r="H20" s="273"/>
      <c r="I20" s="233"/>
      <c r="J20" s="233"/>
      <c r="K20" s="230"/>
      <c r="L20" s="230"/>
      <c r="M20" s="230"/>
      <c r="N20" s="14"/>
    </row>
    <row r="21" spans="1:43">
      <c r="A21" s="269">
        <v>17</v>
      </c>
      <c r="B21" s="254" t="s">
        <v>911</v>
      </c>
      <c r="C21" s="454"/>
      <c r="D21" s="455"/>
      <c r="E21" s="543"/>
      <c r="F21" s="458"/>
      <c r="G21" s="458"/>
      <c r="H21" s="458"/>
      <c r="I21" s="936">
        <v>37000</v>
      </c>
      <c r="J21" s="548"/>
      <c r="K21" s="503"/>
      <c r="L21" s="937">
        <v>8000</v>
      </c>
      <c r="M21" s="503"/>
      <c r="N21" s="451"/>
    </row>
    <row r="22" spans="1:43">
      <c r="A22" s="269"/>
      <c r="B22" s="938" t="s">
        <v>912</v>
      </c>
      <c r="C22" s="59"/>
      <c r="D22" s="251"/>
      <c r="E22" s="550"/>
      <c r="F22" s="401"/>
      <c r="G22" s="402"/>
      <c r="H22" s="222"/>
      <c r="I22" s="939">
        <v>46599.89</v>
      </c>
      <c r="J22" s="395"/>
      <c r="K22" s="673"/>
      <c r="L22" s="673"/>
      <c r="M22" s="309"/>
      <c r="N22" s="682"/>
    </row>
    <row r="23" spans="1:43">
      <c r="A23" s="114"/>
      <c r="B23" s="236" t="s">
        <v>177</v>
      </c>
      <c r="C23" s="6">
        <f>SUM(C3:C22)</f>
        <v>60</v>
      </c>
      <c r="D23" s="109"/>
      <c r="E23" s="552"/>
      <c r="F23" s="237"/>
      <c r="G23" s="237">
        <f t="shared" ref="G23:H23" si="0">SUM(G4:G22)</f>
        <v>721000</v>
      </c>
      <c r="H23" s="553">
        <f t="shared" si="0"/>
        <v>251800</v>
      </c>
      <c r="I23" s="554">
        <f>SUM(I5:I22)</f>
        <v>409099.89</v>
      </c>
      <c r="J23" s="555">
        <f t="shared" ref="J23:L23" si="1">SUM(J4:J22)</f>
        <v>0</v>
      </c>
      <c r="K23" s="945">
        <f t="shared" si="1"/>
        <v>0</v>
      </c>
      <c r="L23" s="945">
        <f t="shared" si="1"/>
        <v>8000</v>
      </c>
      <c r="M23" s="556">
        <f>H23+J23</f>
        <v>251800</v>
      </c>
      <c r="N23" s="696">
        <f>M23/G23*100</f>
        <v>34.923717059639394</v>
      </c>
    </row>
    <row r="24" spans="1:43">
      <c r="A24" s="265"/>
      <c r="B24" s="206"/>
      <c r="C24" s="697"/>
      <c r="D24" s="185"/>
      <c r="E24" s="557"/>
      <c r="F24" s="558"/>
      <c r="G24" s="558"/>
      <c r="H24" s="265"/>
      <c r="I24" s="265"/>
      <c r="J24" s="265"/>
      <c r="K24" s="743"/>
      <c r="L24" s="743"/>
      <c r="M24" s="559"/>
      <c r="N24" s="14"/>
    </row>
    <row r="25" spans="1:43">
      <c r="A25" s="560"/>
      <c r="B25" s="561"/>
      <c r="C25" s="562"/>
      <c r="D25" s="561"/>
      <c r="E25" s="563"/>
      <c r="F25" s="561"/>
      <c r="G25" s="565"/>
      <c r="H25" s="565"/>
      <c r="I25" s="566"/>
      <c r="J25" s="566"/>
      <c r="K25" s="950"/>
      <c r="L25" s="950"/>
      <c r="M25" s="567"/>
      <c r="N25" s="33"/>
      <c r="AC25" s="14"/>
    </row>
    <row r="26" spans="1:43">
      <c r="A26" s="568"/>
      <c r="B26" s="569"/>
      <c r="C26" s="338"/>
      <c r="D26" s="570"/>
      <c r="E26" s="571"/>
      <c r="F26" s="572"/>
      <c r="G26" s="572"/>
      <c r="H26" s="573"/>
      <c r="I26" s="574"/>
      <c r="J26" s="574"/>
      <c r="K26" s="951"/>
      <c r="L26" s="951"/>
      <c r="M26" s="575"/>
      <c r="N26" s="33"/>
      <c r="AC26" s="33"/>
    </row>
    <row r="27" spans="1:43">
      <c r="A27" s="568"/>
      <c r="B27" s="576"/>
      <c r="C27" s="340"/>
      <c r="D27" s="577"/>
      <c r="E27" s="578"/>
      <c r="F27" s="319"/>
      <c r="G27" s="319"/>
      <c r="H27" s="320"/>
      <c r="I27" s="320"/>
      <c r="J27" s="320"/>
      <c r="K27" s="952"/>
      <c r="L27" s="952"/>
      <c r="M27" s="579"/>
      <c r="N27" s="33"/>
      <c r="AC27" s="14"/>
    </row>
    <row r="28" spans="1:43">
      <c r="A28" s="580"/>
      <c r="B28" s="581"/>
      <c r="C28" s="260"/>
      <c r="D28" s="260"/>
      <c r="E28" s="578"/>
      <c r="F28" s="582"/>
      <c r="G28" s="572"/>
      <c r="H28" s="270"/>
      <c r="I28" s="583"/>
      <c r="J28" s="584"/>
      <c r="K28" s="953"/>
      <c r="L28" s="953"/>
      <c r="M28" s="585"/>
      <c r="N28" s="303"/>
      <c r="AC28" s="324"/>
    </row>
    <row r="29" spans="1:43">
      <c r="A29" s="568"/>
      <c r="B29" s="586"/>
      <c r="C29" s="340"/>
      <c r="D29" s="577"/>
      <c r="E29" s="587"/>
      <c r="F29" s="582"/>
      <c r="G29" s="582"/>
      <c r="H29" s="237"/>
      <c r="I29" s="582"/>
      <c r="J29" s="582"/>
      <c r="K29" s="954"/>
      <c r="L29" s="954"/>
      <c r="M29" s="588"/>
      <c r="N29" s="33"/>
      <c r="AC29" s="539"/>
      <c r="AD29" s="509"/>
    </row>
    <row r="30" spans="1:43">
      <c r="A30" s="589"/>
      <c r="B30" s="590"/>
      <c r="C30" s="591"/>
      <c r="D30" s="590"/>
      <c r="E30" s="592"/>
      <c r="F30" s="590"/>
      <c r="G30" s="590"/>
      <c r="H30" s="590"/>
      <c r="I30" s="591"/>
      <c r="J30" s="590"/>
      <c r="K30" s="955"/>
      <c r="L30" s="955"/>
      <c r="M30" s="593"/>
      <c r="AC30" s="324"/>
    </row>
    <row r="31" spans="1:43">
      <c r="A31" s="2"/>
      <c r="B31" s="4"/>
      <c r="C31" s="6"/>
      <c r="D31" s="8"/>
      <c r="E31" s="532"/>
      <c r="F31" s="220"/>
      <c r="G31" s="220"/>
      <c r="H31" s="6"/>
      <c r="I31" s="6"/>
      <c r="J31" s="6"/>
      <c r="K31" s="618"/>
      <c r="L31" s="618"/>
      <c r="M31" s="594"/>
      <c r="N31" s="14"/>
      <c r="AC31" s="324"/>
    </row>
    <row r="32" spans="1:43">
      <c r="A32" s="595" t="s">
        <v>5</v>
      </c>
      <c r="B32" s="596" t="s">
        <v>74</v>
      </c>
      <c r="C32" s="597" t="s">
        <v>159</v>
      </c>
      <c r="D32" s="598" t="s">
        <v>10</v>
      </c>
      <c r="E32" s="599" t="s">
        <v>243</v>
      </c>
      <c r="F32" s="600" t="s">
        <v>244</v>
      </c>
      <c r="G32" s="600" t="s">
        <v>245</v>
      </c>
      <c r="H32" s="601" t="s">
        <v>246</v>
      </c>
      <c r="I32" s="597" t="s">
        <v>532</v>
      </c>
      <c r="J32" s="602" t="s">
        <v>13</v>
      </c>
      <c r="K32" s="923" t="s">
        <v>891</v>
      </c>
      <c r="L32" s="923" t="s">
        <v>892</v>
      </c>
      <c r="M32" s="603" t="s">
        <v>162</v>
      </c>
      <c r="N32" s="14"/>
      <c r="AC32" s="176"/>
      <c r="AD32" s="842"/>
      <c r="AE32" s="842"/>
      <c r="AF32" s="842"/>
      <c r="AG32" s="842"/>
      <c r="AH32" s="842"/>
      <c r="AI32" s="842"/>
      <c r="AJ32" s="842"/>
      <c r="AK32" s="842"/>
      <c r="AL32" s="842"/>
      <c r="AM32" s="842"/>
      <c r="AN32" s="842"/>
      <c r="AO32" s="842"/>
      <c r="AP32" s="842"/>
      <c r="AQ32" s="842"/>
    </row>
    <row r="33" spans="1:30">
      <c r="A33" s="269">
        <v>1</v>
      </c>
      <c r="B33" s="443" t="s">
        <v>135</v>
      </c>
      <c r="C33" s="144">
        <v>5</v>
      </c>
      <c r="D33" s="715" t="s">
        <v>893</v>
      </c>
      <c r="E33" s="230" t="s">
        <v>148</v>
      </c>
      <c r="F33" s="144">
        <v>31</v>
      </c>
      <c r="G33" s="608"/>
      <c r="H33" s="608">
        <v>32000</v>
      </c>
      <c r="I33" s="960">
        <v>32000</v>
      </c>
      <c r="J33" s="608"/>
      <c r="K33" s="503"/>
      <c r="L33" s="503"/>
      <c r="M33" s="503"/>
      <c r="N33" s="491"/>
      <c r="AC33" s="451"/>
      <c r="AD33" s="509"/>
    </row>
    <row r="34" spans="1:30">
      <c r="A34" s="269">
        <v>2</v>
      </c>
      <c r="B34" s="961" t="s">
        <v>773</v>
      </c>
      <c r="C34" s="144">
        <v>5</v>
      </c>
      <c r="D34" s="203" t="s">
        <v>932</v>
      </c>
      <c r="E34" s="230">
        <v>180</v>
      </c>
      <c r="F34" s="608">
        <v>11</v>
      </c>
      <c r="G34" s="608"/>
      <c r="H34" s="608">
        <v>24500</v>
      </c>
      <c r="I34" s="960">
        <v>24500</v>
      </c>
      <c r="J34" s="609"/>
      <c r="K34" s="503"/>
      <c r="L34" s="503"/>
      <c r="M34" s="503" t="s">
        <v>768</v>
      </c>
      <c r="N34" s="14"/>
      <c r="AC34" s="33" t="s">
        <v>664</v>
      </c>
      <c r="AD34" s="1" t="s">
        <v>199</v>
      </c>
    </row>
    <row r="35" spans="1:30">
      <c r="A35" s="269">
        <v>3</v>
      </c>
      <c r="B35" s="962" t="s">
        <v>889</v>
      </c>
      <c r="C35" s="178">
        <v>5</v>
      </c>
      <c r="D35" s="171" t="s">
        <v>933</v>
      </c>
      <c r="E35" s="295"/>
      <c r="F35" s="178"/>
      <c r="G35" s="865"/>
      <c r="H35" s="865"/>
      <c r="I35" s="609"/>
      <c r="J35" s="609"/>
      <c r="K35" s="503"/>
      <c r="L35" s="503"/>
      <c r="M35" s="503" t="s">
        <v>118</v>
      </c>
      <c r="N35" s="14"/>
      <c r="AC35" s="33"/>
    </row>
    <row r="36" spans="1:30">
      <c r="A36" s="269">
        <v>4</v>
      </c>
      <c r="B36" s="443" t="s">
        <v>23</v>
      </c>
      <c r="C36" s="144">
        <v>5</v>
      </c>
      <c r="D36" s="715" t="s">
        <v>893</v>
      </c>
      <c r="E36" s="230" t="s">
        <v>534</v>
      </c>
      <c r="F36" s="144">
        <v>22</v>
      </c>
      <c r="G36" s="538">
        <v>363000</v>
      </c>
      <c r="H36" s="538">
        <v>33000</v>
      </c>
      <c r="I36" s="960">
        <v>33000</v>
      </c>
      <c r="J36" s="609"/>
      <c r="K36" s="503"/>
      <c r="L36" s="503"/>
      <c r="M36" s="503" t="s">
        <v>535</v>
      </c>
      <c r="N36" s="33" t="s">
        <v>581</v>
      </c>
      <c r="AC36" s="303"/>
    </row>
    <row r="37" spans="1:30">
      <c r="A37" s="269">
        <v>5</v>
      </c>
      <c r="B37" s="893" t="s">
        <v>574</v>
      </c>
      <c r="C37" s="473">
        <v>5</v>
      </c>
      <c r="D37" s="725" t="s">
        <v>893</v>
      </c>
      <c r="E37" s="230"/>
      <c r="F37" s="144"/>
      <c r="G37" s="608"/>
      <c r="H37" s="608">
        <v>24500</v>
      </c>
      <c r="I37" s="960">
        <v>24500</v>
      </c>
      <c r="J37" s="609"/>
      <c r="K37" s="503"/>
      <c r="L37" s="503"/>
      <c r="M37" s="503"/>
      <c r="N37" s="33"/>
      <c r="AC37" s="33" t="s">
        <v>875</v>
      </c>
    </row>
    <row r="38" spans="1:30">
      <c r="A38" s="269">
        <v>6</v>
      </c>
      <c r="B38" s="893" t="s">
        <v>448</v>
      </c>
      <c r="C38" s="144">
        <v>5</v>
      </c>
      <c r="D38" s="965">
        <v>45931</v>
      </c>
      <c r="E38" s="230"/>
      <c r="F38" s="144"/>
      <c r="G38" s="608"/>
      <c r="H38" s="608"/>
      <c r="I38" s="608"/>
      <c r="J38" s="609"/>
      <c r="K38" s="503"/>
      <c r="L38" s="503"/>
      <c r="M38" s="503" t="s">
        <v>118</v>
      </c>
      <c r="N38" s="792" t="s">
        <v>938</v>
      </c>
      <c r="AC38" s="341" t="s">
        <v>581</v>
      </c>
    </row>
    <row r="39" spans="1:30">
      <c r="A39" s="269">
        <v>7</v>
      </c>
      <c r="B39" s="961" t="s">
        <v>908</v>
      </c>
      <c r="C39" s="144"/>
      <c r="D39" s="203"/>
      <c r="E39" s="606"/>
      <c r="F39" s="607"/>
      <c r="G39" s="609"/>
      <c r="H39" s="609"/>
      <c r="I39" s="960">
        <v>32000</v>
      </c>
      <c r="J39" s="609"/>
      <c r="K39" s="503"/>
      <c r="L39" s="503"/>
      <c r="M39" s="503" t="s">
        <v>118</v>
      </c>
      <c r="N39" s="491"/>
      <c r="AC39" s="33"/>
    </row>
    <row r="40" spans="1:30">
      <c r="A40" s="969">
        <v>8</v>
      </c>
      <c r="B40" s="971" t="s">
        <v>366</v>
      </c>
      <c r="C40" s="240">
        <v>5</v>
      </c>
      <c r="D40" s="976" t="s">
        <v>896</v>
      </c>
      <c r="E40" s="717" t="s">
        <v>148</v>
      </c>
      <c r="F40" s="240">
        <v>31</v>
      </c>
      <c r="G40" s="979">
        <v>17500</v>
      </c>
      <c r="H40" s="980">
        <v>17500</v>
      </c>
      <c r="I40" s="980"/>
      <c r="J40" s="979"/>
      <c r="K40" s="717"/>
      <c r="L40" s="717"/>
      <c r="M40" s="717" t="s">
        <v>942</v>
      </c>
      <c r="N40" s="491"/>
      <c r="AC40" s="501" t="s">
        <v>148</v>
      </c>
    </row>
    <row r="41" spans="1:30">
      <c r="A41" s="269">
        <v>9</v>
      </c>
      <c r="B41" s="793" t="s">
        <v>944</v>
      </c>
      <c r="C41" s="144">
        <v>5</v>
      </c>
      <c r="D41" s="203" t="s">
        <v>945</v>
      </c>
      <c r="E41" s="230">
        <v>7</v>
      </c>
      <c r="F41" s="144">
        <v>7</v>
      </c>
      <c r="G41" s="608">
        <v>10000</v>
      </c>
      <c r="H41" s="865">
        <v>10000</v>
      </c>
      <c r="I41" s="960">
        <v>10000</v>
      </c>
      <c r="J41" s="609"/>
      <c r="K41" s="503"/>
      <c r="L41" s="503"/>
      <c r="M41" s="503"/>
      <c r="N41" s="33"/>
      <c r="AC41" s="230" t="s">
        <v>776</v>
      </c>
    </row>
    <row r="42" spans="1:30">
      <c r="A42" s="269">
        <v>10</v>
      </c>
      <c r="B42" s="443" t="s">
        <v>948</v>
      </c>
      <c r="C42" s="463">
        <v>5</v>
      </c>
      <c r="D42" s="715" t="s">
        <v>950</v>
      </c>
      <c r="E42" s="503"/>
      <c r="F42" s="463"/>
      <c r="G42" s="861"/>
      <c r="H42" s="862">
        <v>28000</v>
      </c>
      <c r="I42" s="960">
        <v>28000</v>
      </c>
      <c r="J42" s="861"/>
      <c r="K42" s="503"/>
      <c r="L42" s="503"/>
      <c r="M42" s="503"/>
      <c r="N42" s="867"/>
      <c r="AC42" s="14"/>
    </row>
    <row r="43" spans="1:30">
      <c r="A43" s="269">
        <v>11</v>
      </c>
      <c r="B43" s="453" t="s">
        <v>955</v>
      </c>
      <c r="C43" s="454">
        <v>5</v>
      </c>
      <c r="D43" s="477" t="s">
        <v>957</v>
      </c>
      <c r="E43" s="543">
        <v>60</v>
      </c>
      <c r="F43" s="478"/>
      <c r="G43" s="478"/>
      <c r="H43" s="478">
        <v>28000</v>
      </c>
      <c r="I43" s="929">
        <v>28000</v>
      </c>
      <c r="J43" s="498"/>
      <c r="K43" s="983"/>
      <c r="L43" s="983"/>
      <c r="M43" s="487"/>
      <c r="N43" s="792" t="s">
        <v>903</v>
      </c>
      <c r="AC43" s="451"/>
    </row>
    <row r="44" spans="1:30">
      <c r="A44" s="269">
        <v>12</v>
      </c>
      <c r="B44" s="791" t="s">
        <v>959</v>
      </c>
      <c r="C44" s="260"/>
      <c r="D44" s="645"/>
      <c r="E44" s="309"/>
      <c r="F44" s="694"/>
      <c r="G44" s="694"/>
      <c r="H44" s="694"/>
      <c r="I44" s="960">
        <v>20000</v>
      </c>
      <c r="J44" s="695"/>
      <c r="K44" s="309"/>
      <c r="L44" s="309"/>
      <c r="M44" s="309"/>
      <c r="N44" s="898"/>
      <c r="AC44" s="682" t="s">
        <v>590</v>
      </c>
    </row>
    <row r="45" spans="1:30">
      <c r="A45" s="269">
        <v>13</v>
      </c>
      <c r="B45" s="961" t="s">
        <v>912</v>
      </c>
      <c r="C45" s="144"/>
      <c r="D45" s="203"/>
      <c r="E45" s="230"/>
      <c r="F45" s="608"/>
      <c r="G45" s="608"/>
      <c r="H45" s="608"/>
      <c r="I45" s="960">
        <v>79499.89</v>
      </c>
      <c r="J45" s="609"/>
      <c r="K45" s="503"/>
      <c r="L45" s="503"/>
      <c r="M45" s="503"/>
      <c r="N45" s="496"/>
      <c r="AC45" s="696" t="e">
        <f>AB45/X45*100</f>
        <v>#DIV/0!</v>
      </c>
    </row>
    <row r="46" spans="1:30">
      <c r="A46" s="269">
        <v>14</v>
      </c>
      <c r="B46" s="791" t="s">
        <v>965</v>
      </c>
      <c r="C46" s="144"/>
      <c r="D46" s="203"/>
      <c r="E46" s="230"/>
      <c r="F46" s="608"/>
      <c r="G46" s="608"/>
      <c r="H46" s="608"/>
      <c r="I46" s="985">
        <v>30000</v>
      </c>
      <c r="J46" s="609"/>
      <c r="K46" s="503"/>
      <c r="L46" s="503"/>
      <c r="M46" s="503"/>
      <c r="N46" s="682"/>
      <c r="AC46" s="14"/>
    </row>
    <row r="47" spans="1:30">
      <c r="A47" s="2"/>
      <c r="B47" s="236" t="s">
        <v>177</v>
      </c>
      <c r="C47" s="6">
        <f>SUM(C33:C46)</f>
        <v>50</v>
      </c>
      <c r="D47" s="8"/>
      <c r="E47" s="618">
        <f>SUM(E33:E46)</f>
        <v>247</v>
      </c>
      <c r="F47" s="620"/>
      <c r="G47" s="620">
        <f t="shared" ref="G47:L47" si="2">SUM(G33:G46)</f>
        <v>390500</v>
      </c>
      <c r="H47" s="624">
        <f t="shared" si="2"/>
        <v>197500</v>
      </c>
      <c r="I47" s="626">
        <f t="shared" si="2"/>
        <v>341499.89</v>
      </c>
      <c r="J47" s="620">
        <f t="shared" si="2"/>
        <v>0</v>
      </c>
      <c r="K47" s="987">
        <f t="shared" si="2"/>
        <v>0</v>
      </c>
      <c r="L47" s="987">
        <f t="shared" si="2"/>
        <v>0</v>
      </c>
      <c r="M47" s="628">
        <f>H47+J47</f>
        <v>197500</v>
      </c>
      <c r="N47" s="696">
        <f>M47/G47*100</f>
        <v>50.576184379001276</v>
      </c>
      <c r="AC47" s="33"/>
    </row>
    <row r="48" spans="1:30">
      <c r="A48" s="14"/>
      <c r="B48" s="206"/>
      <c r="C48" s="198"/>
      <c r="D48" s="185"/>
      <c r="E48" s="557"/>
      <c r="F48" s="209"/>
      <c r="G48" s="209"/>
      <c r="H48" s="14"/>
      <c r="I48" s="14"/>
      <c r="J48" s="14"/>
      <c r="K48" s="743"/>
      <c r="L48" s="743"/>
      <c r="M48" s="559"/>
      <c r="N48" s="14"/>
      <c r="AC48" s="33"/>
    </row>
    <row r="49" spans="1:29">
      <c r="A49" s="683" t="s">
        <v>5</v>
      </c>
      <c r="B49" s="931" t="s">
        <v>281</v>
      </c>
      <c r="C49" s="685" t="s">
        <v>159</v>
      </c>
      <c r="D49" s="686" t="s">
        <v>10</v>
      </c>
      <c r="E49" s="687" t="s">
        <v>243</v>
      </c>
      <c r="F49" s="688" t="s">
        <v>244</v>
      </c>
      <c r="G49" s="688" t="s">
        <v>245</v>
      </c>
      <c r="H49" s="689" t="s">
        <v>246</v>
      </c>
      <c r="I49" s="685" t="s">
        <v>532</v>
      </c>
      <c r="J49" s="690" t="s">
        <v>13</v>
      </c>
      <c r="K49" s="923" t="s">
        <v>891</v>
      </c>
      <c r="L49" s="923" t="s">
        <v>892</v>
      </c>
      <c r="M49" s="691" t="s">
        <v>162</v>
      </c>
      <c r="N49" s="14"/>
      <c r="AC49" s="33"/>
    </row>
    <row r="50" spans="1:29">
      <c r="A50" s="269">
        <v>1</v>
      </c>
      <c r="B50" s="639" t="s">
        <v>135</v>
      </c>
      <c r="C50" s="260">
        <v>5</v>
      </c>
      <c r="D50" s="645" t="s">
        <v>969</v>
      </c>
      <c r="E50" s="642"/>
      <c r="F50" s="270">
        <v>29</v>
      </c>
      <c r="G50" s="150"/>
      <c r="H50" s="270">
        <v>20580</v>
      </c>
      <c r="I50" s="989">
        <v>20580</v>
      </c>
      <c r="J50" s="237"/>
      <c r="K50" s="933"/>
      <c r="L50" s="933"/>
      <c r="M50" s="309" t="s">
        <v>148</v>
      </c>
      <c r="N50" s="451"/>
      <c r="AC50" s="303"/>
    </row>
    <row r="51" spans="1:29">
      <c r="A51" s="269">
        <v>2</v>
      </c>
      <c r="B51" s="644" t="s">
        <v>23</v>
      </c>
      <c r="C51" s="260">
        <v>5</v>
      </c>
      <c r="D51" s="645" t="s">
        <v>969</v>
      </c>
      <c r="E51" s="642"/>
      <c r="F51" s="270">
        <v>29</v>
      </c>
      <c r="G51" s="150"/>
      <c r="H51" s="270">
        <v>22450</v>
      </c>
      <c r="I51" s="989">
        <v>22450</v>
      </c>
      <c r="J51" s="237"/>
      <c r="K51" s="726"/>
      <c r="L51" s="726"/>
      <c r="M51" s="726" t="s">
        <v>148</v>
      </c>
      <c r="N51" s="14"/>
      <c r="AC51" s="33"/>
    </row>
    <row r="52" spans="1:29">
      <c r="A52" s="269">
        <v>3</v>
      </c>
      <c r="B52" s="970" t="s">
        <v>952</v>
      </c>
      <c r="C52" s="973">
        <v>5</v>
      </c>
      <c r="D52" s="975" t="s">
        <v>971</v>
      </c>
      <c r="E52" s="652"/>
      <c r="F52" s="653"/>
      <c r="G52" s="653"/>
      <c r="H52" s="759">
        <v>22800</v>
      </c>
      <c r="I52" s="654"/>
      <c r="J52" s="759" t="s">
        <v>275</v>
      </c>
      <c r="K52" s="978"/>
      <c r="L52" s="978"/>
      <c r="M52" s="978" t="s">
        <v>974</v>
      </c>
      <c r="N52" s="14"/>
    </row>
    <row r="53" spans="1:29">
      <c r="A53" s="269">
        <v>4</v>
      </c>
      <c r="B53" s="644" t="s">
        <v>943</v>
      </c>
      <c r="C53" s="260">
        <v>5</v>
      </c>
      <c r="D53" s="645" t="s">
        <v>976</v>
      </c>
      <c r="E53" s="642"/>
      <c r="F53" s="237"/>
      <c r="G53" s="270"/>
      <c r="H53" s="270">
        <v>24838</v>
      </c>
      <c r="I53" s="237"/>
      <c r="J53" s="237"/>
      <c r="K53" s="934"/>
      <c r="L53" s="934"/>
      <c r="M53" s="934"/>
      <c r="N53" s="14"/>
      <c r="AC53" s="14"/>
    </row>
    <row r="54" spans="1:29">
      <c r="A54" s="269">
        <v>5</v>
      </c>
      <c r="B54" s="639"/>
      <c r="C54" s="260"/>
      <c r="D54" s="645"/>
      <c r="E54" s="587"/>
      <c r="F54" s="270"/>
      <c r="G54" s="270"/>
      <c r="H54" s="237"/>
      <c r="I54" s="150"/>
      <c r="J54" s="150"/>
      <c r="K54" s="934"/>
      <c r="L54" s="934"/>
      <c r="M54" s="934"/>
      <c r="N54" s="14"/>
      <c r="AC54" s="14"/>
    </row>
    <row r="55" spans="1:29">
      <c r="A55" s="269">
        <v>6</v>
      </c>
      <c r="B55" s="639"/>
      <c r="C55" s="309"/>
      <c r="D55" s="657"/>
      <c r="E55" s="587"/>
      <c r="F55" s="658"/>
      <c r="G55" s="659"/>
      <c r="H55" s="660"/>
      <c r="I55" s="642"/>
      <c r="J55" s="642"/>
      <c r="K55" s="309"/>
      <c r="L55" s="309"/>
      <c r="M55" s="309"/>
      <c r="N55" s="14"/>
      <c r="AC55" s="491"/>
    </row>
    <row r="56" spans="1:29">
      <c r="A56" s="269">
        <v>7</v>
      </c>
      <c r="B56" s="639"/>
      <c r="C56" s="309"/>
      <c r="D56" s="657"/>
      <c r="E56" s="587"/>
      <c r="F56" s="658"/>
      <c r="G56" s="659"/>
      <c r="H56" s="660"/>
      <c r="I56" s="642"/>
      <c r="J56" s="642"/>
      <c r="K56" s="309"/>
      <c r="L56" s="309"/>
      <c r="M56" s="309"/>
      <c r="N56" s="14"/>
      <c r="AC56" s="14"/>
    </row>
    <row r="57" spans="1:29">
      <c r="A57" s="269">
        <v>8</v>
      </c>
      <c r="B57" s="639"/>
      <c r="C57" s="309"/>
      <c r="D57" s="657"/>
      <c r="E57" s="587"/>
      <c r="F57" s="658"/>
      <c r="G57" s="659"/>
      <c r="H57" s="660"/>
      <c r="I57" s="642"/>
      <c r="J57" s="642"/>
      <c r="K57" s="309"/>
      <c r="L57" s="309"/>
      <c r="M57" s="309"/>
      <c r="N57" s="14"/>
      <c r="AC57" s="14"/>
    </row>
    <row r="58" spans="1:29">
      <c r="A58" s="269">
        <v>9</v>
      </c>
      <c r="B58" s="639"/>
      <c r="C58" s="309"/>
      <c r="D58" s="657"/>
      <c r="E58" s="587"/>
      <c r="F58" s="658"/>
      <c r="G58" s="659"/>
      <c r="H58" s="660"/>
      <c r="I58" s="642"/>
      <c r="J58" s="642"/>
      <c r="K58" s="309"/>
      <c r="L58" s="309"/>
      <c r="M58" s="309"/>
      <c r="N58" s="14"/>
      <c r="AC58" s="33" t="s">
        <v>581</v>
      </c>
    </row>
    <row r="59" spans="1:29">
      <c r="A59" s="269">
        <v>10</v>
      </c>
      <c r="B59" s="896" t="s">
        <v>959</v>
      </c>
      <c r="C59" s="309"/>
      <c r="D59" s="657"/>
      <c r="E59" s="587"/>
      <c r="F59" s="658"/>
      <c r="G59" s="659"/>
      <c r="H59" s="660"/>
      <c r="I59" s="937">
        <v>40000</v>
      </c>
      <c r="J59" s="642"/>
      <c r="K59" s="309"/>
      <c r="L59" s="309"/>
      <c r="M59" s="309"/>
      <c r="N59" s="14"/>
      <c r="AC59" s="33"/>
    </row>
    <row r="60" spans="1:29">
      <c r="A60" s="269">
        <v>11</v>
      </c>
      <c r="B60" s="639" t="s">
        <v>978</v>
      </c>
      <c r="C60" s="309"/>
      <c r="D60" s="657"/>
      <c r="E60" s="587"/>
      <c r="F60" s="658"/>
      <c r="G60" s="659"/>
      <c r="H60" s="660"/>
      <c r="I60" s="642"/>
      <c r="J60" s="642"/>
      <c r="K60" s="309"/>
      <c r="L60" s="309"/>
      <c r="M60" s="309"/>
      <c r="N60" s="14"/>
      <c r="AC60" s="792"/>
    </row>
    <row r="61" spans="1:29">
      <c r="A61" s="269">
        <v>12</v>
      </c>
      <c r="B61" s="896" t="s">
        <v>979</v>
      </c>
      <c r="C61" s="309"/>
      <c r="D61" s="657"/>
      <c r="E61" s="587"/>
      <c r="F61" s="658"/>
      <c r="G61" s="659"/>
      <c r="H61" s="660"/>
      <c r="I61" s="937">
        <v>23800</v>
      </c>
      <c r="J61" s="642"/>
      <c r="K61" s="309"/>
      <c r="L61" s="309"/>
      <c r="M61" s="309"/>
      <c r="N61" s="14"/>
      <c r="AC61" s="491"/>
    </row>
    <row r="62" spans="1:29">
      <c r="A62" s="114"/>
      <c r="B62" s="236" t="s">
        <v>177</v>
      </c>
      <c r="C62" s="6">
        <f>SUM(C48:C61)</f>
        <v>20</v>
      </c>
      <c r="D62" s="8"/>
      <c r="E62" s="532">
        <f>SUM(E48:E61)</f>
        <v>0</v>
      </c>
      <c r="F62" s="620"/>
      <c r="G62" s="620">
        <f>SUM(G48:G61)</f>
        <v>0</v>
      </c>
      <c r="H62" s="624">
        <f t="shared" ref="H62:I62" si="3">SUM(H50:H61)</f>
        <v>90668</v>
      </c>
      <c r="I62" s="626">
        <f t="shared" si="3"/>
        <v>106830</v>
      </c>
      <c r="J62" s="620"/>
      <c r="K62" s="987">
        <f t="shared" ref="K62:L62" si="4">SUM(K50:K61)</f>
        <v>0</v>
      </c>
      <c r="L62" s="987">
        <f t="shared" si="4"/>
        <v>0</v>
      </c>
      <c r="M62" s="809"/>
      <c r="N62" s="265"/>
      <c r="O62" s="681"/>
      <c r="AC62" s="491"/>
    </row>
    <row r="63" spans="1:29">
      <c r="A63" s="114"/>
      <c r="B63" s="940"/>
      <c r="C63" s="734"/>
      <c r="D63" s="731"/>
      <c r="E63" s="732"/>
      <c r="F63" s="733"/>
      <c r="G63" s="737"/>
      <c r="H63" s="703"/>
      <c r="I63" s="704"/>
      <c r="J63" s="704"/>
      <c r="K63" s="734"/>
      <c r="L63" s="734"/>
      <c r="M63" s="734"/>
      <c r="N63" s="265"/>
      <c r="O63" s="681"/>
      <c r="AC63" s="491"/>
    </row>
    <row r="64" spans="1:29">
      <c r="A64" s="683" t="s">
        <v>5</v>
      </c>
      <c r="B64" s="941" t="s">
        <v>913</v>
      </c>
      <c r="C64" s="942" t="s">
        <v>159</v>
      </c>
      <c r="D64" s="943" t="s">
        <v>10</v>
      </c>
      <c r="E64" s="944" t="s">
        <v>243</v>
      </c>
      <c r="F64" s="946" t="s">
        <v>244</v>
      </c>
      <c r="G64" s="946" t="s">
        <v>245</v>
      </c>
      <c r="H64" s="947" t="s">
        <v>246</v>
      </c>
      <c r="I64" s="525" t="s">
        <v>532</v>
      </c>
      <c r="J64" s="948" t="s">
        <v>13</v>
      </c>
      <c r="K64" s="923" t="s">
        <v>891</v>
      </c>
      <c r="L64" s="923" t="s">
        <v>892</v>
      </c>
      <c r="M64" s="949" t="s">
        <v>162</v>
      </c>
      <c r="N64" s="14"/>
      <c r="AC64" s="33"/>
    </row>
    <row r="65" spans="1:29">
      <c r="A65" s="139">
        <v>1</v>
      </c>
      <c r="B65" s="993" t="s">
        <v>700</v>
      </c>
      <c r="C65" s="144">
        <v>5</v>
      </c>
      <c r="D65" s="757" t="s">
        <v>982</v>
      </c>
      <c r="E65" s="693">
        <v>200</v>
      </c>
      <c r="F65" s="103">
        <v>31</v>
      </c>
      <c r="G65" s="608" t="s">
        <v>778</v>
      </c>
      <c r="H65" s="694">
        <v>14000</v>
      </c>
      <c r="I65" s="144"/>
      <c r="J65" s="994">
        <v>26000</v>
      </c>
      <c r="K65" s="230"/>
      <c r="L65" s="230"/>
      <c r="M65" s="230" t="s">
        <v>275</v>
      </c>
      <c r="N65" s="33" t="s">
        <v>779</v>
      </c>
      <c r="O65" s="499"/>
      <c r="AC65" s="867"/>
    </row>
    <row r="66" spans="1:29">
      <c r="A66" s="139">
        <v>2</v>
      </c>
      <c r="B66" s="805" t="s">
        <v>450</v>
      </c>
      <c r="C66" s="144">
        <v>5</v>
      </c>
      <c r="D66" s="463" t="s">
        <v>957</v>
      </c>
      <c r="E66" s="693">
        <v>60</v>
      </c>
      <c r="F66" s="103"/>
      <c r="G66" s="608"/>
      <c r="H66" s="694">
        <v>16000</v>
      </c>
      <c r="I66" s="994">
        <v>16000</v>
      </c>
      <c r="J66" s="144"/>
      <c r="K66" s="230"/>
      <c r="L66" s="230"/>
      <c r="M66" s="230"/>
      <c r="N66" s="33" t="s">
        <v>903</v>
      </c>
      <c r="O66" s="499"/>
      <c r="AC66" s="792"/>
    </row>
    <row r="67" spans="1:29">
      <c r="A67" s="134">
        <v>3</v>
      </c>
      <c r="B67" s="908" t="s">
        <v>617</v>
      </c>
      <c r="C67" s="144">
        <v>5</v>
      </c>
      <c r="D67" s="144" t="s">
        <v>987</v>
      </c>
      <c r="E67" s="693"/>
      <c r="F67" s="103">
        <v>31</v>
      </c>
      <c r="G67" s="608"/>
      <c r="H67" s="694">
        <v>17500</v>
      </c>
      <c r="I67" s="144"/>
      <c r="J67" s="100"/>
      <c r="K67" s="295"/>
      <c r="L67" s="295"/>
      <c r="M67" s="295" t="s">
        <v>619</v>
      </c>
      <c r="N67" s="33" t="s">
        <v>988</v>
      </c>
      <c r="O67" s="33"/>
      <c r="AC67" s="898"/>
    </row>
    <row r="68" spans="1:29">
      <c r="A68" s="139">
        <v>4</v>
      </c>
      <c r="B68" s="805" t="s">
        <v>927</v>
      </c>
      <c r="C68" s="144">
        <v>5</v>
      </c>
      <c r="D68" s="144" t="s">
        <v>989</v>
      </c>
      <c r="E68" s="693">
        <v>180</v>
      </c>
      <c r="F68" s="103">
        <v>31</v>
      </c>
      <c r="G68" s="608"/>
      <c r="H68" s="694">
        <v>16000</v>
      </c>
      <c r="I68" s="144"/>
      <c r="J68" s="100"/>
      <c r="K68" s="520"/>
      <c r="L68" s="520"/>
      <c r="M68" s="520" t="s">
        <v>675</v>
      </c>
      <c r="N68" s="33" t="s">
        <v>768</v>
      </c>
      <c r="O68" s="499"/>
      <c r="AC68" s="496"/>
    </row>
    <row r="69" spans="1:29">
      <c r="A69" s="139">
        <v>5</v>
      </c>
      <c r="B69" s="692" t="s">
        <v>639</v>
      </c>
      <c r="C69" s="144">
        <v>5</v>
      </c>
      <c r="D69" s="144" t="s">
        <v>467</v>
      </c>
      <c r="E69" s="693"/>
      <c r="F69" s="103"/>
      <c r="G69" s="608"/>
      <c r="H69" s="695"/>
      <c r="I69" s="100"/>
      <c r="J69" s="100"/>
      <c r="K69" s="230"/>
      <c r="L69" s="230"/>
      <c r="M69" s="230" t="s">
        <v>118</v>
      </c>
      <c r="N69" s="14"/>
      <c r="O69" s="499"/>
      <c r="AC69" s="682"/>
    </row>
    <row r="70" spans="1:29">
      <c r="A70" s="139">
        <v>6</v>
      </c>
      <c r="B70" s="805" t="s">
        <v>461</v>
      </c>
      <c r="C70" s="144">
        <v>5</v>
      </c>
      <c r="D70" s="144" t="s">
        <v>993</v>
      </c>
      <c r="E70" s="693">
        <v>365</v>
      </c>
      <c r="F70" s="103">
        <v>31</v>
      </c>
      <c r="G70" s="608">
        <v>14000</v>
      </c>
      <c r="H70" s="694">
        <v>14000</v>
      </c>
      <c r="I70" s="144"/>
      <c r="J70" s="100"/>
      <c r="K70" s="230"/>
      <c r="L70" s="230"/>
      <c r="M70" s="230" t="s">
        <v>784</v>
      </c>
      <c r="N70" s="33"/>
      <c r="O70" s="499"/>
      <c r="AC70" s="696" t="e">
        <f>AB70/X70*100</f>
        <v>#DIV/0!</v>
      </c>
    </row>
    <row r="71" spans="1:29">
      <c r="A71" s="139">
        <v>7</v>
      </c>
      <c r="B71" s="996" t="s">
        <v>773</v>
      </c>
      <c r="C71" s="144">
        <v>5</v>
      </c>
      <c r="D71" s="144" t="s">
        <v>932</v>
      </c>
      <c r="E71" s="693">
        <v>180</v>
      </c>
      <c r="F71" s="258">
        <v>31</v>
      </c>
      <c r="G71" s="609"/>
      <c r="H71" s="608">
        <v>14000</v>
      </c>
      <c r="I71" s="994">
        <v>14000</v>
      </c>
      <c r="J71" s="100"/>
      <c r="K71" s="230"/>
      <c r="L71" s="230"/>
      <c r="M71" s="230" t="s">
        <v>775</v>
      </c>
      <c r="N71" s="33" t="s">
        <v>823</v>
      </c>
      <c r="O71" s="499"/>
      <c r="AC71" s="14"/>
    </row>
    <row r="72" spans="1:29">
      <c r="A72" s="139">
        <v>8</v>
      </c>
      <c r="B72" s="805" t="s">
        <v>134</v>
      </c>
      <c r="C72" s="144">
        <v>5</v>
      </c>
      <c r="D72" s="715" t="s">
        <v>893</v>
      </c>
      <c r="E72" s="693" t="s">
        <v>534</v>
      </c>
      <c r="F72" s="144">
        <v>31</v>
      </c>
      <c r="G72" s="538">
        <v>363000</v>
      </c>
      <c r="H72" s="538">
        <v>33000</v>
      </c>
      <c r="I72" s="994">
        <v>33000</v>
      </c>
      <c r="J72" s="100"/>
      <c r="K72" s="230"/>
      <c r="L72" s="230"/>
      <c r="M72" s="230" t="s">
        <v>535</v>
      </c>
      <c r="N72" s="33" t="s">
        <v>581</v>
      </c>
      <c r="O72" s="499"/>
      <c r="AC72" s="14"/>
    </row>
    <row r="73" spans="1:29">
      <c r="A73" s="139">
        <v>9</v>
      </c>
      <c r="B73" s="805" t="s">
        <v>923</v>
      </c>
      <c r="C73" s="144">
        <v>5</v>
      </c>
      <c r="D73" s="699" t="s">
        <v>924</v>
      </c>
      <c r="E73" s="587">
        <v>30</v>
      </c>
      <c r="F73" s="270">
        <v>1</v>
      </c>
      <c r="G73" s="700">
        <v>18000</v>
      </c>
      <c r="H73" s="533">
        <v>18000</v>
      </c>
      <c r="I73" s="59"/>
      <c r="J73" s="144"/>
      <c r="K73" s="309"/>
      <c r="L73" s="309"/>
      <c r="M73" s="309"/>
      <c r="N73" s="33"/>
      <c r="O73" s="499"/>
      <c r="AC73" s="451"/>
    </row>
    <row r="74" spans="1:29">
      <c r="A74" s="134">
        <v>10</v>
      </c>
      <c r="B74" s="308" t="s">
        <v>943</v>
      </c>
      <c r="C74" s="59">
        <v>5</v>
      </c>
      <c r="D74" s="477" t="s">
        <v>1002</v>
      </c>
      <c r="E74" s="537"/>
      <c r="F74" s="223"/>
      <c r="G74" s="533">
        <v>14193</v>
      </c>
      <c r="H74" s="533"/>
      <c r="I74" s="989">
        <v>14193</v>
      </c>
      <c r="J74" s="220"/>
      <c r="K74" s="537"/>
      <c r="L74" s="537"/>
      <c r="M74" s="888"/>
      <c r="N74" s="682"/>
      <c r="O74" s="499"/>
      <c r="AC74" s="14"/>
    </row>
    <row r="75" spans="1:29">
      <c r="A75" s="134">
        <v>11</v>
      </c>
      <c r="B75" s="236" t="s">
        <v>1005</v>
      </c>
      <c r="C75" s="806">
        <v>5</v>
      </c>
      <c r="D75" s="45" t="s">
        <v>1006</v>
      </c>
      <c r="E75" s="537"/>
      <c r="F75" s="223"/>
      <c r="G75" s="533"/>
      <c r="H75" s="877">
        <v>15000</v>
      </c>
      <c r="I75" s="778"/>
      <c r="J75" s="498"/>
      <c r="K75" s="520"/>
      <c r="L75" s="520"/>
      <c r="M75" s="917" t="s">
        <v>1007</v>
      </c>
      <c r="N75" s="810"/>
      <c r="O75" s="499"/>
      <c r="AC75" s="14"/>
    </row>
    <row r="76" spans="1:29">
      <c r="A76" s="134">
        <v>12</v>
      </c>
      <c r="B76" s="497" t="s">
        <v>948</v>
      </c>
      <c r="C76" s="806">
        <v>5</v>
      </c>
      <c r="D76" s="45" t="s">
        <v>950</v>
      </c>
      <c r="E76" s="618"/>
      <c r="F76" s="220"/>
      <c r="G76" s="620"/>
      <c r="H76" s="538">
        <v>16000</v>
      </c>
      <c r="I76" s="989">
        <v>16000</v>
      </c>
      <c r="J76" s="498"/>
      <c r="K76" s="1000"/>
      <c r="L76" s="1000"/>
      <c r="M76" s="878"/>
      <c r="N76" s="696"/>
      <c r="O76" s="499"/>
      <c r="AC76" s="14"/>
    </row>
    <row r="77" spans="1:29">
      <c r="A77" s="134">
        <v>13</v>
      </c>
      <c r="B77" s="431" t="s">
        <v>925</v>
      </c>
      <c r="C77" s="806"/>
      <c r="D77" s="45"/>
      <c r="E77" s="537"/>
      <c r="F77" s="223"/>
      <c r="G77" s="620"/>
      <c r="H77" s="538"/>
      <c r="I77" s="778"/>
      <c r="J77" s="498"/>
      <c r="K77" s="520"/>
      <c r="L77" s="520"/>
      <c r="M77" s="917"/>
      <c r="N77" s="810"/>
      <c r="O77" s="499"/>
      <c r="AC77" s="14"/>
    </row>
    <row r="78" spans="1:29">
      <c r="A78" s="134">
        <v>14</v>
      </c>
      <c r="B78" s="497" t="s">
        <v>978</v>
      </c>
      <c r="C78" s="806"/>
      <c r="D78" s="45"/>
      <c r="E78" s="537"/>
      <c r="F78" s="223"/>
      <c r="G78" s="533"/>
      <c r="H78" s="538"/>
      <c r="I78" s="778"/>
      <c r="J78" s="880"/>
      <c r="K78" s="878"/>
      <c r="L78" s="878"/>
      <c r="M78" s="878"/>
      <c r="N78" s="810"/>
      <c r="O78" s="499"/>
      <c r="AC78" s="14"/>
    </row>
    <row r="79" spans="1:29">
      <c r="A79" s="132"/>
      <c r="B79" s="236" t="s">
        <v>177</v>
      </c>
      <c r="C79" s="769">
        <f>SUM(C54:C78)</f>
        <v>80</v>
      </c>
      <c r="D79" s="8"/>
      <c r="E79" s="532">
        <f>SUM(E54:E78)</f>
        <v>1015</v>
      </c>
      <c r="F79" s="220"/>
      <c r="G79" s="620">
        <f t="shared" ref="G79:I79" si="5">SUM(G65:G78)</f>
        <v>409193</v>
      </c>
      <c r="H79" s="701">
        <f t="shared" si="5"/>
        <v>173500</v>
      </c>
      <c r="I79" s="958">
        <f t="shared" si="5"/>
        <v>93193</v>
      </c>
      <c r="J79" s="1003">
        <f>SUM(J65:J74)</f>
        <v>26000</v>
      </c>
      <c r="K79" s="987">
        <f t="shared" ref="K79:L79" si="6">SUM(K65:K78)</f>
        <v>0</v>
      </c>
      <c r="L79" s="987">
        <f t="shared" si="6"/>
        <v>0</v>
      </c>
      <c r="M79" s="628">
        <f>H79+J79</f>
        <v>199500</v>
      </c>
      <c r="N79" s="696">
        <f>M79/G79*100</f>
        <v>48.754499710405604</v>
      </c>
      <c r="O79" s="499"/>
      <c r="AC79" s="14"/>
    </row>
    <row r="80" spans="1:29">
      <c r="A80" s="702"/>
      <c r="B80" s="811"/>
      <c r="C80" s="673"/>
      <c r="D80" s="812"/>
      <c r="E80" s="675"/>
      <c r="F80" s="676"/>
      <c r="G80" s="677"/>
      <c r="H80" s="703"/>
      <c r="I80" s="704"/>
      <c r="J80" s="220"/>
      <c r="K80" s="673"/>
      <c r="L80" s="673"/>
      <c r="M80" s="309"/>
      <c r="N80" s="265"/>
      <c r="O80" s="681"/>
      <c r="AC80" s="14"/>
    </row>
    <row r="81" spans="1:30">
      <c r="A81" s="683" t="s">
        <v>5</v>
      </c>
      <c r="B81" s="964" t="s">
        <v>934</v>
      </c>
      <c r="C81" s="685" t="s">
        <v>159</v>
      </c>
      <c r="D81" s="686" t="s">
        <v>10</v>
      </c>
      <c r="E81" s="687" t="s">
        <v>243</v>
      </c>
      <c r="F81" s="688" t="s">
        <v>244</v>
      </c>
      <c r="G81" s="688" t="s">
        <v>245</v>
      </c>
      <c r="H81" s="689" t="s">
        <v>246</v>
      </c>
      <c r="I81" s="525" t="s">
        <v>532</v>
      </c>
      <c r="J81" s="690" t="s">
        <v>13</v>
      </c>
      <c r="K81" s="923" t="s">
        <v>891</v>
      </c>
      <c r="L81" s="923" t="s">
        <v>892</v>
      </c>
      <c r="M81" s="691" t="s">
        <v>162</v>
      </c>
      <c r="N81" s="14"/>
      <c r="AC81" s="14"/>
    </row>
    <row r="82" spans="1:30">
      <c r="A82" s="139">
        <v>1</v>
      </c>
      <c r="B82" s="639" t="s">
        <v>134</v>
      </c>
      <c r="C82" s="260">
        <v>5</v>
      </c>
      <c r="D82" s="645" t="s">
        <v>893</v>
      </c>
      <c r="E82" s="642"/>
      <c r="F82" s="270">
        <v>31</v>
      </c>
      <c r="G82" s="260">
        <v>14000</v>
      </c>
      <c r="H82" s="270">
        <v>14000</v>
      </c>
      <c r="I82" s="989">
        <v>14000</v>
      </c>
      <c r="J82" s="237"/>
      <c r="K82" s="933"/>
      <c r="L82" s="933"/>
      <c r="M82" s="933"/>
      <c r="N82" s="14"/>
      <c r="AC82" s="14"/>
    </row>
    <row r="83" spans="1:30">
      <c r="A83" s="139">
        <v>2</v>
      </c>
      <c r="B83" s="644" t="s">
        <v>1015</v>
      </c>
      <c r="C83" s="260">
        <v>5</v>
      </c>
      <c r="D83" s="645" t="s">
        <v>1016</v>
      </c>
      <c r="E83" s="642"/>
      <c r="F83" s="237"/>
      <c r="G83" s="150"/>
      <c r="H83" s="270">
        <v>16000</v>
      </c>
      <c r="I83" s="237"/>
      <c r="J83" s="237"/>
      <c r="K83" s="934"/>
      <c r="L83" s="934"/>
      <c r="M83" s="934" t="s">
        <v>118</v>
      </c>
      <c r="N83" s="14"/>
      <c r="AC83" s="14"/>
    </row>
    <row r="84" spans="1:30">
      <c r="A84" s="134">
        <v>3</v>
      </c>
      <c r="B84" s="1008" t="s">
        <v>1017</v>
      </c>
      <c r="C84" s="973">
        <v>5</v>
      </c>
      <c r="D84" s="975" t="s">
        <v>950</v>
      </c>
      <c r="E84" s="652"/>
      <c r="F84" s="653"/>
      <c r="G84" s="653"/>
      <c r="H84" s="759">
        <v>18000</v>
      </c>
      <c r="I84" s="1009">
        <v>18000</v>
      </c>
      <c r="J84" s="653"/>
      <c r="K84" s="978"/>
      <c r="L84" s="978"/>
      <c r="M84" s="978" t="s">
        <v>118</v>
      </c>
      <c r="N84" s="14"/>
      <c r="AC84" s="14"/>
    </row>
    <row r="85" spans="1:30">
      <c r="A85" s="139">
        <v>4</v>
      </c>
      <c r="B85" s="644" t="s">
        <v>1020</v>
      </c>
      <c r="C85" s="260">
        <v>5</v>
      </c>
      <c r="D85" s="260" t="s">
        <v>1021</v>
      </c>
      <c r="E85" s="642"/>
      <c r="F85" s="237"/>
      <c r="G85" s="270"/>
      <c r="H85" s="270">
        <v>18000</v>
      </c>
      <c r="I85" s="989">
        <v>18000</v>
      </c>
      <c r="J85" s="270" t="s">
        <v>275</v>
      </c>
      <c r="K85" s="934"/>
      <c r="L85" s="934"/>
      <c r="M85" s="934"/>
      <c r="N85" s="14"/>
      <c r="AC85" s="265"/>
      <c r="AD85" s="681"/>
    </row>
    <row r="86" spans="1:30">
      <c r="A86" s="139">
        <v>5</v>
      </c>
      <c r="B86" s="896" t="s">
        <v>943</v>
      </c>
      <c r="C86" s="260">
        <v>5</v>
      </c>
      <c r="D86" s="645" t="s">
        <v>1022</v>
      </c>
      <c r="E86" s="587"/>
      <c r="F86" s="270"/>
      <c r="G86" s="270"/>
      <c r="H86" s="237"/>
      <c r="I86" s="150"/>
      <c r="J86" s="150"/>
      <c r="K86" s="934"/>
      <c r="L86" s="934"/>
      <c r="M86" s="934" t="s">
        <v>118</v>
      </c>
      <c r="N86" s="14"/>
      <c r="AC86" s="14"/>
    </row>
    <row r="87" spans="1:30">
      <c r="A87" s="139">
        <v>6</v>
      </c>
      <c r="B87" s="639" t="s">
        <v>946</v>
      </c>
      <c r="C87" s="309">
        <v>6</v>
      </c>
      <c r="D87" s="982" t="s">
        <v>949</v>
      </c>
      <c r="E87" s="587"/>
      <c r="F87" s="658"/>
      <c r="G87" s="659">
        <v>32000</v>
      </c>
      <c r="H87" s="660">
        <v>16000</v>
      </c>
      <c r="I87" s="309"/>
      <c r="J87" s="642"/>
      <c r="K87" s="309"/>
      <c r="L87" s="309"/>
      <c r="M87" s="309" t="s">
        <v>951</v>
      </c>
      <c r="N87" s="33" t="s">
        <v>903</v>
      </c>
      <c r="AC87" s="33" t="s">
        <v>779</v>
      </c>
      <c r="AD87" s="499"/>
    </row>
    <row r="88" spans="1:30">
      <c r="A88" s="139">
        <v>7</v>
      </c>
      <c r="B88" s="775" t="s">
        <v>1027</v>
      </c>
      <c r="C88" s="309">
        <v>5</v>
      </c>
      <c r="D88" s="982" t="s">
        <v>893</v>
      </c>
      <c r="E88" s="587"/>
      <c r="F88" s="658">
        <v>31</v>
      </c>
      <c r="G88" s="659">
        <v>22000</v>
      </c>
      <c r="H88" s="660">
        <v>22000</v>
      </c>
      <c r="I88" s="642"/>
      <c r="J88" s="642"/>
      <c r="K88" s="309"/>
      <c r="L88" s="309"/>
      <c r="M88" s="309" t="s">
        <v>899</v>
      </c>
      <c r="N88" s="14"/>
      <c r="AC88" s="33"/>
      <c r="AD88" s="499"/>
    </row>
    <row r="89" spans="1:30">
      <c r="A89" s="139">
        <v>8</v>
      </c>
      <c r="B89" s="639" t="s">
        <v>29</v>
      </c>
      <c r="C89" s="309">
        <v>5</v>
      </c>
      <c r="D89" s="982" t="s">
        <v>1030</v>
      </c>
      <c r="E89" s="587"/>
      <c r="F89" s="658"/>
      <c r="G89" s="659">
        <v>14000</v>
      </c>
      <c r="H89" s="660">
        <v>13548</v>
      </c>
      <c r="I89" s="937">
        <v>13548</v>
      </c>
      <c r="J89" s="642"/>
      <c r="K89" s="309"/>
      <c r="L89" s="309"/>
      <c r="M89" s="309"/>
      <c r="N89" s="14"/>
      <c r="AC89" s="33" t="s">
        <v>805</v>
      </c>
      <c r="AD89" s="33"/>
    </row>
    <row r="90" spans="1:30">
      <c r="A90" s="139">
        <v>9</v>
      </c>
      <c r="B90" s="639" t="s">
        <v>1005</v>
      </c>
      <c r="C90" s="309">
        <v>5</v>
      </c>
      <c r="D90" s="982" t="s">
        <v>1033</v>
      </c>
      <c r="E90" s="587"/>
      <c r="F90" s="658"/>
      <c r="G90" s="659"/>
      <c r="H90" s="660">
        <v>14500</v>
      </c>
      <c r="I90" s="642"/>
      <c r="J90" s="642"/>
      <c r="K90" s="309"/>
      <c r="L90" s="309"/>
      <c r="M90" s="309" t="s">
        <v>1007</v>
      </c>
      <c r="N90" s="14"/>
      <c r="AC90" s="33"/>
      <c r="AD90" s="499"/>
    </row>
    <row r="91" spans="1:30">
      <c r="A91" s="134">
        <v>10</v>
      </c>
      <c r="B91" s="896" t="s">
        <v>959</v>
      </c>
      <c r="C91" s="309"/>
      <c r="D91" s="657"/>
      <c r="E91" s="587"/>
      <c r="F91" s="658"/>
      <c r="G91" s="659"/>
      <c r="H91" s="660"/>
      <c r="I91" s="937">
        <v>22000</v>
      </c>
      <c r="J91" s="642"/>
      <c r="K91" s="309"/>
      <c r="L91" s="937">
        <v>6000</v>
      </c>
      <c r="M91" s="309"/>
      <c r="N91" s="14"/>
      <c r="AC91" s="14"/>
      <c r="AD91" s="499"/>
    </row>
    <row r="92" spans="1:30">
      <c r="A92" s="134">
        <v>11</v>
      </c>
      <c r="B92" s="639" t="s">
        <v>1038</v>
      </c>
      <c r="C92" s="309">
        <v>5</v>
      </c>
      <c r="D92" s="982" t="s">
        <v>1039</v>
      </c>
      <c r="E92" s="587"/>
      <c r="F92" s="658"/>
      <c r="G92" s="659">
        <v>40200</v>
      </c>
      <c r="H92" s="660">
        <v>15000</v>
      </c>
      <c r="I92" s="937">
        <v>40200</v>
      </c>
      <c r="J92" s="642"/>
      <c r="K92" s="309"/>
      <c r="L92" s="937">
        <v>9000</v>
      </c>
      <c r="M92" s="309" t="s">
        <v>1040</v>
      </c>
      <c r="N92" s="33" t="s">
        <v>1041</v>
      </c>
      <c r="AC92" s="33"/>
      <c r="AD92" s="499"/>
    </row>
    <row r="93" spans="1:30">
      <c r="A93" s="134">
        <v>12</v>
      </c>
      <c r="B93" s="775" t="s">
        <v>1043</v>
      </c>
      <c r="C93" s="309">
        <v>5</v>
      </c>
      <c r="D93" s="982" t="s">
        <v>1044</v>
      </c>
      <c r="E93" s="587"/>
      <c r="F93" s="658"/>
      <c r="G93" s="659"/>
      <c r="H93" s="660">
        <v>18000</v>
      </c>
      <c r="I93" s="937">
        <v>18000</v>
      </c>
      <c r="J93" s="642"/>
      <c r="K93" s="309"/>
      <c r="L93" s="937">
        <v>5500</v>
      </c>
      <c r="M93" s="309"/>
      <c r="N93" s="33" t="s">
        <v>675</v>
      </c>
      <c r="AC93" s="33" t="s">
        <v>823</v>
      </c>
      <c r="AD93" s="499"/>
    </row>
    <row r="94" spans="1:30">
      <c r="A94" s="260"/>
      <c r="B94" s="896" t="s">
        <v>965</v>
      </c>
      <c r="C94" s="309"/>
      <c r="D94" s="657"/>
      <c r="E94" s="587"/>
      <c r="F94" s="658"/>
      <c r="G94" s="659"/>
      <c r="H94" s="660"/>
      <c r="I94" s="937">
        <v>20000</v>
      </c>
      <c r="J94" s="642"/>
      <c r="K94" s="309"/>
      <c r="L94" s="937">
        <v>4000</v>
      </c>
      <c r="M94" s="309"/>
      <c r="N94" s="265"/>
      <c r="O94" s="681"/>
      <c r="AC94" s="33" t="s">
        <v>581</v>
      </c>
      <c r="AD94" s="499"/>
    </row>
    <row r="95" spans="1:30">
      <c r="A95" s="144"/>
      <c r="B95" s="323" t="s">
        <v>1045</v>
      </c>
      <c r="C95" s="161"/>
      <c r="D95" s="109"/>
      <c r="E95" s="606"/>
      <c r="F95" s="233"/>
      <c r="G95" s="609"/>
      <c r="H95" s="609"/>
      <c r="I95" s="233"/>
      <c r="J95" s="233"/>
      <c r="K95" s="606"/>
      <c r="L95" s="937">
        <v>190000</v>
      </c>
      <c r="M95" s="606"/>
      <c r="N95" s="341" t="s">
        <v>1046</v>
      </c>
      <c r="O95" s="681"/>
      <c r="AC95" s="33"/>
      <c r="AD95" s="499"/>
    </row>
    <row r="96" spans="1:30">
      <c r="A96" s="144"/>
      <c r="B96" s="323" t="s">
        <v>1048</v>
      </c>
      <c r="C96" s="161"/>
      <c r="D96" s="109"/>
      <c r="E96" s="606"/>
      <c r="F96" s="233"/>
      <c r="G96" s="609"/>
      <c r="H96" s="609"/>
      <c r="I96" s="233"/>
      <c r="J96" s="233"/>
      <c r="K96" s="606"/>
      <c r="L96" s="937">
        <v>1500</v>
      </c>
      <c r="M96" s="606"/>
      <c r="N96" s="265"/>
      <c r="O96" s="681"/>
      <c r="AC96" s="33"/>
      <c r="AD96" s="499"/>
    </row>
    <row r="97" spans="1:30">
      <c r="A97" s="144"/>
      <c r="B97" s="323" t="s">
        <v>177</v>
      </c>
      <c r="C97" s="161">
        <f>SUM(C70:C94)</f>
        <v>171</v>
      </c>
      <c r="D97" s="109"/>
      <c r="E97" s="552">
        <f>SUM(E70:E94)</f>
        <v>1590</v>
      </c>
      <c r="F97" s="233"/>
      <c r="G97" s="609">
        <f>SUM(G81:G94)</f>
        <v>122200</v>
      </c>
      <c r="H97" s="1019">
        <f t="shared" ref="H97:I97" si="7">SUM(H82:H96)</f>
        <v>165048</v>
      </c>
      <c r="I97" s="1019">
        <f t="shared" si="7"/>
        <v>163748</v>
      </c>
      <c r="J97" s="233">
        <f t="shared" ref="J97:L97" si="8">SUM(J81:J96)</f>
        <v>0</v>
      </c>
      <c r="K97" s="988">
        <f t="shared" si="8"/>
        <v>0</v>
      </c>
      <c r="L97" s="988">
        <f t="shared" si="8"/>
        <v>216000</v>
      </c>
      <c r="M97" s="988"/>
      <c r="N97" s="265"/>
      <c r="O97" s="681"/>
      <c r="AC97" s="33"/>
      <c r="AD97" s="499"/>
    </row>
    <row r="98" spans="1:30">
      <c r="A98" s="33"/>
      <c r="B98" s="1024"/>
      <c r="C98" s="151"/>
      <c r="D98" s="1025"/>
      <c r="E98" s="1026"/>
      <c r="F98" s="1027"/>
      <c r="G98" s="1028"/>
      <c r="H98" s="1029"/>
      <c r="I98" s="151"/>
      <c r="J98" s="743"/>
      <c r="K98" s="1024"/>
      <c r="L98" s="1024"/>
      <c r="M98" s="151"/>
      <c r="N98" s="265"/>
      <c r="O98" s="681"/>
      <c r="AC98" s="33"/>
      <c r="AD98" s="499"/>
    </row>
    <row r="99" spans="1:30">
      <c r="A99" s="33"/>
      <c r="B99" s="1024"/>
      <c r="C99" s="151"/>
      <c r="D99" s="1025"/>
      <c r="E99" s="1026"/>
      <c r="F99" s="1027"/>
      <c r="G99" s="1028"/>
      <c r="H99" s="1029"/>
      <c r="I99" s="151"/>
      <c r="J99" s="743"/>
      <c r="K99" s="1024"/>
      <c r="L99" s="1024"/>
      <c r="M99" s="151"/>
      <c r="N99" s="265"/>
      <c r="O99" s="681"/>
      <c r="AC99" s="33"/>
      <c r="AD99" s="499"/>
    </row>
    <row r="100" spans="1:30">
      <c r="A100" s="269"/>
      <c r="B100" s="941" t="s">
        <v>964</v>
      </c>
      <c r="C100" s="217"/>
      <c r="D100" s="129" t="s">
        <v>10</v>
      </c>
      <c r="E100" s="288" t="s">
        <v>243</v>
      </c>
      <c r="F100" s="289" t="s">
        <v>244</v>
      </c>
      <c r="G100" s="290" t="s">
        <v>245</v>
      </c>
      <c r="H100" s="291" t="s">
        <v>246</v>
      </c>
      <c r="I100" s="716" t="s">
        <v>532</v>
      </c>
      <c r="J100" s="22" t="s">
        <v>13</v>
      </c>
      <c r="K100" s="923" t="s">
        <v>891</v>
      </c>
      <c r="L100" s="923" t="s">
        <v>892</v>
      </c>
      <c r="M100" s="741" t="s">
        <v>162</v>
      </c>
      <c r="N100" s="265"/>
      <c r="O100" s="681"/>
      <c r="AC100" s="33"/>
      <c r="AD100" s="499"/>
    </row>
    <row r="101" spans="1:30">
      <c r="A101" s="2">
        <v>1</v>
      </c>
      <c r="B101" s="481" t="s">
        <v>1057</v>
      </c>
      <c r="C101" s="59"/>
      <c r="D101" s="45" t="s">
        <v>1058</v>
      </c>
      <c r="E101" s="693">
        <v>90</v>
      </c>
      <c r="F101" s="144">
        <v>24</v>
      </c>
      <c r="G101" s="258"/>
      <c r="H101" s="258">
        <v>18750</v>
      </c>
      <c r="I101" s="994">
        <v>18750</v>
      </c>
      <c r="J101" s="6"/>
      <c r="K101" s="537"/>
      <c r="L101" s="537"/>
      <c r="M101" s="230" t="s">
        <v>675</v>
      </c>
      <c r="N101" s="265"/>
      <c r="O101" s="681"/>
      <c r="AC101" s="682"/>
      <c r="AD101" s="499"/>
    </row>
    <row r="102" spans="1:30">
      <c r="A102" s="144"/>
      <c r="B102" s="323" t="s">
        <v>177</v>
      </c>
      <c r="C102" s="161"/>
      <c r="D102" s="109"/>
      <c r="E102" s="606"/>
      <c r="F102" s="233"/>
      <c r="G102" s="609"/>
      <c r="H102" s="1019">
        <f t="shared" ref="H102:L102" si="9">H101</f>
        <v>18750</v>
      </c>
      <c r="I102" s="1019">
        <f t="shared" si="9"/>
        <v>18750</v>
      </c>
      <c r="J102" s="1019">
        <f t="shared" si="9"/>
        <v>0</v>
      </c>
      <c r="K102" s="1019">
        <f t="shared" si="9"/>
        <v>0</v>
      </c>
      <c r="L102" s="1019">
        <f t="shared" si="9"/>
        <v>0</v>
      </c>
      <c r="M102" s="988"/>
      <c r="N102" s="265"/>
      <c r="O102" s="681"/>
      <c r="AC102" s="810"/>
      <c r="AD102" s="499"/>
    </row>
    <row r="103" spans="1:30">
      <c r="A103" s="705"/>
      <c r="B103" s="706"/>
      <c r="C103" s="707"/>
      <c r="D103" s="708"/>
      <c r="E103" s="709"/>
      <c r="F103" s="710"/>
      <c r="G103" s="711"/>
      <c r="H103" s="712"/>
      <c r="I103" s="707"/>
      <c r="J103" s="713"/>
      <c r="K103" s="734"/>
      <c r="L103" s="734"/>
      <c r="M103" s="714"/>
      <c r="N103" s="265"/>
      <c r="O103" s="681"/>
      <c r="AC103" s="696"/>
      <c r="AD103" s="499"/>
    </row>
    <row r="104" spans="1:30">
      <c r="A104" s="219" t="s">
        <v>5</v>
      </c>
      <c r="B104" s="177" t="s">
        <v>106</v>
      </c>
      <c r="C104" s="217"/>
      <c r="D104" s="129" t="s">
        <v>10</v>
      </c>
      <c r="E104" s="288" t="s">
        <v>243</v>
      </c>
      <c r="F104" s="289" t="s">
        <v>244</v>
      </c>
      <c r="G104" s="290" t="s">
        <v>245</v>
      </c>
      <c r="H104" s="291" t="s">
        <v>246</v>
      </c>
      <c r="I104" s="716" t="s">
        <v>532</v>
      </c>
      <c r="J104" s="22" t="s">
        <v>13</v>
      </c>
      <c r="K104" s="923" t="s">
        <v>891</v>
      </c>
      <c r="L104" s="923" t="s">
        <v>892</v>
      </c>
      <c r="M104" s="717" t="s">
        <v>162</v>
      </c>
      <c r="N104" s="14"/>
      <c r="AC104" s="265"/>
      <c r="AD104" s="681"/>
    </row>
    <row r="105" spans="1:30">
      <c r="A105" s="100">
        <v>1</v>
      </c>
      <c r="B105" s="775" t="s">
        <v>1057</v>
      </c>
      <c r="C105" s="144"/>
      <c r="D105" s="203" t="s">
        <v>1058</v>
      </c>
      <c r="E105" s="693">
        <v>90</v>
      </c>
      <c r="F105" s="144">
        <v>24</v>
      </c>
      <c r="G105" s="258"/>
      <c r="H105" s="722">
        <v>30000</v>
      </c>
      <c r="I105" s="932">
        <v>30000</v>
      </c>
      <c r="J105" s="723"/>
      <c r="K105" s="1030"/>
      <c r="L105" s="1030"/>
      <c r="M105" s="230"/>
      <c r="N105" s="340" t="s">
        <v>492</v>
      </c>
      <c r="AC105" s="14"/>
    </row>
    <row r="106" spans="1:30">
      <c r="A106" s="14"/>
      <c r="B106" s="183"/>
      <c r="C106" s="14"/>
      <c r="D106" s="185"/>
      <c r="E106" s="557"/>
      <c r="F106" s="209"/>
      <c r="G106" s="323" t="s">
        <v>177</v>
      </c>
      <c r="H106" s="238">
        <f>H105</f>
        <v>30000</v>
      </c>
      <c r="I106" s="720">
        <f t="shared" ref="I106:L106" si="10">SUM(I105)</f>
        <v>30000</v>
      </c>
      <c r="J106" s="720">
        <f t="shared" si="10"/>
        <v>0</v>
      </c>
      <c r="K106" s="720">
        <f t="shared" si="10"/>
        <v>0</v>
      </c>
      <c r="L106" s="720">
        <f t="shared" si="10"/>
        <v>0</v>
      </c>
      <c r="M106" s="606"/>
      <c r="N106" s="14"/>
      <c r="AC106" s="14"/>
    </row>
    <row r="107" spans="1:30">
      <c r="A107" s="14"/>
      <c r="B107" s="207"/>
      <c r="C107" s="14"/>
      <c r="D107" s="1025"/>
      <c r="E107" s="1026"/>
      <c r="F107" s="1027"/>
      <c r="G107" s="1031"/>
      <c r="H107" s="1032"/>
      <c r="I107" s="151"/>
      <c r="J107" s="743"/>
      <c r="K107" s="1024"/>
      <c r="L107" s="1024"/>
      <c r="M107" s="230"/>
      <c r="N107" s="33"/>
      <c r="AC107" s="14"/>
    </row>
    <row r="108" spans="1:30">
      <c r="A108" s="219" t="s">
        <v>5</v>
      </c>
      <c r="B108" s="191" t="s">
        <v>122</v>
      </c>
      <c r="C108" s="189"/>
      <c r="D108" s="129" t="s">
        <v>10</v>
      </c>
      <c r="E108" s="288" t="s">
        <v>243</v>
      </c>
      <c r="F108" s="289" t="s">
        <v>244</v>
      </c>
      <c r="G108" s="290" t="s">
        <v>245</v>
      </c>
      <c r="H108" s="291" t="s">
        <v>246</v>
      </c>
      <c r="I108" s="217" t="s">
        <v>532</v>
      </c>
      <c r="J108" s="22" t="s">
        <v>13</v>
      </c>
      <c r="K108" s="923" t="s">
        <v>891</v>
      </c>
      <c r="L108" s="923" t="s">
        <v>892</v>
      </c>
      <c r="M108" s="717" t="s">
        <v>162</v>
      </c>
      <c r="N108" s="33" t="s">
        <v>470</v>
      </c>
      <c r="AC108" s="14"/>
    </row>
    <row r="109" spans="1:30">
      <c r="A109" s="2" t="s">
        <v>114</v>
      </c>
      <c r="B109" s="481" t="s">
        <v>128</v>
      </c>
      <c r="C109" s="59"/>
      <c r="D109" s="45" t="s">
        <v>148</v>
      </c>
      <c r="E109" s="545">
        <v>31</v>
      </c>
      <c r="F109" s="47">
        <v>31</v>
      </c>
      <c r="G109" s="223">
        <v>29000</v>
      </c>
      <c r="H109" s="222">
        <v>29000</v>
      </c>
      <c r="I109" s="994">
        <v>25000</v>
      </c>
      <c r="J109" s="6"/>
      <c r="K109" s="537"/>
      <c r="L109" s="537"/>
      <c r="M109" s="230"/>
      <c r="N109" s="14"/>
      <c r="AC109" s="14"/>
    </row>
    <row r="110" spans="1:30">
      <c r="A110" s="59" t="s">
        <v>151</v>
      </c>
      <c r="B110" s="928" t="s">
        <v>1066</v>
      </c>
      <c r="C110" s="59"/>
      <c r="D110" s="45" t="s">
        <v>1067</v>
      </c>
      <c r="E110" s="545">
        <v>90</v>
      </c>
      <c r="F110" s="47">
        <v>31</v>
      </c>
      <c r="G110" s="223">
        <v>21080</v>
      </c>
      <c r="H110" s="222"/>
      <c r="I110" s="994">
        <v>26350</v>
      </c>
      <c r="J110" s="6"/>
      <c r="K110" s="1033"/>
      <c r="L110" s="1033"/>
      <c r="M110" s="726" t="s">
        <v>1068</v>
      </c>
      <c r="N110" s="14"/>
      <c r="AC110" s="14"/>
    </row>
    <row r="111" spans="1:30">
      <c r="A111" s="59" t="s">
        <v>152</v>
      </c>
      <c r="B111" s="453" t="s">
        <v>972</v>
      </c>
      <c r="C111" s="59"/>
      <c r="D111" s="45" t="s">
        <v>1069</v>
      </c>
      <c r="E111" s="545">
        <v>90</v>
      </c>
      <c r="F111" s="47">
        <v>20</v>
      </c>
      <c r="G111" s="223"/>
      <c r="H111" s="222">
        <v>25000</v>
      </c>
      <c r="I111" s="144"/>
      <c r="J111" s="6"/>
      <c r="K111" s="673"/>
      <c r="L111" s="673"/>
      <c r="M111" s="309" t="s">
        <v>693</v>
      </c>
      <c r="N111" s="33" t="s">
        <v>975</v>
      </c>
      <c r="AC111" s="14"/>
    </row>
    <row r="112" spans="1:30">
      <c r="A112" s="454" t="s">
        <v>153</v>
      </c>
      <c r="B112" s="815" t="s">
        <v>716</v>
      </c>
      <c r="C112" s="454"/>
      <c r="D112" s="477" t="s">
        <v>893</v>
      </c>
      <c r="E112" s="543">
        <v>180</v>
      </c>
      <c r="F112" s="456"/>
      <c r="G112" s="478"/>
      <c r="H112" s="478">
        <v>25000</v>
      </c>
      <c r="I112" s="463"/>
      <c r="J112" s="479"/>
      <c r="K112" s="520"/>
      <c r="L112" s="520"/>
      <c r="M112" s="503"/>
      <c r="N112" s="501" t="s">
        <v>718</v>
      </c>
      <c r="AC112" s="33" t="s">
        <v>903</v>
      </c>
    </row>
    <row r="113" spans="1:30">
      <c r="A113" s="454" t="s">
        <v>204</v>
      </c>
      <c r="B113" s="254" t="s">
        <v>1070</v>
      </c>
      <c r="C113" s="454"/>
      <c r="D113" s="477"/>
      <c r="E113" s="543"/>
      <c r="F113" s="456"/>
      <c r="G113" s="478"/>
      <c r="H113" s="478"/>
      <c r="I113" s="463"/>
      <c r="J113" s="454"/>
      <c r="K113" s="520"/>
      <c r="L113" s="520"/>
      <c r="M113" s="503"/>
      <c r="N113" s="501"/>
      <c r="AC113" s="14"/>
    </row>
    <row r="114" spans="1:30">
      <c r="A114" s="144" t="s">
        <v>132</v>
      </c>
      <c r="B114" s="903" t="s">
        <v>842</v>
      </c>
      <c r="C114" s="1212" t="s">
        <v>843</v>
      </c>
      <c r="D114" s="1210"/>
      <c r="E114" s="1210"/>
      <c r="F114" s="1211"/>
      <c r="G114" s="323"/>
      <c r="H114" s="778">
        <v>8000</v>
      </c>
      <c r="I114" s="994">
        <v>8000</v>
      </c>
      <c r="J114" s="100"/>
      <c r="K114" s="230"/>
      <c r="L114" s="606"/>
      <c r="M114" s="606"/>
      <c r="N114" s="14"/>
      <c r="AC114" s="14"/>
    </row>
    <row r="115" spans="1:30">
      <c r="A115" s="991" t="s">
        <v>114</v>
      </c>
      <c r="B115" s="919" t="s">
        <v>977</v>
      </c>
      <c r="G115" s="323"/>
      <c r="H115" s="728">
        <f t="shared" ref="H115:L115" si="11">SUM(H109:H114)</f>
        <v>87000</v>
      </c>
      <c r="I115" s="921">
        <f t="shared" si="11"/>
        <v>59350</v>
      </c>
      <c r="J115" s="921">
        <f t="shared" si="11"/>
        <v>0</v>
      </c>
      <c r="K115" s="921">
        <f t="shared" si="11"/>
        <v>0</v>
      </c>
      <c r="L115" s="921">
        <f t="shared" si="11"/>
        <v>0</v>
      </c>
      <c r="M115" s="606"/>
      <c r="N115" s="14"/>
      <c r="AC115" s="14"/>
    </row>
    <row r="116" spans="1:30">
      <c r="A116" s="341"/>
      <c r="B116" s="905"/>
      <c r="C116" s="265"/>
      <c r="D116" s="731"/>
      <c r="E116" s="732"/>
      <c r="F116" s="733"/>
      <c r="G116" s="732"/>
      <c r="H116" s="732"/>
      <c r="I116" s="734"/>
      <c r="J116" s="704"/>
      <c r="K116" s="734"/>
      <c r="L116" s="734"/>
      <c r="M116" s="309"/>
      <c r="N116" s="14"/>
      <c r="AC116" s="14"/>
    </row>
    <row r="117" spans="1:30">
      <c r="A117" s="265"/>
      <c r="B117" s="730"/>
      <c r="C117" s="265"/>
      <c r="D117" s="731"/>
      <c r="E117" s="732"/>
      <c r="F117" s="733"/>
      <c r="G117" s="732"/>
      <c r="H117" s="732"/>
      <c r="I117" s="734"/>
      <c r="J117" s="704"/>
      <c r="K117" s="734"/>
      <c r="L117" s="734"/>
      <c r="M117" s="309"/>
      <c r="N117" s="14"/>
      <c r="AC117" s="14"/>
    </row>
    <row r="118" spans="1:30">
      <c r="A118" s="219" t="s">
        <v>5</v>
      </c>
      <c r="B118" s="342" t="s">
        <v>316</v>
      </c>
      <c r="C118" s="217"/>
      <c r="D118" s="129" t="s">
        <v>10</v>
      </c>
      <c r="E118" s="288" t="s">
        <v>243</v>
      </c>
      <c r="F118" s="289" t="s">
        <v>244</v>
      </c>
      <c r="G118" s="290" t="s">
        <v>245</v>
      </c>
      <c r="H118" s="291" t="s">
        <v>246</v>
      </c>
      <c r="I118" s="217" t="s">
        <v>532</v>
      </c>
      <c r="J118" s="22" t="s">
        <v>13</v>
      </c>
      <c r="K118" s="923" t="s">
        <v>891</v>
      </c>
      <c r="L118" s="923" t="s">
        <v>892</v>
      </c>
      <c r="M118" s="717" t="s">
        <v>162</v>
      </c>
      <c r="N118" s="287"/>
      <c r="AC118" s="14"/>
    </row>
    <row r="119" spans="1:30">
      <c r="A119" s="132" t="s">
        <v>458</v>
      </c>
      <c r="B119" s="775" t="s">
        <v>317</v>
      </c>
      <c r="C119" s="144">
        <v>5</v>
      </c>
      <c r="D119" s="144" t="s">
        <v>1080</v>
      </c>
      <c r="E119" s="693">
        <v>90</v>
      </c>
      <c r="F119" s="103">
        <v>31</v>
      </c>
      <c r="G119" s="353"/>
      <c r="H119" s="353">
        <v>21250</v>
      </c>
      <c r="I119" s="994">
        <v>21250</v>
      </c>
      <c r="J119" s="100"/>
      <c r="K119" s="503"/>
      <c r="L119" s="937">
        <v>4500</v>
      </c>
      <c r="M119" s="503"/>
      <c r="N119" s="287"/>
      <c r="AC119" s="265"/>
      <c r="AD119" s="681"/>
    </row>
    <row r="120" spans="1:30">
      <c r="A120" s="132" t="s">
        <v>459</v>
      </c>
      <c r="B120" s="775"/>
      <c r="C120" s="100"/>
      <c r="D120" s="203"/>
      <c r="E120" s="587"/>
      <c r="F120" s="237"/>
      <c r="G120" s="449"/>
      <c r="H120" s="353"/>
      <c r="I120" s="144"/>
      <c r="J120" s="144"/>
      <c r="K120" s="309"/>
      <c r="L120" s="309"/>
      <c r="M120" s="309"/>
      <c r="N120" s="325"/>
      <c r="AC120" s="265"/>
      <c r="AD120" s="681"/>
    </row>
    <row r="121" spans="1:30">
      <c r="A121" s="132" t="s">
        <v>460</v>
      </c>
      <c r="B121" s="816"/>
      <c r="C121" s="100"/>
      <c r="D121" s="203"/>
      <c r="E121" s="587"/>
      <c r="F121" s="237"/>
      <c r="G121" s="355"/>
      <c r="H121" s="473"/>
      <c r="I121" s="144"/>
      <c r="J121" s="144"/>
      <c r="K121" s="309"/>
      <c r="L121" s="309"/>
      <c r="M121" s="309"/>
      <c r="N121" s="325"/>
      <c r="AC121" s="265"/>
      <c r="AD121" s="681"/>
    </row>
    <row r="122" spans="1:30">
      <c r="A122" s="132"/>
      <c r="B122" s="181"/>
      <c r="C122" s="100"/>
      <c r="D122" s="109"/>
      <c r="E122" s="587"/>
      <c r="F122" s="237"/>
      <c r="G122" s="323" t="s">
        <v>177</v>
      </c>
      <c r="H122" s="238">
        <f t="shared" ref="H122:L122" si="12">SUM(H119:H121)</f>
        <v>21250</v>
      </c>
      <c r="I122" s="736">
        <f t="shared" si="12"/>
        <v>21250</v>
      </c>
      <c r="J122" s="736">
        <f t="shared" si="12"/>
        <v>0</v>
      </c>
      <c r="K122" s="736">
        <f t="shared" si="12"/>
        <v>0</v>
      </c>
      <c r="L122" s="736">
        <f t="shared" si="12"/>
        <v>4500</v>
      </c>
      <c r="M122" s="309"/>
      <c r="N122" s="287"/>
      <c r="AC122" s="265"/>
      <c r="AD122" s="681"/>
    </row>
    <row r="123" spans="1:30">
      <c r="A123" s="265"/>
      <c r="B123" s="730"/>
      <c r="C123" s="265"/>
      <c r="D123" s="731"/>
      <c r="E123" s="732"/>
      <c r="F123" s="733"/>
      <c r="G123" s="737"/>
      <c r="H123" s="703"/>
      <c r="I123" s="734"/>
      <c r="J123" s="704"/>
      <c r="K123" s="734"/>
      <c r="L123" s="734"/>
      <c r="M123" s="734"/>
      <c r="N123" s="14"/>
      <c r="AC123" s="265"/>
      <c r="AD123" s="681"/>
    </row>
    <row r="124" spans="1:30">
      <c r="A124" s="265"/>
      <c r="B124" s="730"/>
      <c r="C124" s="265"/>
      <c r="D124" s="731"/>
      <c r="E124" s="732"/>
      <c r="F124" s="733"/>
      <c r="G124" s="737"/>
      <c r="H124" s="703"/>
      <c r="I124" s="734"/>
      <c r="J124" s="704"/>
      <c r="K124" s="734"/>
      <c r="L124" s="734"/>
      <c r="M124" s="734"/>
      <c r="N124" s="14"/>
      <c r="AC124" s="14"/>
    </row>
    <row r="125" spans="1:30">
      <c r="A125" s="219" t="s">
        <v>5</v>
      </c>
      <c r="B125" s="196" t="s">
        <v>111</v>
      </c>
      <c r="C125" s="189"/>
      <c r="D125" s="514" t="s">
        <v>10</v>
      </c>
      <c r="E125" s="515" t="s">
        <v>243</v>
      </c>
      <c r="F125" s="516" t="s">
        <v>244</v>
      </c>
      <c r="G125" s="738" t="s">
        <v>245</v>
      </c>
      <c r="H125" s="739" t="s">
        <v>246</v>
      </c>
      <c r="I125" s="217" t="s">
        <v>532</v>
      </c>
      <c r="J125" s="740" t="s">
        <v>13</v>
      </c>
      <c r="K125" s="923" t="s">
        <v>891</v>
      </c>
      <c r="L125" s="923" t="s">
        <v>892</v>
      </c>
      <c r="M125" s="741" t="s">
        <v>162</v>
      </c>
      <c r="N125" s="14"/>
      <c r="AC125" s="340" t="s">
        <v>492</v>
      </c>
    </row>
    <row r="126" spans="1:30">
      <c r="A126" s="2" t="s">
        <v>114</v>
      </c>
      <c r="B126" s="742" t="s">
        <v>630</v>
      </c>
      <c r="C126" s="59"/>
      <c r="D126" s="45" t="s">
        <v>1086</v>
      </c>
      <c r="E126" s="545"/>
      <c r="F126" s="47">
        <v>25</v>
      </c>
      <c r="G126" s="223">
        <v>5900</v>
      </c>
      <c r="H126" s="223">
        <v>5900</v>
      </c>
      <c r="I126" s="932">
        <v>5900</v>
      </c>
      <c r="J126" s="6"/>
      <c r="K126" s="537"/>
      <c r="L126" s="537"/>
      <c r="M126" s="230"/>
      <c r="N126" s="33" t="s">
        <v>520</v>
      </c>
      <c r="AC126" s="14"/>
    </row>
    <row r="127" spans="1:30">
      <c r="A127" s="6" t="s">
        <v>119</v>
      </c>
      <c r="B127" s="742" t="s">
        <v>847</v>
      </c>
      <c r="C127" s="59"/>
      <c r="D127" s="477" t="s">
        <v>1087</v>
      </c>
      <c r="E127" s="545"/>
      <c r="F127" s="47">
        <v>22</v>
      </c>
      <c r="G127" s="223">
        <v>4258</v>
      </c>
      <c r="H127" s="223">
        <v>5400</v>
      </c>
      <c r="I127" s="1054">
        <v>5400</v>
      </c>
      <c r="J127" s="6"/>
      <c r="K127" s="537"/>
      <c r="L127" s="537"/>
      <c r="M127" s="230"/>
      <c r="N127" s="501"/>
      <c r="AC127" s="14"/>
    </row>
    <row r="128" spans="1:30">
      <c r="A128" s="192"/>
      <c r="B128" s="899"/>
      <c r="C128" s="144"/>
      <c r="D128" s="118"/>
      <c r="E128" s="719"/>
      <c r="F128" s="255"/>
      <c r="G128" s="236" t="s">
        <v>177</v>
      </c>
      <c r="H128" s="522">
        <f t="shared" ref="H128:L128" si="13">SUM(H126:H127)</f>
        <v>11300</v>
      </c>
      <c r="I128" s="1055">
        <f t="shared" si="13"/>
        <v>11300</v>
      </c>
      <c r="J128" s="1055">
        <f t="shared" si="13"/>
        <v>0</v>
      </c>
      <c r="K128" s="1055">
        <f t="shared" si="13"/>
        <v>0</v>
      </c>
      <c r="L128" s="1055">
        <f t="shared" si="13"/>
        <v>0</v>
      </c>
      <c r="M128" s="642"/>
      <c r="N128" s="33"/>
      <c r="AC128" s="340" t="s">
        <v>492</v>
      </c>
    </row>
    <row r="129" spans="1:29">
      <c r="A129" s="324"/>
      <c r="B129" s="887"/>
      <c r="C129" s="14"/>
      <c r="D129" s="185"/>
      <c r="E129" s="557"/>
      <c r="F129" s="209"/>
      <c r="G129" s="209"/>
      <c r="H129" s="14"/>
      <c r="I129" s="14"/>
      <c r="J129" s="14"/>
      <c r="K129" s="743"/>
      <c r="L129" s="743"/>
      <c r="M129" s="743"/>
      <c r="N129" s="14"/>
      <c r="AC129" s="14"/>
    </row>
    <row r="130" spans="1:29">
      <c r="A130" s="889"/>
      <c r="C130" s="499"/>
      <c r="E130" s="287"/>
      <c r="I130" s="499"/>
      <c r="K130" s="287"/>
      <c r="L130" s="287"/>
      <c r="M130" s="287"/>
      <c r="N130" s="287"/>
      <c r="AC130" s="33" t="s">
        <v>470</v>
      </c>
    </row>
    <row r="131" spans="1:29">
      <c r="A131" s="357" t="s">
        <v>5</v>
      </c>
      <c r="B131" s="358" t="s">
        <v>319</v>
      </c>
      <c r="C131" s="510"/>
      <c r="D131" s="360" t="s">
        <v>10</v>
      </c>
      <c r="E131" s="361" t="s">
        <v>243</v>
      </c>
      <c r="F131" s="362" t="s">
        <v>244</v>
      </c>
      <c r="G131" s="362" t="s">
        <v>245</v>
      </c>
      <c r="H131" s="363" t="s">
        <v>246</v>
      </c>
      <c r="I131" s="744" t="s">
        <v>532</v>
      </c>
      <c r="J131" s="363" t="s">
        <v>13</v>
      </c>
      <c r="K131" s="923" t="s">
        <v>891</v>
      </c>
      <c r="L131" s="923" t="s">
        <v>892</v>
      </c>
      <c r="M131" s="745" t="s">
        <v>162</v>
      </c>
      <c r="N131" s="287"/>
      <c r="AC131" s="14"/>
    </row>
    <row r="132" spans="1:29">
      <c r="A132" s="365" t="s">
        <v>676</v>
      </c>
      <c r="B132" s="1057" t="s">
        <v>773</v>
      </c>
      <c r="C132" s="511"/>
      <c r="D132" s="909" t="s">
        <v>932</v>
      </c>
      <c r="E132" s="746">
        <v>180</v>
      </c>
      <c r="F132" s="747"/>
      <c r="G132" s="547"/>
      <c r="H132" s="547">
        <v>25500</v>
      </c>
      <c r="I132" s="1059">
        <v>25500</v>
      </c>
      <c r="J132" s="7"/>
      <c r="K132" s="537"/>
      <c r="L132" s="537"/>
      <c r="M132" s="230" t="s">
        <v>765</v>
      </c>
      <c r="N132" s="325" t="s">
        <v>776</v>
      </c>
      <c r="AC132" s="14"/>
    </row>
    <row r="133" spans="1:29">
      <c r="A133" s="370"/>
      <c r="B133" s="371"/>
      <c r="C133" s="511"/>
      <c r="D133" s="371"/>
      <c r="E133" s="749"/>
      <c r="F133" s="368"/>
      <c r="G133" s="549"/>
      <c r="H133" s="547"/>
      <c r="I133" s="750"/>
      <c r="J133" s="7"/>
      <c r="K133" s="1062"/>
      <c r="L133" s="1062"/>
      <c r="M133" s="752"/>
      <c r="N133" s="287"/>
      <c r="AC133" s="33" t="s">
        <v>975</v>
      </c>
    </row>
    <row r="134" spans="1:29">
      <c r="A134" s="365" t="s">
        <v>677</v>
      </c>
      <c r="B134" s="997" t="s">
        <v>660</v>
      </c>
      <c r="C134" s="755"/>
      <c r="D134" s="756" t="s">
        <v>1098</v>
      </c>
      <c r="E134" s="758">
        <v>90</v>
      </c>
      <c r="F134" s="759"/>
      <c r="G134" s="761"/>
      <c r="H134" s="762">
        <v>23000</v>
      </c>
      <c r="I134" s="1063">
        <v>23000</v>
      </c>
      <c r="J134" s="369"/>
      <c r="K134" s="230"/>
      <c r="L134" s="230"/>
      <c r="M134" s="230"/>
      <c r="N134" s="325" t="s">
        <v>182</v>
      </c>
      <c r="AC134" s="501" t="s">
        <v>718</v>
      </c>
    </row>
    <row r="135" spans="1:29">
      <c r="A135" s="753"/>
      <c r="B135" s="998" t="s">
        <v>925</v>
      </c>
      <c r="C135" s="755"/>
      <c r="D135" s="235"/>
      <c r="E135" s="652"/>
      <c r="F135" s="653"/>
      <c r="G135" s="764" t="s">
        <v>177</v>
      </c>
      <c r="H135" s="765">
        <f t="shared" ref="H135:L135" si="14">SUM(H132:H134)</f>
        <v>48500</v>
      </c>
      <c r="I135" s="766">
        <f t="shared" si="14"/>
        <v>48500</v>
      </c>
      <c r="J135" s="766">
        <f t="shared" si="14"/>
        <v>0</v>
      </c>
      <c r="K135" s="766">
        <f t="shared" si="14"/>
        <v>0</v>
      </c>
      <c r="L135" s="766">
        <f t="shared" si="14"/>
        <v>0</v>
      </c>
      <c r="M135" s="767"/>
      <c r="AC135" s="501"/>
    </row>
    <row r="136" spans="1:29">
      <c r="C136" s="499"/>
      <c r="E136" s="287"/>
      <c r="I136" s="499"/>
      <c r="K136" s="287"/>
      <c r="L136" s="287"/>
      <c r="M136" s="287"/>
      <c r="N136" s="768"/>
      <c r="AC136" s="14"/>
    </row>
    <row r="137" spans="1:29">
      <c r="A137" s="219" t="s">
        <v>5</v>
      </c>
      <c r="B137" s="342" t="s">
        <v>861</v>
      </c>
      <c r="C137" s="187"/>
      <c r="D137" s="129" t="s">
        <v>10</v>
      </c>
      <c r="E137" s="288" t="s">
        <v>243</v>
      </c>
      <c r="F137" s="289" t="s">
        <v>244</v>
      </c>
      <c r="G137" s="290" t="s">
        <v>245</v>
      </c>
      <c r="H137" s="291" t="s">
        <v>246</v>
      </c>
      <c r="I137" s="217" t="s">
        <v>532</v>
      </c>
      <c r="J137" s="22" t="s">
        <v>13</v>
      </c>
      <c r="K137" s="923" t="s">
        <v>891</v>
      </c>
      <c r="L137" s="923" t="s">
        <v>892</v>
      </c>
      <c r="M137" s="717" t="s">
        <v>162</v>
      </c>
      <c r="AC137" s="14"/>
    </row>
    <row r="138" spans="1:29">
      <c r="A138" s="132" t="s">
        <v>114</v>
      </c>
      <c r="B138" s="481" t="s">
        <v>842</v>
      </c>
      <c r="C138" s="59"/>
      <c r="D138" s="51" t="s">
        <v>864</v>
      </c>
      <c r="E138" s="545"/>
      <c r="F138" s="47"/>
      <c r="G138" s="223">
        <v>10000</v>
      </c>
      <c r="H138" s="778">
        <v>10000</v>
      </c>
      <c r="I138" s="463"/>
      <c r="J138" s="6"/>
      <c r="K138" s="537"/>
      <c r="L138" s="537"/>
      <c r="M138" s="230" t="s">
        <v>331</v>
      </c>
      <c r="AC138" s="14"/>
    </row>
    <row r="139" spans="1:29">
      <c r="A139" s="482" t="s">
        <v>119</v>
      </c>
      <c r="B139" s="481"/>
      <c r="C139" s="454"/>
      <c r="D139" s="454"/>
      <c r="E139" s="543"/>
      <c r="F139" s="456"/>
      <c r="G139" s="478"/>
      <c r="H139" s="880"/>
      <c r="I139" s="779"/>
      <c r="J139" s="479"/>
      <c r="K139" s="520"/>
      <c r="L139" s="520"/>
      <c r="M139" s="503"/>
      <c r="AC139" s="14"/>
    </row>
    <row r="140" spans="1:29">
      <c r="A140" s="702" t="s">
        <v>114</v>
      </c>
      <c r="B140" s="928" t="s">
        <v>364</v>
      </c>
      <c r="C140" s="49"/>
      <c r="D140" s="51" t="s">
        <v>1100</v>
      </c>
      <c r="E140" s="675">
        <v>27</v>
      </c>
      <c r="F140" s="221"/>
      <c r="G140" s="308">
        <v>57000</v>
      </c>
      <c r="H140" s="260">
        <v>19000</v>
      </c>
      <c r="I140" s="994">
        <v>57000</v>
      </c>
      <c r="J140" s="251"/>
      <c r="K140" s="673"/>
      <c r="L140" s="673"/>
      <c r="M140" s="309" t="s">
        <v>693</v>
      </c>
      <c r="N140" s="926" t="s">
        <v>1101</v>
      </c>
      <c r="O140" s="681"/>
      <c r="P140" s="681"/>
      <c r="Q140" s="681"/>
      <c r="R140" s="681"/>
      <c r="S140" s="681"/>
      <c r="T140" s="681"/>
      <c r="U140" s="681"/>
      <c r="V140" s="681"/>
      <c r="W140" s="681"/>
      <c r="X140" s="681"/>
      <c r="Y140" s="681"/>
      <c r="Z140" s="681"/>
      <c r="AA140" s="681"/>
      <c r="AB140" s="681"/>
      <c r="AC140" s="287"/>
    </row>
    <row r="141" spans="1:29">
      <c r="A141" s="132"/>
      <c r="B141" s="29"/>
      <c r="C141" s="6"/>
      <c r="D141" s="8"/>
      <c r="E141" s="675"/>
      <c r="F141" s="221"/>
      <c r="G141" s="236"/>
      <c r="H141" s="779"/>
      <c r="I141" s="463"/>
      <c r="J141" s="59"/>
      <c r="K141" s="673"/>
      <c r="L141" s="673"/>
      <c r="M141" s="309"/>
      <c r="AC141" s="287"/>
    </row>
    <row r="142" spans="1:29">
      <c r="A142" s="132"/>
      <c r="B142" s="29"/>
      <c r="C142" s="6"/>
      <c r="D142" s="8"/>
      <c r="E142" s="675"/>
      <c r="F142" s="221"/>
      <c r="G142" s="236"/>
      <c r="H142" s="779"/>
      <c r="I142" s="463"/>
      <c r="J142" s="59"/>
      <c r="K142" s="673"/>
      <c r="L142" s="673"/>
      <c r="M142" s="309"/>
      <c r="AC142" s="325"/>
    </row>
    <row r="143" spans="1:29">
      <c r="A143" s="132"/>
      <c r="B143" s="29"/>
      <c r="C143" s="6"/>
      <c r="D143" s="8"/>
      <c r="E143" s="675"/>
      <c r="F143" s="221"/>
      <c r="G143" s="236" t="s">
        <v>177</v>
      </c>
      <c r="H143" s="264">
        <f t="shared" ref="H143:L143" si="15">SUM(H138:H142)</f>
        <v>29000</v>
      </c>
      <c r="I143" s="920">
        <f t="shared" si="15"/>
        <v>57000</v>
      </c>
      <c r="J143" s="920">
        <f t="shared" si="15"/>
        <v>0</v>
      </c>
      <c r="K143" s="920">
        <f t="shared" si="15"/>
        <v>0</v>
      </c>
      <c r="L143" s="920">
        <f t="shared" si="15"/>
        <v>0</v>
      </c>
      <c r="M143" s="309"/>
      <c r="AC143" s="325"/>
    </row>
    <row r="144" spans="1:29">
      <c r="C144" s="499"/>
      <c r="E144" s="287"/>
      <c r="I144" s="499"/>
      <c r="K144" s="287"/>
      <c r="L144" s="287"/>
      <c r="M144" s="287"/>
      <c r="AC144" s="287"/>
    </row>
    <row r="145" spans="1:29">
      <c r="A145" s="219" t="s">
        <v>5</v>
      </c>
      <c r="B145" s="342" t="s">
        <v>323</v>
      </c>
      <c r="C145" s="187"/>
      <c r="D145" s="129" t="s">
        <v>10</v>
      </c>
      <c r="E145" s="288" t="s">
        <v>243</v>
      </c>
      <c r="F145" s="289" t="s">
        <v>244</v>
      </c>
      <c r="G145" s="290" t="s">
        <v>245</v>
      </c>
      <c r="H145" s="291" t="s">
        <v>246</v>
      </c>
      <c r="I145" s="217" t="s">
        <v>532</v>
      </c>
      <c r="J145" s="22" t="s">
        <v>13</v>
      </c>
      <c r="K145" s="923" t="s">
        <v>891</v>
      </c>
      <c r="L145" s="923" t="s">
        <v>892</v>
      </c>
      <c r="M145" s="717" t="s">
        <v>162</v>
      </c>
      <c r="AC145" s="14"/>
    </row>
    <row r="146" spans="1:29">
      <c r="A146" s="132" t="s">
        <v>114</v>
      </c>
      <c r="B146" s="481" t="s">
        <v>681</v>
      </c>
      <c r="C146" s="59"/>
      <c r="D146" s="51" t="s">
        <v>1014</v>
      </c>
      <c r="E146" s="545">
        <v>90</v>
      </c>
      <c r="F146" s="47">
        <v>31</v>
      </c>
      <c r="G146" s="223">
        <v>57000</v>
      </c>
      <c r="H146" s="222">
        <v>19000</v>
      </c>
      <c r="I146" s="59"/>
      <c r="J146" s="6"/>
      <c r="K146" s="537"/>
      <c r="L146" s="537"/>
      <c r="M146" s="230" t="s">
        <v>693</v>
      </c>
      <c r="N146" s="1" t="s">
        <v>901</v>
      </c>
      <c r="AC146" s="14"/>
    </row>
    <row r="147" spans="1:29">
      <c r="A147" s="482" t="s">
        <v>119</v>
      </c>
      <c r="B147" s="481" t="s">
        <v>978</v>
      </c>
      <c r="C147" s="454"/>
      <c r="D147" s="454"/>
      <c r="E147" s="543"/>
      <c r="F147" s="456"/>
      <c r="G147" s="478"/>
      <c r="H147" s="478"/>
      <c r="I147" s="727"/>
      <c r="J147" s="479"/>
      <c r="K147" s="520"/>
      <c r="L147" s="520"/>
      <c r="M147" s="503"/>
      <c r="N147" s="521"/>
      <c r="AC147" s="14"/>
    </row>
    <row r="148" spans="1:29">
      <c r="A148" s="132"/>
      <c r="B148" s="29"/>
      <c r="C148" s="6"/>
      <c r="D148" s="8"/>
      <c r="E148" s="675"/>
      <c r="F148" s="221"/>
      <c r="G148" s="236" t="s">
        <v>177</v>
      </c>
      <c r="H148" s="264">
        <f t="shared" ref="H148:L148" si="16">SUM(H146:H147)</f>
        <v>19000</v>
      </c>
      <c r="I148" s="770">
        <f t="shared" si="16"/>
        <v>0</v>
      </c>
      <c r="J148" s="770">
        <f t="shared" si="16"/>
        <v>0</v>
      </c>
      <c r="K148" s="770">
        <f t="shared" si="16"/>
        <v>0</v>
      </c>
      <c r="L148" s="770">
        <f t="shared" si="16"/>
        <v>0</v>
      </c>
      <c r="M148" s="309"/>
      <c r="AC148" s="33" t="s">
        <v>520</v>
      </c>
    </row>
    <row r="149" spans="1:29">
      <c r="C149" s="499"/>
      <c r="E149" s="287"/>
      <c r="I149" s="499"/>
      <c r="K149" s="287"/>
      <c r="L149" s="287"/>
      <c r="M149" s="287"/>
      <c r="AC149" s="501"/>
    </row>
    <row r="150" spans="1:29">
      <c r="C150" s="499"/>
      <c r="E150" s="287"/>
      <c r="I150" s="499"/>
      <c r="K150" s="287"/>
      <c r="L150" s="287"/>
      <c r="M150" s="287"/>
      <c r="AC150" s="33"/>
    </row>
    <row r="151" spans="1:29">
      <c r="A151" s="219" t="s">
        <v>5</v>
      </c>
      <c r="B151" s="342" t="s">
        <v>325</v>
      </c>
      <c r="C151" s="187"/>
      <c r="D151" s="129" t="s">
        <v>10</v>
      </c>
      <c r="E151" s="288" t="s">
        <v>243</v>
      </c>
      <c r="F151" s="289" t="s">
        <v>244</v>
      </c>
      <c r="G151" s="290" t="s">
        <v>245</v>
      </c>
      <c r="H151" s="291" t="s">
        <v>246</v>
      </c>
      <c r="I151" s="217" t="s">
        <v>532</v>
      </c>
      <c r="J151" s="22" t="s">
        <v>13</v>
      </c>
      <c r="K151" s="923" t="s">
        <v>891</v>
      </c>
      <c r="L151" s="923" t="s">
        <v>892</v>
      </c>
      <c r="M151" s="717" t="s">
        <v>162</v>
      </c>
      <c r="AC151" s="14"/>
    </row>
    <row r="152" spans="1:29">
      <c r="A152" s="452" t="s">
        <v>114</v>
      </c>
      <c r="B152" s="481" t="s">
        <v>134</v>
      </c>
      <c r="C152" s="454"/>
      <c r="D152" s="477" t="s">
        <v>148</v>
      </c>
      <c r="E152" s="543">
        <v>30</v>
      </c>
      <c r="F152" s="456">
        <v>31</v>
      </c>
      <c r="G152" s="478">
        <v>17500</v>
      </c>
      <c r="H152" s="478">
        <v>17500</v>
      </c>
      <c r="I152" s="932">
        <v>17500</v>
      </c>
      <c r="J152" s="454"/>
      <c r="K152" s="520"/>
      <c r="L152" s="520"/>
      <c r="M152" s="503"/>
      <c r="N152" s="509"/>
      <c r="AC152" s="287"/>
    </row>
    <row r="153" spans="1:29">
      <c r="A153" s="2" t="s">
        <v>119</v>
      </c>
      <c r="B153" s="481" t="s">
        <v>134</v>
      </c>
      <c r="C153" s="59"/>
      <c r="D153" s="59" t="s">
        <v>148</v>
      </c>
      <c r="E153" s="545">
        <v>30</v>
      </c>
      <c r="F153" s="47">
        <v>31</v>
      </c>
      <c r="G153" s="223">
        <v>17500</v>
      </c>
      <c r="H153" s="222">
        <v>17500</v>
      </c>
      <c r="I153" s="1054">
        <v>17500</v>
      </c>
      <c r="J153" s="59"/>
      <c r="K153" s="537"/>
      <c r="L153" s="537"/>
      <c r="M153" s="230"/>
      <c r="AC153" s="287"/>
    </row>
    <row r="154" spans="1:29">
      <c r="A154" s="132"/>
      <c r="B154" s="29"/>
      <c r="C154" s="6"/>
      <c r="D154" s="8"/>
      <c r="E154" s="675"/>
      <c r="F154" s="221"/>
      <c r="G154" s="236" t="s">
        <v>177</v>
      </c>
      <c r="H154" s="264">
        <f t="shared" ref="H154:L154" si="17">SUM(H152:H153)</f>
        <v>35000</v>
      </c>
      <c r="I154" s="770">
        <f t="shared" si="17"/>
        <v>35000</v>
      </c>
      <c r="J154" s="770">
        <f t="shared" si="17"/>
        <v>0</v>
      </c>
      <c r="K154" s="770">
        <f t="shared" si="17"/>
        <v>0</v>
      </c>
      <c r="L154" s="770">
        <f t="shared" si="17"/>
        <v>0</v>
      </c>
      <c r="M154" s="309"/>
      <c r="AC154" s="325" t="s">
        <v>776</v>
      </c>
    </row>
    <row r="155" spans="1:29">
      <c r="C155" s="499"/>
      <c r="E155" s="287"/>
      <c r="I155" s="499"/>
      <c r="K155" s="287"/>
      <c r="L155" s="287"/>
      <c r="M155" s="287"/>
      <c r="AC155" s="287"/>
    </row>
    <row r="156" spans="1:29">
      <c r="C156" s="499"/>
      <c r="E156" s="287"/>
      <c r="I156" s="499"/>
      <c r="K156" s="287"/>
      <c r="L156" s="287"/>
      <c r="M156" s="287"/>
      <c r="AC156" s="325" t="s">
        <v>182</v>
      </c>
    </row>
    <row r="157" spans="1:29">
      <c r="A157" s="219" t="s">
        <v>5</v>
      </c>
      <c r="B157" s="342" t="s">
        <v>326</v>
      </c>
      <c r="C157" s="187"/>
      <c r="D157" s="129" t="s">
        <v>10</v>
      </c>
      <c r="E157" s="288" t="s">
        <v>243</v>
      </c>
      <c r="F157" s="289" t="s">
        <v>244</v>
      </c>
      <c r="G157" s="290" t="s">
        <v>245</v>
      </c>
      <c r="H157" s="291" t="s">
        <v>246</v>
      </c>
      <c r="I157" s="217" t="s">
        <v>532</v>
      </c>
      <c r="J157" s="22" t="s">
        <v>13</v>
      </c>
      <c r="K157" s="923" t="s">
        <v>891</v>
      </c>
      <c r="L157" s="923" t="s">
        <v>892</v>
      </c>
      <c r="M157" s="717" t="s">
        <v>162</v>
      </c>
    </row>
    <row r="158" spans="1:29">
      <c r="A158" s="2" t="s">
        <v>114</v>
      </c>
      <c r="B158" s="481" t="s">
        <v>407</v>
      </c>
      <c r="C158" s="59"/>
      <c r="D158" s="51" t="s">
        <v>148</v>
      </c>
      <c r="E158" s="545">
        <v>30</v>
      </c>
      <c r="F158" s="47">
        <v>31</v>
      </c>
      <c r="G158" s="223">
        <v>21250</v>
      </c>
      <c r="H158" s="223">
        <v>21250</v>
      </c>
      <c r="I158" s="932">
        <v>21250</v>
      </c>
      <c r="J158" s="6"/>
      <c r="K158" s="537"/>
      <c r="L158" s="537"/>
      <c r="M158" s="230"/>
      <c r="AC158" s="768"/>
    </row>
    <row r="159" spans="1:29">
      <c r="A159" s="132" t="s">
        <v>119</v>
      </c>
      <c r="B159" s="4" t="s">
        <v>644</v>
      </c>
      <c r="C159" s="6"/>
      <c r="D159" s="45" t="s">
        <v>751</v>
      </c>
      <c r="E159" s="675">
        <v>30</v>
      </c>
      <c r="F159" s="222">
        <v>31</v>
      </c>
      <c r="G159" s="564">
        <v>10000</v>
      </c>
      <c r="H159" s="260">
        <v>10000</v>
      </c>
      <c r="I159" s="697"/>
      <c r="J159" s="59"/>
      <c r="K159" s="673"/>
      <c r="L159" s="673"/>
      <c r="M159" s="309" t="s">
        <v>866</v>
      </c>
    </row>
    <row r="160" spans="1:29">
      <c r="A160" s="235"/>
      <c r="B160" s="235"/>
      <c r="C160" s="771"/>
      <c r="D160" s="235"/>
      <c r="E160" s="610"/>
      <c r="F160" s="235"/>
      <c r="G160" s="323" t="s">
        <v>177</v>
      </c>
      <c r="H160" s="772">
        <f t="shared" ref="H160:L160" si="18">SUM(H158:H159)</f>
        <v>31250</v>
      </c>
      <c r="I160" s="773">
        <f t="shared" si="18"/>
        <v>21250</v>
      </c>
      <c r="J160" s="773">
        <f t="shared" si="18"/>
        <v>0</v>
      </c>
      <c r="K160" s="773">
        <f t="shared" si="18"/>
        <v>0</v>
      </c>
      <c r="L160" s="773">
        <f t="shared" si="18"/>
        <v>0</v>
      </c>
      <c r="M160" s="610"/>
    </row>
    <row r="161" spans="1:43">
      <c r="C161" s="499"/>
      <c r="E161" s="287"/>
      <c r="I161" s="499"/>
      <c r="K161" s="287"/>
      <c r="L161" s="287"/>
      <c r="M161" s="287"/>
    </row>
    <row r="162" spans="1:43">
      <c r="E162" s="287"/>
      <c r="I162" s="499"/>
      <c r="K162" s="287"/>
      <c r="L162" s="287"/>
      <c r="M162" s="287"/>
      <c r="AC162" s="926" t="s">
        <v>895</v>
      </c>
      <c r="AD162" s="681"/>
      <c r="AE162" s="681"/>
      <c r="AF162" s="681"/>
      <c r="AG162" s="681"/>
      <c r="AH162" s="681"/>
      <c r="AI162" s="681"/>
      <c r="AJ162" s="681"/>
      <c r="AK162" s="681"/>
      <c r="AL162" s="681"/>
      <c r="AM162" s="681"/>
      <c r="AN162" s="681"/>
      <c r="AO162" s="681"/>
      <c r="AP162" s="681"/>
      <c r="AQ162" s="681"/>
    </row>
    <row r="163" spans="1:43">
      <c r="A163" s="219" t="s">
        <v>5</v>
      </c>
      <c r="B163" s="342" t="s">
        <v>437</v>
      </c>
      <c r="C163" s="187"/>
      <c r="D163" s="129" t="s">
        <v>10</v>
      </c>
      <c r="E163" s="288" t="s">
        <v>243</v>
      </c>
      <c r="F163" s="289" t="s">
        <v>244</v>
      </c>
      <c r="G163" s="290" t="s">
        <v>245</v>
      </c>
      <c r="H163" s="291" t="s">
        <v>246</v>
      </c>
      <c r="I163" s="217" t="s">
        <v>532</v>
      </c>
      <c r="J163" s="22" t="s">
        <v>13</v>
      </c>
      <c r="K163" s="923" t="s">
        <v>891</v>
      </c>
      <c r="L163" s="923" t="s">
        <v>892</v>
      </c>
      <c r="M163" s="717" t="s">
        <v>162</v>
      </c>
      <c r="N163" s="14"/>
    </row>
    <row r="164" spans="1:43">
      <c r="A164" s="463" t="s">
        <v>114</v>
      </c>
      <c r="B164" s="639" t="s">
        <v>871</v>
      </c>
      <c r="C164" s="260"/>
      <c r="D164" s="260" t="s">
        <v>1058</v>
      </c>
      <c r="E164" s="587">
        <v>90</v>
      </c>
      <c r="F164" s="262">
        <v>7</v>
      </c>
      <c r="G164" s="270">
        <v>15000</v>
      </c>
      <c r="H164" s="270">
        <v>15000</v>
      </c>
      <c r="I164" s="1070">
        <v>15000</v>
      </c>
      <c r="J164" s="779"/>
      <c r="K164" s="503"/>
      <c r="L164" s="937">
        <v>3500</v>
      </c>
      <c r="M164" s="503"/>
      <c r="N164" s="504"/>
    </row>
    <row r="165" spans="1:43">
      <c r="A165" s="260" t="s">
        <v>119</v>
      </c>
      <c r="B165" s="775"/>
      <c r="C165" s="260"/>
      <c r="D165" s="260"/>
      <c r="E165" s="587"/>
      <c r="F165" s="262"/>
      <c r="G165" s="270"/>
      <c r="H165" s="270"/>
      <c r="I165" s="794"/>
      <c r="J165" s="150"/>
      <c r="K165" s="309"/>
      <c r="L165" s="309"/>
      <c r="M165" s="309"/>
      <c r="N165" s="781"/>
    </row>
    <row r="166" spans="1:43">
      <c r="A166" s="260"/>
      <c r="B166" s="639"/>
      <c r="C166" s="260"/>
      <c r="D166" s="260"/>
      <c r="E166" s="587"/>
      <c r="F166" s="262"/>
      <c r="G166" s="270"/>
      <c r="H166" s="270"/>
      <c r="I166" s="794"/>
      <c r="J166" s="150"/>
      <c r="K166" s="309"/>
      <c r="L166" s="309"/>
      <c r="M166" s="309"/>
      <c r="N166" s="482"/>
    </row>
    <row r="167" spans="1:43">
      <c r="A167" s="234" t="s">
        <v>114</v>
      </c>
      <c r="B167" s="328" t="s">
        <v>978</v>
      </c>
      <c r="C167" s="6"/>
      <c r="D167" s="45"/>
      <c r="E167" s="675"/>
      <c r="F167" s="221"/>
      <c r="G167" s="236" t="s">
        <v>177</v>
      </c>
      <c r="H167" s="264">
        <f t="shared" ref="H167:L167" si="19">SUM(H164:H166)</f>
        <v>15000</v>
      </c>
      <c r="I167" s="770">
        <f t="shared" si="19"/>
        <v>15000</v>
      </c>
      <c r="J167" s="770">
        <f t="shared" si="19"/>
        <v>0</v>
      </c>
      <c r="K167" s="770">
        <f t="shared" si="19"/>
        <v>0</v>
      </c>
      <c r="L167" s="770">
        <f t="shared" si="19"/>
        <v>3500</v>
      </c>
      <c r="M167" s="309"/>
      <c r="N167" s="341"/>
    </row>
    <row r="168" spans="1:43">
      <c r="A168" s="14"/>
      <c r="C168" s="499"/>
      <c r="E168" s="287"/>
      <c r="F168" s="286"/>
      <c r="G168" s="286"/>
      <c r="I168" s="499"/>
      <c r="K168" s="287"/>
      <c r="L168" s="287"/>
      <c r="M168" s="287"/>
      <c r="AC168" s="1" t="s">
        <v>901</v>
      </c>
    </row>
    <row r="169" spans="1:43">
      <c r="A169" s="219" t="s">
        <v>5</v>
      </c>
      <c r="B169" s="342" t="s">
        <v>441</v>
      </c>
      <c r="C169" s="187"/>
      <c r="D169" s="129" t="s">
        <v>10</v>
      </c>
      <c r="E169" s="288" t="s">
        <v>243</v>
      </c>
      <c r="F169" s="289" t="s">
        <v>244</v>
      </c>
      <c r="G169" s="290" t="s">
        <v>245</v>
      </c>
      <c r="H169" s="291" t="s">
        <v>246</v>
      </c>
      <c r="I169" s="217" t="s">
        <v>532</v>
      </c>
      <c r="J169" s="22" t="s">
        <v>13</v>
      </c>
      <c r="K169" s="923" t="s">
        <v>891</v>
      </c>
      <c r="L169" s="923" t="s">
        <v>892</v>
      </c>
      <c r="M169" s="717" t="s">
        <v>162</v>
      </c>
      <c r="N169" s="14"/>
      <c r="AC169" s="521"/>
    </row>
    <row r="170" spans="1:43">
      <c r="A170" s="132" t="s">
        <v>114</v>
      </c>
      <c r="B170" s="481" t="s">
        <v>918</v>
      </c>
      <c r="C170" s="59"/>
      <c r="D170" s="51" t="s">
        <v>924</v>
      </c>
      <c r="E170" s="545">
        <v>22</v>
      </c>
      <c r="F170" s="47">
        <v>8</v>
      </c>
      <c r="G170" s="223">
        <v>37500</v>
      </c>
      <c r="H170" s="222">
        <v>12500</v>
      </c>
      <c r="I170" s="59"/>
      <c r="J170" s="6"/>
      <c r="K170" s="537"/>
      <c r="L170" s="537"/>
      <c r="M170" s="230" t="s">
        <v>1122</v>
      </c>
      <c r="N170" s="352"/>
    </row>
    <row r="171" spans="1:43">
      <c r="A171" s="452" t="s">
        <v>119</v>
      </c>
      <c r="B171" s="481" t="s">
        <v>444</v>
      </c>
      <c r="C171" s="454"/>
      <c r="D171" s="454" t="s">
        <v>148</v>
      </c>
      <c r="E171" s="543">
        <v>365</v>
      </c>
      <c r="F171" s="456">
        <v>31</v>
      </c>
      <c r="G171" s="478">
        <v>19000</v>
      </c>
      <c r="H171" s="478">
        <v>19000</v>
      </c>
      <c r="I171" s="1054">
        <v>19000</v>
      </c>
      <c r="J171" s="479"/>
      <c r="K171" s="520"/>
      <c r="L171" s="520"/>
      <c r="M171" s="503"/>
      <c r="N171" s="132"/>
    </row>
    <row r="172" spans="1:43">
      <c r="A172" s="132" t="s">
        <v>114</v>
      </c>
      <c r="B172" s="1076" t="s">
        <v>1125</v>
      </c>
      <c r="C172" s="6"/>
      <c r="D172" s="45"/>
      <c r="E172" s="675"/>
      <c r="F172" s="221"/>
      <c r="G172" s="236" t="s">
        <v>177</v>
      </c>
      <c r="H172" s="264">
        <f t="shared" ref="H172:L172" si="20">SUM(H170:H171)</f>
        <v>31500</v>
      </c>
      <c r="I172" s="770">
        <f t="shared" si="20"/>
        <v>19000</v>
      </c>
      <c r="J172" s="770">
        <f t="shared" si="20"/>
        <v>0</v>
      </c>
      <c r="K172" s="770">
        <f t="shared" si="20"/>
        <v>0</v>
      </c>
      <c r="L172" s="770">
        <f t="shared" si="20"/>
        <v>0</v>
      </c>
      <c r="M172" s="309"/>
      <c r="N172" s="341"/>
    </row>
    <row r="173" spans="1:43">
      <c r="A173" s="33" t="s">
        <v>114</v>
      </c>
      <c r="B173" s="328" t="s">
        <v>1051</v>
      </c>
      <c r="C173" s="17"/>
      <c r="E173" s="287"/>
      <c r="F173" s="286"/>
      <c r="G173" s="286"/>
      <c r="I173" s="499"/>
      <c r="K173" s="287"/>
      <c r="L173" s="287"/>
      <c r="M173" s="287"/>
    </row>
    <row r="174" spans="1:43">
      <c r="A174" s="219" t="s">
        <v>5</v>
      </c>
      <c r="B174" s="342" t="s">
        <v>445</v>
      </c>
      <c r="C174" s="187"/>
      <c r="D174" s="129" t="s">
        <v>10</v>
      </c>
      <c r="E174" s="288" t="s">
        <v>243</v>
      </c>
      <c r="F174" s="289" t="s">
        <v>244</v>
      </c>
      <c r="G174" s="290" t="s">
        <v>245</v>
      </c>
      <c r="H174" s="291" t="s">
        <v>246</v>
      </c>
      <c r="I174" s="217" t="s">
        <v>532</v>
      </c>
      <c r="J174" s="22" t="s">
        <v>13</v>
      </c>
      <c r="K174" s="923" t="s">
        <v>891</v>
      </c>
      <c r="L174" s="923" t="s">
        <v>892</v>
      </c>
      <c r="M174" s="717" t="s">
        <v>162</v>
      </c>
      <c r="N174" s="14"/>
      <c r="AC174" s="509"/>
    </row>
    <row r="175" spans="1:43">
      <c r="A175" s="2" t="s">
        <v>114</v>
      </c>
      <c r="B175" s="283" t="s">
        <v>1128</v>
      </c>
      <c r="C175" s="251"/>
      <c r="D175" s="251" t="s">
        <v>1130</v>
      </c>
      <c r="E175" s="675"/>
      <c r="F175" s="52"/>
      <c r="G175" s="222"/>
      <c r="H175" s="222">
        <v>15000</v>
      </c>
      <c r="I175" s="932">
        <v>15000</v>
      </c>
      <c r="J175" s="49"/>
      <c r="K175" s="673"/>
      <c r="L175" s="1081">
        <v>3500</v>
      </c>
      <c r="M175" s="309"/>
      <c r="N175" s="794" t="s">
        <v>520</v>
      </c>
    </row>
    <row r="176" spans="1:43">
      <c r="A176" s="452" t="s">
        <v>119</v>
      </c>
      <c r="B176" s="328" t="s">
        <v>1131</v>
      </c>
      <c r="C176" s="454"/>
      <c r="D176" s="454" t="s">
        <v>983</v>
      </c>
      <c r="E176" s="543">
        <v>30</v>
      </c>
      <c r="F176" s="456"/>
      <c r="G176" s="478">
        <v>19000</v>
      </c>
      <c r="H176" s="478">
        <v>15000</v>
      </c>
      <c r="I176" s="1054">
        <v>15000</v>
      </c>
      <c r="J176" s="479"/>
      <c r="K176" s="520"/>
      <c r="L176" s="520"/>
      <c r="M176" s="503"/>
      <c r="N176" s="132" t="s">
        <v>1109</v>
      </c>
    </row>
    <row r="177" spans="1:29">
      <c r="A177" s="132"/>
      <c r="B177" s="4"/>
      <c r="C177" s="6"/>
      <c r="D177" s="45"/>
      <c r="E177" s="675"/>
      <c r="F177" s="221"/>
      <c r="G177" s="236" t="s">
        <v>177</v>
      </c>
      <c r="H177" s="264">
        <f t="shared" ref="H177:L177" si="21">SUM(H175:H176)</f>
        <v>30000</v>
      </c>
      <c r="I177" s="785">
        <f t="shared" si="21"/>
        <v>30000</v>
      </c>
      <c r="J177" s="785">
        <f t="shared" si="21"/>
        <v>0</v>
      </c>
      <c r="K177" s="785">
        <f t="shared" si="21"/>
        <v>0</v>
      </c>
      <c r="L177" s="785">
        <f t="shared" si="21"/>
        <v>3500</v>
      </c>
      <c r="M177" s="309"/>
      <c r="N177" s="341"/>
    </row>
    <row r="178" spans="1:29">
      <c r="A178" s="33" t="s">
        <v>114</v>
      </c>
      <c r="B178" s="1" t="s">
        <v>1135</v>
      </c>
      <c r="C178" s="499"/>
      <c r="E178" s="287"/>
      <c r="F178" s="286"/>
      <c r="G178" s="286"/>
      <c r="I178" s="499"/>
      <c r="K178" s="287"/>
      <c r="L178" s="287"/>
      <c r="M178" s="287"/>
    </row>
    <row r="179" spans="1:29">
      <c r="B179" s="1088" t="s">
        <v>1136</v>
      </c>
      <c r="C179" s="1089"/>
      <c r="D179" s="1089"/>
      <c r="E179" s="287"/>
      <c r="I179" s="499"/>
      <c r="K179" s="287"/>
      <c r="L179" s="287"/>
      <c r="M179" s="287"/>
    </row>
    <row r="180" spans="1:29">
      <c r="E180" s="287"/>
      <c r="H180" s="786" t="s">
        <v>668</v>
      </c>
      <c r="I180" s="787">
        <f>SUM(I23+I47+I62+I79+I97+I102+I106+I115+I122+I128+I135+I143+I148+I154+I160+I167+I172+I177+L23+L47+L62+L79+L97+L102+L106+L115+L122+L128+L135+L143+L148+L154+L160+L167+L172+L177)</f>
        <v>1716270.78</v>
      </c>
      <c r="K180" s="287"/>
      <c r="L180" s="287"/>
      <c r="M180" s="287"/>
    </row>
    <row r="181" spans="1:29">
      <c r="E181" s="287"/>
      <c r="I181" s="499"/>
      <c r="K181" s="287"/>
      <c r="L181" s="287"/>
      <c r="M181" s="287"/>
    </row>
    <row r="182" spans="1:29">
      <c r="E182" s="287"/>
      <c r="H182" s="788" t="s">
        <v>671</v>
      </c>
      <c r="I182" s="789">
        <f>SUM(H23+H47+H62+H79+H97+H102+H106+H115+H122+H128+H135+H143+H148+H154+H160+H167+H172+H177+K23+K47+K62+K79+K97+K102+K106+K115+K122+K128+K135+K143+K148+K154+K160+K167+K172+K177)</f>
        <v>1286066</v>
      </c>
      <c r="K182" s="287"/>
      <c r="L182" s="287"/>
      <c r="M182" s="287"/>
    </row>
    <row r="183" spans="1:29">
      <c r="E183" s="287"/>
      <c r="I183" s="499"/>
      <c r="K183" s="287"/>
      <c r="L183" s="287"/>
      <c r="M183" s="287"/>
    </row>
    <row r="184" spans="1:29">
      <c r="E184" s="287"/>
      <c r="I184" s="499"/>
      <c r="J184" s="1" t="s">
        <v>199</v>
      </c>
      <c r="K184" s="287"/>
      <c r="L184" s="287"/>
      <c r="M184" s="287"/>
    </row>
    <row r="185" spans="1:29">
      <c r="AC185" s="14"/>
    </row>
    <row r="186" spans="1:29">
      <c r="AC186" s="504"/>
    </row>
    <row r="187" spans="1:29">
      <c r="AC187" s="781"/>
    </row>
    <row r="188" spans="1:29">
      <c r="AC188" s="482"/>
    </row>
    <row r="189" spans="1:29">
      <c r="AC189" s="341"/>
    </row>
    <row r="191" spans="1:29">
      <c r="AC191" s="14"/>
    </row>
    <row r="192" spans="1:29">
      <c r="AC192" s="352" t="s">
        <v>1050</v>
      </c>
    </row>
    <row r="193" spans="29:29">
      <c r="AC193" s="132"/>
    </row>
    <row r="194" spans="29:29">
      <c r="AC194" s="341"/>
    </row>
    <row r="196" spans="29:29">
      <c r="AC196" s="14"/>
    </row>
    <row r="197" spans="29:29">
      <c r="AC197" s="794" t="s">
        <v>1055</v>
      </c>
    </row>
    <row r="198" spans="29:29">
      <c r="AC198" s="132" t="s">
        <v>1056</v>
      </c>
    </row>
    <row r="199" spans="29:29">
      <c r="AC199" s="341"/>
    </row>
  </sheetData>
  <mergeCells count="1">
    <mergeCell ref="C114:F11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AQ218"/>
  <sheetViews>
    <sheetView workbookViewId="0"/>
  </sheetViews>
  <sheetFormatPr defaultColWidth="12.5703125" defaultRowHeight="15.75" customHeight="1"/>
  <cols>
    <col min="1" max="1" width="12" customWidth="1"/>
    <col min="2" max="2" width="32.28515625" customWidth="1"/>
    <col min="4" max="4" width="21.42578125" customWidth="1"/>
    <col min="11" max="13" width="20.28515625" customWidth="1"/>
    <col min="14" max="14" width="22.7109375" customWidth="1"/>
    <col min="18" max="18" width="12" customWidth="1"/>
    <col min="19" max="19" width="27.42578125" customWidth="1"/>
    <col min="21" max="21" width="21.42578125" customWidth="1"/>
    <col min="28" max="28" width="20.28515625" customWidth="1"/>
    <col min="29" max="29" width="22.7109375" customWidth="1"/>
  </cols>
  <sheetData>
    <row r="1" spans="1:43" ht="12.75">
      <c r="A1" s="1">
        <v>3</v>
      </c>
      <c r="C1" s="499"/>
      <c r="E1" s="287"/>
      <c r="I1" s="499"/>
      <c r="K1" s="287"/>
      <c r="L1" s="287"/>
      <c r="M1" s="287"/>
    </row>
    <row r="2" spans="1:43" ht="12.75">
      <c r="C2" s="499"/>
      <c r="E2" s="287"/>
      <c r="I2" s="499"/>
      <c r="K2" s="287"/>
      <c r="L2" s="287"/>
      <c r="M2" s="287"/>
    </row>
    <row r="3" spans="1:43" ht="63.75">
      <c r="A3" s="523" t="s">
        <v>5</v>
      </c>
      <c r="B3" s="524" t="s">
        <v>7</v>
      </c>
      <c r="C3" s="525" t="s">
        <v>159</v>
      </c>
      <c r="D3" s="526" t="s">
        <v>10</v>
      </c>
      <c r="E3" s="527" t="s">
        <v>243</v>
      </c>
      <c r="F3" s="528" t="s">
        <v>244</v>
      </c>
      <c r="G3" s="528" t="s">
        <v>245</v>
      </c>
      <c r="H3" s="529" t="s">
        <v>246</v>
      </c>
      <c r="I3" s="525" t="s">
        <v>532</v>
      </c>
      <c r="J3" s="530" t="s">
        <v>13</v>
      </c>
      <c r="K3" s="923" t="s">
        <v>891</v>
      </c>
      <c r="L3" s="923" t="s">
        <v>892</v>
      </c>
      <c r="M3" s="531" t="s">
        <v>162</v>
      </c>
      <c r="N3" s="14"/>
    </row>
    <row r="4" spans="1:43" ht="12.75">
      <c r="A4" s="219"/>
      <c r="B4" s="4"/>
      <c r="C4" s="59"/>
      <c r="D4" s="45"/>
      <c r="E4" s="532"/>
      <c r="F4" s="220"/>
      <c r="G4" s="533"/>
      <c r="H4" s="533"/>
      <c r="I4" s="223"/>
      <c r="J4" s="223"/>
      <c r="K4" s="924"/>
      <c r="L4" s="924"/>
      <c r="M4" s="534"/>
      <c r="N4" s="144"/>
    </row>
    <row r="5" spans="1:43" ht="25.5">
      <c r="A5" s="782">
        <v>1</v>
      </c>
      <c r="B5" s="617" t="s">
        <v>29</v>
      </c>
      <c r="C5" s="619">
        <v>5</v>
      </c>
      <c r="D5" s="621" t="s">
        <v>926</v>
      </c>
      <c r="E5" s="622" t="s">
        <v>534</v>
      </c>
      <c r="F5" s="619">
        <v>31</v>
      </c>
      <c r="G5" s="623">
        <v>32000</v>
      </c>
      <c r="H5" s="623">
        <v>32000</v>
      </c>
      <c r="I5" s="619"/>
      <c r="J5" s="619"/>
      <c r="K5" s="622"/>
      <c r="L5" s="622"/>
      <c r="M5" s="622" t="s">
        <v>799</v>
      </c>
      <c r="N5" s="100"/>
    </row>
    <row r="6" spans="1:43" ht="12.75">
      <c r="A6" s="782">
        <v>2</v>
      </c>
      <c r="B6" s="625" t="s">
        <v>928</v>
      </c>
      <c r="C6" s="619">
        <v>10</v>
      </c>
      <c r="D6" s="627" t="s">
        <v>926</v>
      </c>
      <c r="E6" s="622"/>
      <c r="F6" s="619"/>
      <c r="G6" s="623">
        <v>25075.82</v>
      </c>
      <c r="H6" s="623">
        <v>25075.82</v>
      </c>
      <c r="I6" s="619"/>
      <c r="J6" s="619"/>
      <c r="K6" s="622"/>
      <c r="L6" s="622"/>
      <c r="M6" s="622" t="s">
        <v>768</v>
      </c>
      <c r="N6" s="192"/>
    </row>
    <row r="7" spans="1:43" ht="25.5">
      <c r="A7" s="782">
        <v>3</v>
      </c>
      <c r="B7" s="617" t="s">
        <v>340</v>
      </c>
      <c r="C7" s="621">
        <v>5</v>
      </c>
      <c r="D7" s="621" t="s">
        <v>930</v>
      </c>
      <c r="E7" s="629" t="s">
        <v>534</v>
      </c>
      <c r="F7" s="621">
        <v>31</v>
      </c>
      <c r="G7" s="623">
        <v>210000</v>
      </c>
      <c r="H7" s="623">
        <v>17500</v>
      </c>
      <c r="I7" s="621">
        <v>35000</v>
      </c>
      <c r="J7" s="621"/>
      <c r="K7" s="629"/>
      <c r="L7" s="629"/>
      <c r="M7" s="629" t="s">
        <v>535</v>
      </c>
      <c r="N7" s="957"/>
      <c r="O7" s="509"/>
    </row>
    <row r="8" spans="1:43" ht="12.75">
      <c r="A8" s="782">
        <v>4</v>
      </c>
      <c r="B8" s="625" t="s">
        <v>897</v>
      </c>
      <c r="C8" s="619">
        <v>5</v>
      </c>
      <c r="D8" s="619" t="s">
        <v>148</v>
      </c>
      <c r="E8" s="622"/>
      <c r="F8" s="619">
        <v>31</v>
      </c>
      <c r="G8" s="623"/>
      <c r="H8" s="623">
        <v>25900</v>
      </c>
      <c r="I8" s="619"/>
      <c r="J8" s="619"/>
      <c r="K8" s="622"/>
      <c r="L8" s="622"/>
      <c r="M8" s="622"/>
      <c r="N8" s="192"/>
    </row>
    <row r="9" spans="1:43" ht="12.75">
      <c r="A9" s="782">
        <v>5</v>
      </c>
      <c r="B9" s="784" t="s">
        <v>538</v>
      </c>
      <c r="C9" s="619">
        <v>5</v>
      </c>
      <c r="D9" s="619" t="s">
        <v>926</v>
      </c>
      <c r="E9" s="622"/>
      <c r="F9" s="619">
        <v>31</v>
      </c>
      <c r="G9" s="623"/>
      <c r="H9" s="623">
        <v>29600</v>
      </c>
      <c r="I9" s="619">
        <v>29600</v>
      </c>
      <c r="J9" s="619"/>
      <c r="K9" s="622"/>
      <c r="L9" s="622"/>
      <c r="M9" s="622" t="s">
        <v>899</v>
      </c>
      <c r="N9" s="192"/>
    </row>
    <row r="10" spans="1:43" ht="12.75">
      <c r="A10" s="959">
        <v>6</v>
      </c>
      <c r="B10" s="4" t="s">
        <v>773</v>
      </c>
      <c r="C10" s="59">
        <v>5</v>
      </c>
      <c r="D10" s="45" t="s">
        <v>931</v>
      </c>
      <c r="E10" s="545">
        <v>180</v>
      </c>
      <c r="F10" s="223">
        <v>11</v>
      </c>
      <c r="G10" s="223"/>
      <c r="H10" s="222">
        <v>25900</v>
      </c>
      <c r="I10" s="223">
        <v>25900</v>
      </c>
      <c r="J10" s="220"/>
      <c r="K10" s="394"/>
      <c r="L10" s="394"/>
      <c r="M10" s="500" t="s">
        <v>775</v>
      </c>
      <c r="N10" s="230" t="s">
        <v>776</v>
      </c>
      <c r="O10" s="842"/>
      <c r="P10" s="842"/>
      <c r="Q10" s="842"/>
      <c r="R10" s="842"/>
      <c r="S10" s="842"/>
      <c r="T10" s="842"/>
      <c r="U10" s="842"/>
      <c r="V10" s="842"/>
      <c r="W10" s="842"/>
      <c r="X10" s="842"/>
      <c r="Y10" s="842"/>
      <c r="Z10" s="842"/>
      <c r="AA10" s="842"/>
      <c r="AB10" s="842"/>
    </row>
    <row r="11" spans="1:43" ht="12.75">
      <c r="A11" s="782">
        <v>7</v>
      </c>
      <c r="B11" s="876" t="s">
        <v>902</v>
      </c>
      <c r="C11" s="839">
        <v>5</v>
      </c>
      <c r="D11" s="838" t="s">
        <v>926</v>
      </c>
      <c r="E11" s="963">
        <v>60</v>
      </c>
      <c r="F11" s="839">
        <v>31</v>
      </c>
      <c r="G11" s="841">
        <v>29600</v>
      </c>
      <c r="H11" s="841">
        <v>29600</v>
      </c>
      <c r="I11" s="621">
        <v>29600</v>
      </c>
      <c r="J11" s="621"/>
      <c r="K11" s="629"/>
      <c r="L11" s="629"/>
      <c r="M11" s="930" t="s">
        <v>899</v>
      </c>
      <c r="N11" s="463" t="s">
        <v>903</v>
      </c>
      <c r="O11" s="509"/>
    </row>
    <row r="12" spans="1:43" ht="12.75">
      <c r="A12" s="782">
        <v>8</v>
      </c>
      <c r="B12" s="617" t="s">
        <v>574</v>
      </c>
      <c r="C12" s="619">
        <v>5</v>
      </c>
      <c r="D12" s="621" t="s">
        <v>926</v>
      </c>
      <c r="E12" s="622">
        <v>180</v>
      </c>
      <c r="F12" s="619">
        <v>31</v>
      </c>
      <c r="G12" s="623">
        <v>155400</v>
      </c>
      <c r="H12" s="623">
        <v>25900</v>
      </c>
      <c r="I12" s="619">
        <v>25900</v>
      </c>
      <c r="J12" s="619"/>
      <c r="K12" s="622"/>
      <c r="L12" s="622"/>
      <c r="M12" s="804" t="s">
        <v>331</v>
      </c>
      <c r="N12" s="144"/>
      <c r="O12" s="1" t="s">
        <v>199</v>
      </c>
    </row>
    <row r="13" spans="1:43" ht="12.75">
      <c r="A13" s="782">
        <v>9</v>
      </c>
      <c r="B13" s="617" t="s">
        <v>904</v>
      </c>
      <c r="C13" s="619">
        <v>5</v>
      </c>
      <c r="D13" s="619" t="s">
        <v>935</v>
      </c>
      <c r="E13" s="622">
        <v>180</v>
      </c>
      <c r="F13" s="619">
        <v>31</v>
      </c>
      <c r="G13" s="623"/>
      <c r="H13" s="623">
        <v>25900</v>
      </c>
      <c r="I13" s="619">
        <v>25900</v>
      </c>
      <c r="J13" s="619"/>
      <c r="K13" s="622"/>
      <c r="L13" s="622"/>
      <c r="M13" s="804"/>
      <c r="N13" s="144"/>
    </row>
    <row r="14" spans="1:43" ht="12.75">
      <c r="A14" s="782">
        <v>10</v>
      </c>
      <c r="B14" s="617" t="s">
        <v>936</v>
      </c>
      <c r="C14" s="619">
        <v>5</v>
      </c>
      <c r="D14" s="619" t="s">
        <v>926</v>
      </c>
      <c r="E14" s="622">
        <v>30</v>
      </c>
      <c r="F14" s="619"/>
      <c r="G14" s="623">
        <v>37000</v>
      </c>
      <c r="H14" s="623">
        <v>37000</v>
      </c>
      <c r="I14" s="619">
        <v>37000</v>
      </c>
      <c r="J14" s="619"/>
      <c r="K14" s="622"/>
      <c r="L14" s="622"/>
      <c r="M14" s="804"/>
      <c r="N14" s="966"/>
    </row>
    <row r="15" spans="1:43" ht="12.75">
      <c r="A15" s="967">
        <v>11</v>
      </c>
      <c r="B15" s="650" t="s">
        <v>770</v>
      </c>
      <c r="C15" s="968">
        <v>5</v>
      </c>
      <c r="D15" s="968" t="s">
        <v>926</v>
      </c>
      <c r="E15" s="851"/>
      <c r="F15" s="968"/>
      <c r="G15" s="972">
        <v>111000</v>
      </c>
      <c r="H15" s="972">
        <v>37000</v>
      </c>
      <c r="I15" s="968"/>
      <c r="J15" s="968"/>
      <c r="K15" s="851"/>
      <c r="L15" s="851"/>
      <c r="M15" s="974" t="s">
        <v>906</v>
      </c>
      <c r="N15" s="868" t="s">
        <v>875</v>
      </c>
      <c r="O15" s="977"/>
      <c r="P15" s="977"/>
      <c r="Q15" s="977"/>
      <c r="R15" s="977"/>
      <c r="S15" s="977"/>
      <c r="T15" s="977"/>
      <c r="U15" s="977"/>
      <c r="V15" s="977"/>
      <c r="W15" s="977"/>
      <c r="X15" s="977"/>
      <c r="Y15" s="977"/>
      <c r="Z15" s="977"/>
      <c r="AA15" s="977"/>
      <c r="AB15" s="977"/>
      <c r="AC15" s="977"/>
      <c r="AD15" s="977"/>
      <c r="AE15" s="977"/>
      <c r="AF15" s="977"/>
      <c r="AG15" s="977"/>
      <c r="AH15" s="977"/>
      <c r="AI15" s="977"/>
      <c r="AJ15" s="977"/>
      <c r="AK15" s="977"/>
      <c r="AL15" s="977"/>
      <c r="AM15" s="977"/>
      <c r="AN15" s="977"/>
      <c r="AO15" s="977"/>
      <c r="AP15" s="977"/>
      <c r="AQ15" s="977"/>
    </row>
    <row r="16" spans="1:43" ht="25.5">
      <c r="A16" s="782">
        <v>12</v>
      </c>
      <c r="B16" s="617" t="s">
        <v>23</v>
      </c>
      <c r="C16" s="619">
        <v>5</v>
      </c>
      <c r="D16" s="621" t="s">
        <v>926</v>
      </c>
      <c r="E16" s="622" t="s">
        <v>534</v>
      </c>
      <c r="F16" s="619">
        <v>31</v>
      </c>
      <c r="G16" s="623">
        <v>33000</v>
      </c>
      <c r="H16" s="623">
        <v>33000</v>
      </c>
      <c r="I16" s="619">
        <v>33000</v>
      </c>
      <c r="J16" s="619"/>
      <c r="K16" s="622"/>
      <c r="L16" s="622"/>
      <c r="M16" s="622"/>
      <c r="N16" s="260" t="s">
        <v>581</v>
      </c>
    </row>
    <row r="17" spans="1:30" ht="12.75">
      <c r="A17" s="782">
        <v>13</v>
      </c>
      <c r="B17" s="453" t="s">
        <v>947</v>
      </c>
      <c r="C17" s="251">
        <v>5</v>
      </c>
      <c r="D17" s="453" t="s">
        <v>926</v>
      </c>
      <c r="E17" s="882"/>
      <c r="F17" s="251"/>
      <c r="G17" s="251"/>
      <c r="H17" s="251">
        <v>37000</v>
      </c>
      <c r="I17" s="251"/>
      <c r="J17" s="251"/>
      <c r="K17" s="673"/>
      <c r="L17" s="673"/>
      <c r="M17" s="673"/>
      <c r="N17" s="144" t="s">
        <v>594</v>
      </c>
    </row>
    <row r="18" spans="1:30" ht="12.75">
      <c r="A18" s="782">
        <v>14</v>
      </c>
      <c r="B18" s="481" t="s">
        <v>956</v>
      </c>
      <c r="C18" s="454">
        <v>5</v>
      </c>
      <c r="D18" s="477" t="s">
        <v>958</v>
      </c>
      <c r="E18" s="543"/>
      <c r="F18" s="478"/>
      <c r="G18" s="478"/>
      <c r="H18" s="478">
        <v>25000</v>
      </c>
      <c r="I18" s="478"/>
      <c r="J18" s="498"/>
      <c r="K18" s="520"/>
      <c r="L18" s="520"/>
      <c r="M18" s="503"/>
      <c r="N18" s="463"/>
    </row>
    <row r="19" spans="1:30" ht="12.75">
      <c r="A19" s="782">
        <v>15</v>
      </c>
      <c r="B19" s="328" t="s">
        <v>909</v>
      </c>
      <c r="C19" s="59"/>
      <c r="D19" s="45"/>
      <c r="E19" s="545"/>
      <c r="F19" s="223"/>
      <c r="G19" s="223"/>
      <c r="H19" s="222"/>
      <c r="I19" s="223"/>
      <c r="J19" s="220"/>
      <c r="K19" s="235"/>
      <c r="L19" s="235"/>
      <c r="M19" s="235"/>
      <c r="N19" s="230"/>
    </row>
    <row r="20" spans="1:30" ht="12.75">
      <c r="A20" s="782">
        <v>16</v>
      </c>
      <c r="B20" s="253" t="s">
        <v>961</v>
      </c>
      <c r="C20" s="59">
        <v>5</v>
      </c>
      <c r="D20" s="45" t="s">
        <v>962</v>
      </c>
      <c r="E20" s="545"/>
      <c r="F20" s="223"/>
      <c r="G20" s="223">
        <v>29600</v>
      </c>
      <c r="H20" s="300">
        <v>29600</v>
      </c>
      <c r="I20" s="270"/>
      <c r="J20" s="233"/>
      <c r="K20" s="230"/>
      <c r="L20" s="230"/>
      <c r="M20" s="230"/>
      <c r="N20" s="100"/>
    </row>
    <row r="21" spans="1:30" ht="12.75">
      <c r="A21" s="782">
        <v>17</v>
      </c>
      <c r="B21" s="254" t="s">
        <v>963</v>
      </c>
      <c r="C21" s="454"/>
      <c r="D21" s="455"/>
      <c r="E21" s="543"/>
      <c r="F21" s="458"/>
      <c r="G21" s="458"/>
      <c r="H21" s="458"/>
      <c r="I21" s="829"/>
      <c r="J21" s="548"/>
      <c r="K21" s="503"/>
      <c r="L21" s="503"/>
      <c r="M21" s="503"/>
      <c r="N21" s="779"/>
    </row>
    <row r="22" spans="1:30" ht="12.75">
      <c r="A22" s="782">
        <v>18</v>
      </c>
      <c r="B22" s="254" t="s">
        <v>966</v>
      </c>
      <c r="C22" s="59"/>
      <c r="D22" s="251"/>
      <c r="E22" s="550"/>
      <c r="F22" s="401"/>
      <c r="G22" s="402"/>
      <c r="H22" s="222"/>
      <c r="I22" s="551"/>
      <c r="J22" s="395"/>
      <c r="K22" s="673"/>
      <c r="L22" s="673"/>
      <c r="M22" s="309"/>
      <c r="N22" s="682"/>
    </row>
    <row r="23" spans="1:30" ht="12.75">
      <c r="A23" s="782">
        <v>19</v>
      </c>
      <c r="B23" s="310" t="s">
        <v>968</v>
      </c>
      <c r="C23" s="6"/>
      <c r="D23" s="8"/>
      <c r="E23" s="532"/>
      <c r="F23" s="221"/>
      <c r="G23" s="221"/>
      <c r="H23" s="986"/>
      <c r="I23" s="859"/>
      <c r="J23" s="221"/>
      <c r="K23" s="987"/>
      <c r="L23" s="987"/>
      <c r="M23" s="988"/>
      <c r="N23" s="696"/>
    </row>
    <row r="24" spans="1:30" ht="12.75">
      <c r="A24" s="114"/>
      <c r="B24" s="236" t="s">
        <v>177</v>
      </c>
      <c r="C24" s="6">
        <f>SUM(C5:C22)</f>
        <v>80</v>
      </c>
      <c r="D24" s="109"/>
      <c r="E24" s="552"/>
      <c r="F24" s="237"/>
      <c r="G24" s="237">
        <f t="shared" ref="G24:H24" si="0">SUM(G4:G22)</f>
        <v>662675.82000000007</v>
      </c>
      <c r="H24" s="553">
        <f t="shared" si="0"/>
        <v>435975.82</v>
      </c>
      <c r="I24" s="554">
        <f>SUM(I5:I22)</f>
        <v>241900</v>
      </c>
      <c r="J24" s="555">
        <f t="shared" ref="J24:K24" si="1">SUM(J4:J22)</f>
        <v>0</v>
      </c>
      <c r="K24" s="945">
        <f t="shared" si="1"/>
        <v>0</v>
      </c>
      <c r="L24" s="945">
        <f>SUM(L4:L22)</f>
        <v>0</v>
      </c>
      <c r="M24" s="988"/>
      <c r="N24" s="696">
        <f>M24/G24*100</f>
        <v>0</v>
      </c>
    </row>
    <row r="25" spans="1:30" ht="12.75">
      <c r="A25" s="265"/>
      <c r="B25" s="990" t="s">
        <v>970</v>
      </c>
      <c r="C25" s="697"/>
      <c r="D25" s="185"/>
      <c r="E25" s="557"/>
      <c r="F25" s="558"/>
      <c r="G25" s="558"/>
      <c r="H25" s="265"/>
      <c r="I25" s="265"/>
      <c r="J25" s="265"/>
      <c r="K25" s="743"/>
      <c r="L25" s="743"/>
      <c r="M25" s="559"/>
      <c r="N25" s="14"/>
    </row>
    <row r="26" spans="1:30" ht="12.75">
      <c r="A26" s="560"/>
      <c r="B26" s="561"/>
      <c r="C26" s="562"/>
      <c r="D26" s="561"/>
      <c r="E26" s="563"/>
      <c r="F26" s="561"/>
      <c r="G26" s="565"/>
      <c r="H26" s="565"/>
      <c r="I26" s="566"/>
      <c r="J26" s="566"/>
      <c r="K26" s="950"/>
      <c r="L26" s="950"/>
      <c r="M26" s="567"/>
      <c r="N26" s="33"/>
      <c r="AC26" s="14"/>
    </row>
    <row r="27" spans="1:30" ht="12.75">
      <c r="A27" s="568"/>
      <c r="B27" s="569"/>
      <c r="C27" s="338"/>
      <c r="D27" s="570"/>
      <c r="E27" s="571"/>
      <c r="F27" s="572"/>
      <c r="G27" s="572"/>
      <c r="H27" s="573"/>
      <c r="I27" s="574"/>
      <c r="J27" s="574"/>
      <c r="K27" s="951"/>
      <c r="L27" s="951"/>
      <c r="M27" s="575"/>
      <c r="N27" s="33"/>
      <c r="AC27" s="33"/>
    </row>
    <row r="28" spans="1:30" ht="12.75">
      <c r="A28" s="568"/>
      <c r="B28" s="576"/>
      <c r="C28" s="340"/>
      <c r="D28" s="577"/>
      <c r="E28" s="578"/>
      <c r="F28" s="319"/>
      <c r="G28" s="319"/>
      <c r="H28" s="320"/>
      <c r="I28" s="320"/>
      <c r="J28" s="320"/>
      <c r="K28" s="952"/>
      <c r="L28" s="952"/>
      <c r="M28" s="579"/>
      <c r="N28" s="33"/>
      <c r="AC28" s="14"/>
    </row>
    <row r="29" spans="1:30" ht="12.75">
      <c r="A29" s="580"/>
      <c r="B29" s="581"/>
      <c r="C29" s="260"/>
      <c r="D29" s="260"/>
      <c r="E29" s="578"/>
      <c r="F29" s="582"/>
      <c r="G29" s="572"/>
      <c r="H29" s="270"/>
      <c r="I29" s="583"/>
      <c r="J29" s="584"/>
      <c r="K29" s="953"/>
      <c r="L29" s="953"/>
      <c r="M29" s="585"/>
      <c r="N29" s="303"/>
      <c r="AC29" s="324"/>
    </row>
    <row r="30" spans="1:30" ht="12.75">
      <c r="A30" s="568"/>
      <c r="B30" s="586"/>
      <c r="C30" s="340"/>
      <c r="D30" s="577"/>
      <c r="E30" s="587"/>
      <c r="F30" s="582"/>
      <c r="G30" s="582"/>
      <c r="H30" s="237"/>
      <c r="I30" s="582"/>
      <c r="J30" s="582"/>
      <c r="K30" s="954"/>
      <c r="L30" s="954"/>
      <c r="M30" s="588"/>
      <c r="N30" s="33"/>
      <c r="AC30" s="539"/>
      <c r="AD30" s="509"/>
    </row>
    <row r="31" spans="1:30" ht="12.75">
      <c r="A31" s="589"/>
      <c r="B31" s="590"/>
      <c r="C31" s="591"/>
      <c r="D31" s="590"/>
      <c r="E31" s="592"/>
      <c r="F31" s="590"/>
      <c r="G31" s="590"/>
      <c r="H31" s="590"/>
      <c r="I31" s="591"/>
      <c r="J31" s="590"/>
      <c r="K31" s="955"/>
      <c r="L31" s="955"/>
      <c r="M31" s="593"/>
      <c r="AC31" s="324"/>
    </row>
    <row r="32" spans="1:30" ht="12.75">
      <c r="A32" s="2"/>
      <c r="B32" s="4"/>
      <c r="C32" s="6"/>
      <c r="D32" s="8"/>
      <c r="E32" s="532"/>
      <c r="F32" s="220"/>
      <c r="G32" s="220"/>
      <c r="H32" s="6"/>
      <c r="I32" s="6"/>
      <c r="J32" s="6"/>
      <c r="K32" s="618"/>
      <c r="L32" s="618"/>
      <c r="M32" s="594"/>
      <c r="N32" s="14"/>
      <c r="AC32" s="324"/>
    </row>
    <row r="33" spans="1:43" ht="63.75">
      <c r="A33" s="595" t="s">
        <v>5</v>
      </c>
      <c r="B33" s="596" t="s">
        <v>74</v>
      </c>
      <c r="C33" s="597" t="s">
        <v>159</v>
      </c>
      <c r="D33" s="598" t="s">
        <v>10</v>
      </c>
      <c r="E33" s="599" t="s">
        <v>243</v>
      </c>
      <c r="F33" s="600" t="s">
        <v>244</v>
      </c>
      <c r="G33" s="600" t="s">
        <v>245</v>
      </c>
      <c r="H33" s="601" t="s">
        <v>246</v>
      </c>
      <c r="I33" s="597" t="s">
        <v>532</v>
      </c>
      <c r="J33" s="602" t="s">
        <v>13</v>
      </c>
      <c r="K33" s="923" t="s">
        <v>891</v>
      </c>
      <c r="L33" s="923" t="s">
        <v>892</v>
      </c>
      <c r="M33" s="603" t="s">
        <v>162</v>
      </c>
      <c r="N33" s="14"/>
      <c r="AC33" s="176"/>
      <c r="AD33" s="842"/>
      <c r="AE33" s="842"/>
      <c r="AF33" s="842"/>
      <c r="AG33" s="842"/>
      <c r="AH33" s="842"/>
      <c r="AI33" s="842"/>
      <c r="AJ33" s="842"/>
      <c r="AK33" s="842"/>
      <c r="AL33" s="842"/>
      <c r="AM33" s="842"/>
      <c r="AN33" s="842"/>
      <c r="AO33" s="842"/>
      <c r="AP33" s="842"/>
      <c r="AQ33" s="842"/>
    </row>
    <row r="34" spans="1:43" ht="25.5">
      <c r="A34" s="269">
        <v>1</v>
      </c>
      <c r="B34" s="443" t="s">
        <v>135</v>
      </c>
      <c r="C34" s="144">
        <v>5</v>
      </c>
      <c r="D34" s="715" t="s">
        <v>926</v>
      </c>
      <c r="E34" s="230" t="s">
        <v>148</v>
      </c>
      <c r="F34" s="144">
        <v>31</v>
      </c>
      <c r="G34" s="608"/>
      <c r="H34" s="608">
        <v>32000</v>
      </c>
      <c r="I34" s="608"/>
      <c r="J34" s="608"/>
      <c r="K34" s="503"/>
      <c r="L34" s="503"/>
      <c r="M34" s="503"/>
      <c r="N34" s="992"/>
      <c r="AC34" s="451"/>
      <c r="AD34" s="509"/>
    </row>
    <row r="35" spans="1:43" ht="12.75">
      <c r="A35" s="269">
        <v>2</v>
      </c>
      <c r="B35" s="443" t="s">
        <v>773</v>
      </c>
      <c r="C35" s="144">
        <v>5</v>
      </c>
      <c r="D35" s="203" t="s">
        <v>932</v>
      </c>
      <c r="E35" s="230">
        <v>180</v>
      </c>
      <c r="F35" s="608">
        <v>11</v>
      </c>
      <c r="G35" s="608"/>
      <c r="H35" s="608">
        <v>24500</v>
      </c>
      <c r="I35" s="608">
        <v>24500</v>
      </c>
      <c r="J35" s="609"/>
      <c r="K35" s="503"/>
      <c r="L35" s="503"/>
      <c r="M35" s="503" t="s">
        <v>768</v>
      </c>
      <c r="N35" s="100"/>
      <c r="AC35" s="33" t="s">
        <v>664</v>
      </c>
      <c r="AD35" s="1" t="s">
        <v>199</v>
      </c>
    </row>
    <row r="36" spans="1:43" ht="12.75">
      <c r="A36" s="269">
        <v>3</v>
      </c>
      <c r="B36" s="443" t="s">
        <v>981</v>
      </c>
      <c r="C36" s="178">
        <v>5</v>
      </c>
      <c r="D36" s="171" t="s">
        <v>926</v>
      </c>
      <c r="E36" s="295"/>
      <c r="F36" s="178"/>
      <c r="G36" s="865"/>
      <c r="H36" s="865">
        <v>30000</v>
      </c>
      <c r="I36" s="609"/>
      <c r="J36" s="609"/>
      <c r="K36" s="503"/>
      <c r="L36" s="503"/>
      <c r="M36" s="503"/>
      <c r="N36" s="100"/>
      <c r="AC36" s="33"/>
    </row>
    <row r="37" spans="1:43" ht="25.5">
      <c r="A37" s="269">
        <v>4</v>
      </c>
      <c r="B37" s="443" t="s">
        <v>23</v>
      </c>
      <c r="C37" s="144">
        <v>5</v>
      </c>
      <c r="D37" s="715" t="s">
        <v>926</v>
      </c>
      <c r="E37" s="230" t="s">
        <v>534</v>
      </c>
      <c r="F37" s="144">
        <v>22</v>
      </c>
      <c r="G37" s="538">
        <v>363000</v>
      </c>
      <c r="H37" s="538">
        <v>33000</v>
      </c>
      <c r="I37" s="608">
        <v>33000</v>
      </c>
      <c r="J37" s="609"/>
      <c r="K37" s="503"/>
      <c r="L37" s="503"/>
      <c r="M37" s="503" t="s">
        <v>535</v>
      </c>
      <c r="N37" s="144" t="s">
        <v>581</v>
      </c>
      <c r="AC37" s="303"/>
    </row>
    <row r="38" spans="1:43" ht="12.75">
      <c r="A38" s="269">
        <v>5</v>
      </c>
      <c r="B38" s="893" t="s">
        <v>574</v>
      </c>
      <c r="C38" s="473">
        <v>5</v>
      </c>
      <c r="D38" s="725" t="s">
        <v>926</v>
      </c>
      <c r="E38" s="230"/>
      <c r="F38" s="144"/>
      <c r="G38" s="608"/>
      <c r="H38" s="608">
        <v>24500</v>
      </c>
      <c r="I38" s="608">
        <v>24500</v>
      </c>
      <c r="J38" s="609"/>
      <c r="K38" s="503"/>
      <c r="L38" s="503"/>
      <c r="M38" s="503"/>
      <c r="N38" s="144"/>
      <c r="AC38" s="33" t="s">
        <v>875</v>
      </c>
    </row>
    <row r="39" spans="1:43" ht="12.75">
      <c r="A39" s="269">
        <v>6</v>
      </c>
      <c r="B39" s="893" t="s">
        <v>985</v>
      </c>
      <c r="C39" s="144">
        <v>5</v>
      </c>
      <c r="D39" s="144" t="s">
        <v>986</v>
      </c>
      <c r="E39" s="230"/>
      <c r="F39" s="144"/>
      <c r="G39" s="608"/>
      <c r="H39" s="608">
        <v>20000</v>
      </c>
      <c r="I39" s="608"/>
      <c r="J39" s="609"/>
      <c r="K39" s="503"/>
      <c r="L39" s="503"/>
      <c r="M39" s="503" t="s">
        <v>275</v>
      </c>
      <c r="N39" s="178"/>
      <c r="AC39" s="341" t="s">
        <v>581</v>
      </c>
    </row>
    <row r="40" spans="1:43" ht="12.75">
      <c r="A40" s="269">
        <v>7</v>
      </c>
      <c r="B40" s="443" t="s">
        <v>928</v>
      </c>
      <c r="C40" s="144">
        <v>5</v>
      </c>
      <c r="D40" s="203" t="s">
        <v>926</v>
      </c>
      <c r="E40" s="606"/>
      <c r="F40" s="607"/>
      <c r="G40" s="608">
        <v>25075.82</v>
      </c>
      <c r="H40" s="608">
        <v>25075.82</v>
      </c>
      <c r="I40" s="609"/>
      <c r="J40" s="609"/>
      <c r="K40" s="503"/>
      <c r="L40" s="503"/>
      <c r="M40" s="503" t="s">
        <v>768</v>
      </c>
      <c r="N40" s="992"/>
      <c r="AC40" s="33"/>
    </row>
    <row r="41" spans="1:43" ht="12.75">
      <c r="A41" s="269">
        <v>8</v>
      </c>
      <c r="B41" s="443" t="s">
        <v>990</v>
      </c>
      <c r="C41" s="463">
        <v>5</v>
      </c>
      <c r="D41" s="715" t="s">
        <v>991</v>
      </c>
      <c r="E41" s="503">
        <v>60</v>
      </c>
      <c r="F41" s="463"/>
      <c r="G41" s="861"/>
      <c r="H41" s="862">
        <v>35000</v>
      </c>
      <c r="I41" s="862"/>
      <c r="J41" s="861"/>
      <c r="K41" s="503">
        <v>4000</v>
      </c>
      <c r="L41" s="503">
        <v>4000</v>
      </c>
      <c r="M41" s="503" t="s">
        <v>903</v>
      </c>
      <c r="N41" s="992"/>
      <c r="AC41" s="501" t="s">
        <v>148</v>
      </c>
    </row>
    <row r="42" spans="1:43" ht="12.75">
      <c r="A42" s="269">
        <v>9</v>
      </c>
      <c r="B42" s="793" t="s">
        <v>978</v>
      </c>
      <c r="C42" s="144">
        <v>5</v>
      </c>
      <c r="D42" s="203" t="s">
        <v>992</v>
      </c>
      <c r="E42" s="230"/>
      <c r="F42" s="144"/>
      <c r="G42" s="608"/>
      <c r="H42" s="865">
        <v>28000</v>
      </c>
      <c r="I42" s="608"/>
      <c r="J42" s="609"/>
      <c r="K42" s="503"/>
      <c r="L42" s="503"/>
      <c r="M42" s="503"/>
      <c r="N42" s="144"/>
      <c r="AC42" s="230" t="s">
        <v>776</v>
      </c>
    </row>
    <row r="43" spans="1:43" ht="12.75">
      <c r="A43" s="269">
        <v>10</v>
      </c>
      <c r="B43" s="893" t="s">
        <v>994</v>
      </c>
      <c r="C43" s="260">
        <v>5</v>
      </c>
      <c r="D43" s="645" t="s">
        <v>950</v>
      </c>
      <c r="E43" s="309"/>
      <c r="F43" s="260"/>
      <c r="G43" s="695"/>
      <c r="H43" s="694">
        <v>28000</v>
      </c>
      <c r="I43" s="694"/>
      <c r="J43" s="694">
        <v>28000</v>
      </c>
      <c r="K43" s="309"/>
      <c r="L43" s="309"/>
      <c r="M43" s="309" t="s">
        <v>995</v>
      </c>
      <c r="N43" s="995"/>
      <c r="O43" s="681"/>
      <c r="P43" s="681"/>
      <c r="Q43" s="681"/>
      <c r="R43" s="681"/>
      <c r="S43" s="681"/>
      <c r="T43" s="681"/>
      <c r="U43" s="681"/>
      <c r="V43" s="681"/>
      <c r="W43" s="681"/>
      <c r="X43" s="681"/>
      <c r="Y43" s="681"/>
      <c r="Z43" s="681"/>
      <c r="AA43" s="681"/>
      <c r="AB43" s="681"/>
      <c r="AC43" s="265"/>
      <c r="AD43" s="681"/>
      <c r="AE43" s="681"/>
      <c r="AF43" s="681"/>
      <c r="AG43" s="681"/>
      <c r="AH43" s="681"/>
      <c r="AI43" s="681"/>
      <c r="AJ43" s="681"/>
      <c r="AK43" s="681"/>
      <c r="AL43" s="681"/>
      <c r="AM43" s="681"/>
      <c r="AN43" s="681"/>
      <c r="AO43" s="681"/>
      <c r="AP43" s="681"/>
      <c r="AQ43" s="681"/>
    </row>
    <row r="44" spans="1:43" ht="12.75">
      <c r="A44" s="269">
        <v>11</v>
      </c>
      <c r="B44" s="453" t="s">
        <v>955</v>
      </c>
      <c r="C44" s="454">
        <v>5</v>
      </c>
      <c r="D44" s="477" t="s">
        <v>957</v>
      </c>
      <c r="E44" s="543">
        <v>60</v>
      </c>
      <c r="F44" s="478"/>
      <c r="G44" s="478"/>
      <c r="H44" s="478">
        <v>28000</v>
      </c>
      <c r="I44" s="478">
        <v>28000</v>
      </c>
      <c r="J44" s="498"/>
      <c r="K44" s="983"/>
      <c r="L44" s="983"/>
      <c r="M44" s="487"/>
      <c r="N44" s="178" t="s">
        <v>903</v>
      </c>
      <c r="AC44" s="451"/>
    </row>
    <row r="45" spans="1:43" ht="12.75">
      <c r="A45" s="269">
        <v>12</v>
      </c>
      <c r="B45" s="893" t="s">
        <v>998</v>
      </c>
      <c r="C45" s="260">
        <v>5</v>
      </c>
      <c r="D45" s="645" t="s">
        <v>999</v>
      </c>
      <c r="E45" s="309">
        <v>30</v>
      </c>
      <c r="F45" s="694"/>
      <c r="G45" s="694"/>
      <c r="H45" s="694">
        <v>20000</v>
      </c>
      <c r="I45" s="694"/>
      <c r="J45" s="695"/>
      <c r="K45" s="309"/>
      <c r="L45" s="309"/>
      <c r="M45" s="309" t="s">
        <v>1000</v>
      </c>
      <c r="N45" s="338"/>
      <c r="AC45" s="682" t="s">
        <v>590</v>
      </c>
    </row>
    <row r="46" spans="1:43" ht="12.75">
      <c r="A46" s="269">
        <v>13</v>
      </c>
      <c r="B46" s="961" t="s">
        <v>1003</v>
      </c>
      <c r="C46" s="144"/>
      <c r="D46" s="203"/>
      <c r="E46" s="230"/>
      <c r="F46" s="608"/>
      <c r="G46" s="608"/>
      <c r="H46" s="608"/>
      <c r="I46" s="999">
        <v>58968</v>
      </c>
      <c r="J46" s="609"/>
      <c r="K46" s="503"/>
      <c r="L46" s="503"/>
      <c r="M46" s="503"/>
      <c r="N46" s="486"/>
      <c r="AC46" s="696" t="e">
        <f>AB46/X46*100</f>
        <v>#DIV/0!</v>
      </c>
    </row>
    <row r="47" spans="1:43" ht="12.75">
      <c r="A47" s="269">
        <v>14</v>
      </c>
      <c r="B47" s="791" t="s">
        <v>1008</v>
      </c>
      <c r="C47" s="144"/>
      <c r="D47" s="203"/>
      <c r="E47" s="230"/>
      <c r="F47" s="608"/>
      <c r="G47" s="608"/>
      <c r="H47" s="608"/>
      <c r="I47" s="1001">
        <v>20600</v>
      </c>
      <c r="J47" s="609"/>
      <c r="K47" s="503"/>
      <c r="L47" s="503"/>
      <c r="M47" s="503"/>
      <c r="N47" s="682"/>
      <c r="AC47" s="14"/>
    </row>
    <row r="48" spans="1:43" ht="12.75">
      <c r="A48" s="2"/>
      <c r="B48" s="236" t="s">
        <v>177</v>
      </c>
      <c r="C48" s="6">
        <f>SUM(C34:C47)</f>
        <v>60</v>
      </c>
      <c r="D48" s="8"/>
      <c r="E48" s="618">
        <f>SUM(E34:E47)</f>
        <v>330</v>
      </c>
      <c r="F48" s="620"/>
      <c r="G48" s="620">
        <f t="shared" ref="G48:L48" si="2">SUM(G34:G47)</f>
        <v>388075.82</v>
      </c>
      <c r="H48" s="624">
        <f t="shared" si="2"/>
        <v>328075.82</v>
      </c>
      <c r="I48" s="626">
        <f t="shared" si="2"/>
        <v>189568</v>
      </c>
      <c r="J48" s="620">
        <f t="shared" si="2"/>
        <v>28000</v>
      </c>
      <c r="K48" s="1002">
        <f t="shared" si="2"/>
        <v>4000</v>
      </c>
      <c r="L48" s="1002">
        <f t="shared" si="2"/>
        <v>4000</v>
      </c>
      <c r="M48" s="809"/>
      <c r="N48" s="696">
        <f>M48/G48*100</f>
        <v>0</v>
      </c>
      <c r="AC48" s="33"/>
    </row>
    <row r="49" spans="1:29" ht="12.75">
      <c r="A49" s="14"/>
      <c r="B49" s="206"/>
      <c r="C49" s="198"/>
      <c r="D49" s="185"/>
      <c r="E49" s="557"/>
      <c r="F49" s="209"/>
      <c r="G49" s="209"/>
      <c r="H49" s="14"/>
      <c r="I49" s="14"/>
      <c r="J49" s="14"/>
      <c r="K49" s="743"/>
      <c r="L49" s="743"/>
      <c r="M49" s="559"/>
      <c r="N49" s="14"/>
      <c r="AC49" s="33"/>
    </row>
    <row r="50" spans="1:29" ht="63.75">
      <c r="A50" s="683" t="s">
        <v>5</v>
      </c>
      <c r="B50" s="931" t="s">
        <v>281</v>
      </c>
      <c r="C50" s="685" t="s">
        <v>159</v>
      </c>
      <c r="D50" s="686" t="s">
        <v>10</v>
      </c>
      <c r="E50" s="687" t="s">
        <v>243</v>
      </c>
      <c r="F50" s="688" t="s">
        <v>244</v>
      </c>
      <c r="G50" s="688" t="s">
        <v>245</v>
      </c>
      <c r="H50" s="689" t="s">
        <v>246</v>
      </c>
      <c r="I50" s="685" t="s">
        <v>532</v>
      </c>
      <c r="J50" s="690" t="s">
        <v>13</v>
      </c>
      <c r="K50" s="923" t="s">
        <v>891</v>
      </c>
      <c r="L50" s="923" t="s">
        <v>892</v>
      </c>
      <c r="M50" s="691" t="s">
        <v>162</v>
      </c>
      <c r="N50" s="14"/>
      <c r="AC50" s="33"/>
    </row>
    <row r="51" spans="1:29" ht="12.75">
      <c r="A51" s="269">
        <v>1</v>
      </c>
      <c r="B51" s="639" t="s">
        <v>135</v>
      </c>
      <c r="C51" s="260">
        <v>5</v>
      </c>
      <c r="D51" s="645" t="s">
        <v>926</v>
      </c>
      <c r="E51" s="642"/>
      <c r="F51" s="270">
        <v>30</v>
      </c>
      <c r="G51" s="150"/>
      <c r="H51" s="270">
        <v>22000</v>
      </c>
      <c r="I51" s="270"/>
      <c r="J51" s="237"/>
      <c r="K51" s="933"/>
      <c r="L51" s="933"/>
      <c r="M51" s="309" t="s">
        <v>148</v>
      </c>
      <c r="N51" s="779"/>
      <c r="AC51" s="303"/>
    </row>
    <row r="52" spans="1:29" ht="12.75">
      <c r="A52" s="269">
        <v>2</v>
      </c>
      <c r="B52" s="644" t="s">
        <v>23</v>
      </c>
      <c r="C52" s="260">
        <v>5</v>
      </c>
      <c r="D52" s="645" t="s">
        <v>926</v>
      </c>
      <c r="E52" s="642"/>
      <c r="F52" s="270">
        <v>30</v>
      </c>
      <c r="G52" s="150"/>
      <c r="H52" s="270">
        <v>24000</v>
      </c>
      <c r="I52" s="270">
        <v>24000</v>
      </c>
      <c r="J52" s="237"/>
      <c r="K52" s="726"/>
      <c r="L52" s="726"/>
      <c r="M52" s="726" t="s">
        <v>148</v>
      </c>
      <c r="N52" s="100"/>
      <c r="AC52" s="33"/>
    </row>
    <row r="53" spans="1:29" ht="12.75">
      <c r="A53" s="269">
        <v>3</v>
      </c>
      <c r="B53" s="970" t="s">
        <v>952</v>
      </c>
      <c r="C53" s="973">
        <v>5</v>
      </c>
      <c r="D53" s="975" t="s">
        <v>971</v>
      </c>
      <c r="E53" s="652"/>
      <c r="F53" s="653"/>
      <c r="G53" s="653"/>
      <c r="H53" s="270">
        <v>22800</v>
      </c>
      <c r="I53" s="654"/>
      <c r="J53" s="759" t="s">
        <v>275</v>
      </c>
      <c r="K53" s="978"/>
      <c r="L53" s="978"/>
      <c r="M53" s="978" t="s">
        <v>974</v>
      </c>
      <c r="N53" s="100"/>
    </row>
    <row r="54" spans="1:29" ht="12.75">
      <c r="A54" s="269">
        <v>4</v>
      </c>
      <c r="B54" s="644" t="s">
        <v>998</v>
      </c>
      <c r="C54" s="260">
        <v>10</v>
      </c>
      <c r="D54" s="645" t="s">
        <v>999</v>
      </c>
      <c r="E54" s="309">
        <v>30</v>
      </c>
      <c r="F54" s="237"/>
      <c r="G54" s="270"/>
      <c r="H54" s="270">
        <v>40000</v>
      </c>
      <c r="I54" s="237"/>
      <c r="J54" s="237"/>
      <c r="K54" s="934"/>
      <c r="L54" s="934"/>
      <c r="M54" s="934" t="s">
        <v>1000</v>
      </c>
      <c r="N54" s="100"/>
      <c r="AC54" s="14"/>
    </row>
    <row r="55" spans="1:29" ht="12.75">
      <c r="A55" s="269">
        <v>5</v>
      </c>
      <c r="B55" s="775" t="s">
        <v>1019</v>
      </c>
      <c r="C55" s="260">
        <v>5</v>
      </c>
      <c r="D55" s="645" t="s">
        <v>926</v>
      </c>
      <c r="E55" s="587">
        <v>180</v>
      </c>
      <c r="F55" s="270"/>
      <c r="G55" s="270"/>
      <c r="H55" s="270">
        <v>23800</v>
      </c>
      <c r="I55" s="150"/>
      <c r="J55" s="150"/>
      <c r="K55" s="934"/>
      <c r="L55" s="934"/>
      <c r="M55" s="934"/>
      <c r="N55" s="100"/>
      <c r="AC55" s="14"/>
    </row>
    <row r="56" spans="1:29" ht="12.75">
      <c r="A56" s="269">
        <v>6</v>
      </c>
      <c r="B56" s="639" t="s">
        <v>985</v>
      </c>
      <c r="C56" s="309">
        <v>5</v>
      </c>
      <c r="D56" s="982" t="s">
        <v>986</v>
      </c>
      <c r="E56" s="587"/>
      <c r="F56" s="658"/>
      <c r="G56" s="659"/>
      <c r="H56" s="660">
        <v>20000</v>
      </c>
      <c r="I56" s="642"/>
      <c r="J56" s="642"/>
      <c r="K56" s="309"/>
      <c r="L56" s="309"/>
      <c r="M56" s="309" t="s">
        <v>275</v>
      </c>
      <c r="N56" s="100"/>
      <c r="AC56" s="491"/>
    </row>
    <row r="57" spans="1:29" ht="12.75">
      <c r="A57" s="269">
        <v>7</v>
      </c>
      <c r="B57" s="639" t="s">
        <v>1023</v>
      </c>
      <c r="C57" s="309">
        <v>5</v>
      </c>
      <c r="D57" s="982" t="s">
        <v>991</v>
      </c>
      <c r="E57" s="587"/>
      <c r="F57" s="658"/>
      <c r="G57" s="659"/>
      <c r="H57" s="660">
        <v>23000</v>
      </c>
      <c r="I57" s="642"/>
      <c r="J57" s="309" t="s">
        <v>275</v>
      </c>
      <c r="K57" s="309">
        <v>4000</v>
      </c>
      <c r="L57" s="309">
        <v>4000</v>
      </c>
      <c r="M57" s="309"/>
      <c r="N57" s="100"/>
      <c r="AC57" s="14"/>
    </row>
    <row r="58" spans="1:29" ht="12.75">
      <c r="A58" s="269">
        <v>8</v>
      </c>
      <c r="B58" s="639" t="s">
        <v>1024</v>
      </c>
      <c r="C58" s="309">
        <v>5</v>
      </c>
      <c r="D58" s="982" t="s">
        <v>1025</v>
      </c>
      <c r="E58" s="587"/>
      <c r="F58" s="658"/>
      <c r="G58" s="659"/>
      <c r="H58" s="660"/>
      <c r="I58" s="642"/>
      <c r="J58" s="642"/>
      <c r="K58" s="309">
        <v>4000</v>
      </c>
      <c r="L58" s="309">
        <v>4000</v>
      </c>
      <c r="M58" s="309" t="s">
        <v>1026</v>
      </c>
      <c r="N58" s="100"/>
      <c r="AC58" s="14"/>
    </row>
    <row r="59" spans="1:29" ht="12.75">
      <c r="A59" s="269">
        <v>9</v>
      </c>
      <c r="B59" s="639" t="s">
        <v>1028</v>
      </c>
      <c r="C59" s="309"/>
      <c r="D59" s="657"/>
      <c r="E59" s="587"/>
      <c r="F59" s="658"/>
      <c r="G59" s="659"/>
      <c r="H59" s="660"/>
      <c r="I59" s="642"/>
      <c r="J59" s="642"/>
      <c r="K59" s="309">
        <v>4000</v>
      </c>
      <c r="L59" s="309">
        <v>4000</v>
      </c>
      <c r="M59" s="309" t="s">
        <v>1029</v>
      </c>
      <c r="N59" s="100"/>
      <c r="AC59" s="33" t="s">
        <v>581</v>
      </c>
    </row>
    <row r="60" spans="1:29" ht="12.75">
      <c r="A60" s="269">
        <v>10</v>
      </c>
      <c r="B60" s="1010" t="s">
        <v>1031</v>
      </c>
      <c r="C60" s="309"/>
      <c r="D60" s="657"/>
      <c r="E60" s="587"/>
      <c r="F60" s="658"/>
      <c r="G60" s="659"/>
      <c r="H60" s="660"/>
      <c r="I60" s="1011">
        <v>24838</v>
      </c>
      <c r="J60" s="642"/>
      <c r="K60" s="309"/>
      <c r="L60" s="309"/>
      <c r="M60" s="309"/>
      <c r="N60" s="100"/>
      <c r="AC60" s="33"/>
    </row>
    <row r="61" spans="1:29" ht="12.75">
      <c r="A61" s="269">
        <v>11</v>
      </c>
      <c r="B61" s="1012" t="s">
        <v>1035</v>
      </c>
      <c r="C61" s="1013"/>
      <c r="D61" s="1014" t="s">
        <v>1036</v>
      </c>
      <c r="E61" s="587">
        <v>45</v>
      </c>
      <c r="F61" s="658">
        <v>14</v>
      </c>
      <c r="G61" s="659"/>
      <c r="H61" s="660"/>
      <c r="I61" s="642"/>
      <c r="J61" s="642"/>
      <c r="K61" s="309"/>
      <c r="L61" s="309"/>
      <c r="M61" s="309"/>
      <c r="N61" s="100"/>
      <c r="AC61" s="792"/>
    </row>
    <row r="62" spans="1:29" ht="12.75">
      <c r="A62" s="269">
        <v>12</v>
      </c>
      <c r="B62" s="1010" t="s">
        <v>1042</v>
      </c>
      <c r="C62" s="309"/>
      <c r="D62" s="657"/>
      <c r="E62" s="587"/>
      <c r="F62" s="658"/>
      <c r="G62" s="659"/>
      <c r="H62" s="660"/>
      <c r="I62" s="1011">
        <v>139840</v>
      </c>
      <c r="J62" s="642"/>
      <c r="K62" s="309"/>
      <c r="L62" s="309"/>
      <c r="M62" s="309"/>
      <c r="N62" s="100"/>
      <c r="AC62" s="491"/>
    </row>
    <row r="63" spans="1:29" ht="12.75">
      <c r="A63" s="114"/>
      <c r="B63" s="236" t="s">
        <v>177</v>
      </c>
      <c r="C63" s="6">
        <f>SUM(C51:C62)</f>
        <v>45</v>
      </c>
      <c r="D63" s="8"/>
      <c r="E63" s="532">
        <f>SUM(E49:E62)</f>
        <v>255</v>
      </c>
      <c r="F63" s="620"/>
      <c r="G63" s="620">
        <f>SUM(G49:G62)</f>
        <v>0</v>
      </c>
      <c r="H63" s="624">
        <f t="shared" ref="H63:L63" si="3">SUM(H51:H62)</f>
        <v>175600</v>
      </c>
      <c r="I63" s="626">
        <f t="shared" si="3"/>
        <v>188678</v>
      </c>
      <c r="J63" s="620">
        <f t="shared" si="3"/>
        <v>0</v>
      </c>
      <c r="K63" s="987">
        <f t="shared" si="3"/>
        <v>12000</v>
      </c>
      <c r="L63" s="987">
        <f t="shared" si="3"/>
        <v>12000</v>
      </c>
      <c r="M63" s="809"/>
      <c r="N63" s="265"/>
      <c r="O63" s="681"/>
      <c r="AC63" s="491"/>
    </row>
    <row r="64" spans="1:29" ht="12.75">
      <c r="A64" s="114"/>
      <c r="B64" s="940"/>
      <c r="C64" s="734"/>
      <c r="D64" s="731"/>
      <c r="E64" s="732"/>
      <c r="F64" s="733"/>
      <c r="G64" s="737"/>
      <c r="H64" s="703"/>
      <c r="I64" s="704"/>
      <c r="J64" s="704"/>
      <c r="K64" s="734"/>
      <c r="L64" s="734"/>
      <c r="M64" s="734"/>
      <c r="N64" s="265"/>
      <c r="O64" s="681"/>
      <c r="AC64" s="491"/>
    </row>
    <row r="65" spans="1:29" ht="63.75">
      <c r="A65" s="683" t="s">
        <v>5</v>
      </c>
      <c r="B65" s="1020" t="s">
        <v>913</v>
      </c>
      <c r="C65" s="685" t="s">
        <v>159</v>
      </c>
      <c r="D65" s="686" t="s">
        <v>10</v>
      </c>
      <c r="E65" s="687" t="s">
        <v>243</v>
      </c>
      <c r="F65" s="688" t="s">
        <v>244</v>
      </c>
      <c r="G65" s="688" t="s">
        <v>245</v>
      </c>
      <c r="H65" s="689" t="s">
        <v>246</v>
      </c>
      <c r="I65" s="685" t="s">
        <v>532</v>
      </c>
      <c r="J65" s="690" t="s">
        <v>13</v>
      </c>
      <c r="K65" s="531" t="s">
        <v>891</v>
      </c>
      <c r="L65" s="531" t="s">
        <v>892</v>
      </c>
      <c r="M65" s="691" t="s">
        <v>162</v>
      </c>
      <c r="N65" s="14"/>
      <c r="AC65" s="33"/>
    </row>
    <row r="66" spans="1:29" ht="12.75">
      <c r="A66" s="139">
        <v>1</v>
      </c>
      <c r="B66" s="796" t="s">
        <v>1023</v>
      </c>
      <c r="C66" s="144">
        <v>5</v>
      </c>
      <c r="D66" s="757" t="s">
        <v>991</v>
      </c>
      <c r="E66" s="693"/>
      <c r="F66" s="103"/>
      <c r="G66" s="608"/>
      <c r="H66" s="694">
        <v>14000</v>
      </c>
      <c r="I66" s="144"/>
      <c r="J66" s="144" t="s">
        <v>275</v>
      </c>
      <c r="K66" s="230">
        <v>4000</v>
      </c>
      <c r="L66" s="230">
        <v>4000</v>
      </c>
      <c r="M66" s="230"/>
      <c r="N66" s="144"/>
      <c r="O66" s="499"/>
      <c r="AC66" s="867"/>
    </row>
    <row r="67" spans="1:29" ht="12.75">
      <c r="A67" s="139">
        <v>2</v>
      </c>
      <c r="B67" s="805" t="s">
        <v>450</v>
      </c>
      <c r="C67" s="144">
        <v>5</v>
      </c>
      <c r="D67" s="463" t="s">
        <v>957</v>
      </c>
      <c r="E67" s="693">
        <v>60</v>
      </c>
      <c r="F67" s="103"/>
      <c r="G67" s="608"/>
      <c r="H67" s="694">
        <v>16000</v>
      </c>
      <c r="I67" s="144">
        <v>16000</v>
      </c>
      <c r="J67" s="144"/>
      <c r="K67" s="230"/>
      <c r="L67" s="230"/>
      <c r="M67" s="230"/>
      <c r="N67" s="144" t="s">
        <v>903</v>
      </c>
      <c r="O67" s="499"/>
      <c r="AC67" s="792"/>
    </row>
    <row r="68" spans="1:29" ht="12.75">
      <c r="A68" s="134">
        <v>3</v>
      </c>
      <c r="B68" s="908" t="s">
        <v>617</v>
      </c>
      <c r="C68" s="144">
        <v>5</v>
      </c>
      <c r="D68" s="144" t="s">
        <v>987</v>
      </c>
      <c r="E68" s="693"/>
      <c r="F68" s="103">
        <v>31</v>
      </c>
      <c r="G68" s="608"/>
      <c r="H68" s="694">
        <v>17500</v>
      </c>
      <c r="I68" s="144"/>
      <c r="J68" s="144">
        <v>17500</v>
      </c>
      <c r="K68" s="295"/>
      <c r="L68" s="295"/>
      <c r="M68" s="295" t="s">
        <v>619</v>
      </c>
      <c r="N68" s="144" t="s">
        <v>988</v>
      </c>
      <c r="O68" s="33"/>
      <c r="AC68" s="898"/>
    </row>
    <row r="69" spans="1:29" ht="12.75">
      <c r="A69" s="139">
        <v>4</v>
      </c>
      <c r="B69" s="805" t="s">
        <v>927</v>
      </c>
      <c r="C69" s="144">
        <v>5</v>
      </c>
      <c r="D69" s="144" t="s">
        <v>926</v>
      </c>
      <c r="E69" s="693">
        <v>180</v>
      </c>
      <c r="F69" s="103">
        <v>31</v>
      </c>
      <c r="G69" s="608"/>
      <c r="H69" s="694">
        <v>14000</v>
      </c>
      <c r="I69" s="144">
        <v>14000</v>
      </c>
      <c r="J69" s="100"/>
      <c r="K69" s="520"/>
      <c r="L69" s="520"/>
      <c r="M69" s="520" t="s">
        <v>675</v>
      </c>
      <c r="N69" s="144" t="s">
        <v>768</v>
      </c>
      <c r="O69" s="499"/>
      <c r="AC69" s="496"/>
    </row>
    <row r="70" spans="1:29" ht="12.75">
      <c r="A70" s="139">
        <v>5</v>
      </c>
      <c r="B70" s="692" t="s">
        <v>1059</v>
      </c>
      <c r="C70" s="144">
        <v>5</v>
      </c>
      <c r="D70" s="144" t="s">
        <v>1060</v>
      </c>
      <c r="E70" s="693"/>
      <c r="F70" s="103"/>
      <c r="G70" s="608"/>
      <c r="H70" s="694">
        <v>9537.5</v>
      </c>
      <c r="I70" s="100"/>
      <c r="J70" s="100"/>
      <c r="K70" s="230"/>
      <c r="L70" s="230"/>
      <c r="M70" s="230"/>
      <c r="N70" s="144" t="s">
        <v>768</v>
      </c>
      <c r="O70" s="499"/>
      <c r="AC70" s="682"/>
    </row>
    <row r="71" spans="1:29" ht="12.75">
      <c r="A71" s="139">
        <v>6</v>
      </c>
      <c r="B71" s="805" t="s">
        <v>461</v>
      </c>
      <c r="C71" s="144">
        <v>5</v>
      </c>
      <c r="D71" s="144" t="s">
        <v>1061</v>
      </c>
      <c r="E71" s="693">
        <v>365</v>
      </c>
      <c r="F71" s="103">
        <v>31</v>
      </c>
      <c r="G71" s="608">
        <v>14000</v>
      </c>
      <c r="H71" s="694">
        <v>14000</v>
      </c>
      <c r="I71" s="144"/>
      <c r="J71" s="144">
        <v>28000</v>
      </c>
      <c r="K71" s="230"/>
      <c r="L71" s="230"/>
      <c r="M71" s="230" t="s">
        <v>784</v>
      </c>
      <c r="N71" s="144"/>
      <c r="O71" s="499"/>
      <c r="AC71" s="696" t="e">
        <f>AB71/X71*100</f>
        <v>#DIV/0!</v>
      </c>
    </row>
    <row r="72" spans="1:29" ht="12.75">
      <c r="A72" s="139">
        <v>7</v>
      </c>
      <c r="B72" s="692" t="s">
        <v>773</v>
      </c>
      <c r="C72" s="144">
        <v>5</v>
      </c>
      <c r="D72" s="144" t="s">
        <v>1062</v>
      </c>
      <c r="E72" s="693">
        <v>180</v>
      </c>
      <c r="F72" s="258">
        <v>31</v>
      </c>
      <c r="G72" s="609"/>
      <c r="H72" s="608">
        <v>14000</v>
      </c>
      <c r="I72" s="144">
        <v>14000</v>
      </c>
      <c r="J72" s="100"/>
      <c r="K72" s="230"/>
      <c r="L72" s="230"/>
      <c r="M72" s="230" t="s">
        <v>775</v>
      </c>
      <c r="N72" s="144" t="s">
        <v>823</v>
      </c>
      <c r="O72" s="499"/>
      <c r="AC72" s="14"/>
    </row>
    <row r="73" spans="1:29" ht="25.5">
      <c r="A73" s="139">
        <v>8</v>
      </c>
      <c r="B73" s="805" t="s">
        <v>134</v>
      </c>
      <c r="C73" s="144">
        <v>5</v>
      </c>
      <c r="D73" s="715" t="s">
        <v>926</v>
      </c>
      <c r="E73" s="693" t="s">
        <v>534</v>
      </c>
      <c r="F73" s="144">
        <v>31</v>
      </c>
      <c r="G73" s="538">
        <v>363000</v>
      </c>
      <c r="H73" s="538">
        <v>33000</v>
      </c>
      <c r="I73" s="144">
        <v>33000</v>
      </c>
      <c r="J73" s="100"/>
      <c r="K73" s="230"/>
      <c r="L73" s="230"/>
      <c r="M73" s="230" t="s">
        <v>535</v>
      </c>
      <c r="N73" s="144" t="s">
        <v>581</v>
      </c>
      <c r="O73" s="499"/>
      <c r="AC73" s="14"/>
    </row>
    <row r="74" spans="1:29" ht="12.75">
      <c r="A74" s="139">
        <v>9</v>
      </c>
      <c r="B74" s="908" t="s">
        <v>1063</v>
      </c>
      <c r="C74" s="144">
        <v>10</v>
      </c>
      <c r="D74" s="230" t="s">
        <v>926</v>
      </c>
      <c r="E74" s="587"/>
      <c r="F74" s="270"/>
      <c r="G74" s="700"/>
      <c r="H74" s="533">
        <v>19075</v>
      </c>
      <c r="I74" s="59"/>
      <c r="J74" s="144"/>
      <c r="K74" s="309"/>
      <c r="L74" s="309"/>
      <c r="M74" s="309" t="s">
        <v>1064</v>
      </c>
      <c r="N74" s="144" t="s">
        <v>768</v>
      </c>
      <c r="O74" s="499"/>
      <c r="AC74" s="451"/>
    </row>
    <row r="75" spans="1:29" ht="12.75">
      <c r="A75" s="134">
        <v>10</v>
      </c>
      <c r="B75" s="308" t="s">
        <v>936</v>
      </c>
      <c r="C75" s="59">
        <v>5</v>
      </c>
      <c r="D75" s="477" t="s">
        <v>926</v>
      </c>
      <c r="E75" s="537">
        <v>30</v>
      </c>
      <c r="F75" s="223">
        <v>30</v>
      </c>
      <c r="G75" s="533">
        <v>20000</v>
      </c>
      <c r="H75" s="533">
        <v>20000</v>
      </c>
      <c r="I75" s="270">
        <v>20000</v>
      </c>
      <c r="J75" s="220"/>
      <c r="K75" s="537"/>
      <c r="L75" s="537"/>
      <c r="M75" s="888"/>
      <c r="N75" s="682"/>
      <c r="O75" s="499"/>
      <c r="AC75" s="14"/>
    </row>
    <row r="76" spans="1:29" ht="12.75">
      <c r="A76" s="134">
        <v>11</v>
      </c>
      <c r="B76" s="236" t="s">
        <v>1005</v>
      </c>
      <c r="C76" s="144">
        <v>5</v>
      </c>
      <c r="D76" s="45" t="s">
        <v>1006</v>
      </c>
      <c r="E76" s="537"/>
      <c r="F76" s="223"/>
      <c r="G76" s="533"/>
      <c r="H76" s="877">
        <v>15000</v>
      </c>
      <c r="I76" s="778"/>
      <c r="J76" s="498"/>
      <c r="K76" s="520"/>
      <c r="L76" s="520"/>
      <c r="M76" s="917" t="s">
        <v>1007</v>
      </c>
      <c r="N76" s="810"/>
      <c r="O76" s="499"/>
      <c r="AC76" s="14"/>
    </row>
    <row r="77" spans="1:29" ht="12.75">
      <c r="A77" s="134">
        <v>12</v>
      </c>
      <c r="B77" s="497" t="s">
        <v>948</v>
      </c>
      <c r="C77" s="144">
        <v>5</v>
      </c>
      <c r="D77" s="45" t="s">
        <v>950</v>
      </c>
      <c r="E77" s="618"/>
      <c r="F77" s="220"/>
      <c r="G77" s="620"/>
      <c r="H77" s="538">
        <v>16000</v>
      </c>
      <c r="I77" s="778"/>
      <c r="J77" s="498"/>
      <c r="K77" s="1000"/>
      <c r="L77" s="1000"/>
      <c r="M77" s="878"/>
      <c r="N77" s="696"/>
      <c r="O77" s="499"/>
      <c r="AC77" s="14"/>
    </row>
    <row r="78" spans="1:29" ht="12.75">
      <c r="A78" s="134">
        <v>13</v>
      </c>
      <c r="B78" s="431" t="s">
        <v>925</v>
      </c>
      <c r="C78" s="806"/>
      <c r="D78" s="45"/>
      <c r="E78" s="537"/>
      <c r="F78" s="223"/>
      <c r="G78" s="620"/>
      <c r="H78" s="538"/>
      <c r="I78" s="778"/>
      <c r="J78" s="498"/>
      <c r="K78" s="520"/>
      <c r="L78" s="520"/>
      <c r="M78" s="917"/>
      <c r="N78" s="810"/>
      <c r="O78" s="499"/>
      <c r="AC78" s="14"/>
    </row>
    <row r="79" spans="1:29" ht="12.75">
      <c r="A79" s="134">
        <v>14</v>
      </c>
      <c r="B79" s="497" t="s">
        <v>978</v>
      </c>
      <c r="C79" s="806">
        <v>5</v>
      </c>
      <c r="D79" s="45" t="s">
        <v>992</v>
      </c>
      <c r="E79" s="537"/>
      <c r="F79" s="223"/>
      <c r="G79" s="533"/>
      <c r="H79" s="538">
        <v>16000</v>
      </c>
      <c r="I79" s="778"/>
      <c r="J79" s="880"/>
      <c r="K79" s="878"/>
      <c r="L79" s="878"/>
      <c r="M79" s="878"/>
      <c r="N79" s="810"/>
      <c r="O79" s="499"/>
      <c r="AC79" s="14"/>
    </row>
    <row r="80" spans="1:29" ht="12.75">
      <c r="A80" s="132"/>
      <c r="B80" s="236" t="s">
        <v>177</v>
      </c>
      <c r="C80" s="769">
        <f>SUM(C66:C79)</f>
        <v>70</v>
      </c>
      <c r="D80" s="8"/>
      <c r="E80" s="532">
        <f>SUM(E55:E79)</f>
        <v>1295</v>
      </c>
      <c r="F80" s="220"/>
      <c r="G80" s="620">
        <f t="shared" ref="G80:I80" si="4">SUM(G66:G79)</f>
        <v>397000</v>
      </c>
      <c r="H80" s="701">
        <f t="shared" si="4"/>
        <v>218112.5</v>
      </c>
      <c r="I80" s="958">
        <f t="shared" si="4"/>
        <v>97000</v>
      </c>
      <c r="J80" s="220">
        <f t="shared" ref="J80:L80" si="5">SUM(J66:J75)</f>
        <v>45500</v>
      </c>
      <c r="K80" s="1034">
        <f t="shared" si="5"/>
        <v>4000</v>
      </c>
      <c r="L80" s="1034">
        <f t="shared" si="5"/>
        <v>4000</v>
      </c>
      <c r="M80" s="809"/>
      <c r="N80" s="696">
        <f>M80/G80*100</f>
        <v>0</v>
      </c>
      <c r="O80" s="499"/>
      <c r="AC80" s="14"/>
    </row>
    <row r="81" spans="1:43" ht="12.75">
      <c r="A81" s="702"/>
      <c r="B81" s="811"/>
      <c r="C81" s="673"/>
      <c r="D81" s="812"/>
      <c r="E81" s="675"/>
      <c r="F81" s="676"/>
      <c r="G81" s="677"/>
      <c r="H81" s="703"/>
      <c r="I81" s="704"/>
      <c r="J81" s="220"/>
      <c r="K81" s="673"/>
      <c r="L81" s="673"/>
      <c r="M81" s="309"/>
      <c r="N81" s="265"/>
      <c r="O81" s="681"/>
      <c r="AC81" s="14"/>
    </row>
    <row r="82" spans="1:43" ht="63.75">
      <c r="A82" s="683" t="s">
        <v>5</v>
      </c>
      <c r="B82" s="964" t="s">
        <v>934</v>
      </c>
      <c r="C82" s="685" t="s">
        <v>159</v>
      </c>
      <c r="D82" s="686" t="s">
        <v>10</v>
      </c>
      <c r="E82" s="687" t="s">
        <v>243</v>
      </c>
      <c r="F82" s="688" t="s">
        <v>244</v>
      </c>
      <c r="G82" s="688" t="s">
        <v>245</v>
      </c>
      <c r="H82" s="689" t="s">
        <v>246</v>
      </c>
      <c r="I82" s="525" t="s">
        <v>532</v>
      </c>
      <c r="J82" s="690" t="s">
        <v>13</v>
      </c>
      <c r="K82" s="923" t="s">
        <v>891</v>
      </c>
      <c r="L82" s="923" t="s">
        <v>892</v>
      </c>
      <c r="M82" s="691" t="s">
        <v>162</v>
      </c>
      <c r="N82" s="100"/>
      <c r="AC82" s="14"/>
    </row>
    <row r="83" spans="1:43" ht="12.75">
      <c r="A83" s="139">
        <v>1</v>
      </c>
      <c r="B83" s="639" t="s">
        <v>134</v>
      </c>
      <c r="C83" s="260">
        <v>5</v>
      </c>
      <c r="D83" s="645" t="s">
        <v>926</v>
      </c>
      <c r="E83" s="642"/>
      <c r="F83" s="270">
        <v>31</v>
      </c>
      <c r="G83" s="260">
        <v>14000</v>
      </c>
      <c r="H83" s="270">
        <v>14000</v>
      </c>
      <c r="I83" s="270">
        <v>14000</v>
      </c>
      <c r="J83" s="237"/>
      <c r="K83" s="933"/>
      <c r="L83" s="933"/>
      <c r="M83" s="933"/>
      <c r="N83" s="100"/>
      <c r="AC83" s="14"/>
    </row>
    <row r="84" spans="1:43" ht="12.75">
      <c r="A84" s="139">
        <v>2</v>
      </c>
      <c r="B84" s="644" t="s">
        <v>1015</v>
      </c>
      <c r="C84" s="260">
        <v>5</v>
      </c>
      <c r="D84" s="645" t="s">
        <v>1016</v>
      </c>
      <c r="E84" s="642"/>
      <c r="F84" s="237"/>
      <c r="G84" s="150"/>
      <c r="H84" s="270">
        <v>16000</v>
      </c>
      <c r="I84" s="270">
        <v>32000</v>
      </c>
      <c r="J84" s="237"/>
      <c r="K84" s="934"/>
      <c r="L84" s="934"/>
      <c r="M84" s="934"/>
      <c r="N84" s="100"/>
      <c r="AC84" s="14"/>
    </row>
    <row r="85" spans="1:43" ht="12.75">
      <c r="A85" s="868">
        <v>3</v>
      </c>
      <c r="B85" s="1035" t="s">
        <v>1017</v>
      </c>
      <c r="C85" s="1036">
        <v>5</v>
      </c>
      <c r="D85" s="1037" t="s">
        <v>950</v>
      </c>
      <c r="E85" s="1038"/>
      <c r="F85" s="1039"/>
      <c r="G85" s="1039"/>
      <c r="H85" s="1040">
        <v>18000</v>
      </c>
      <c r="I85" s="1041"/>
      <c r="J85" s="1039"/>
      <c r="K85" s="1042"/>
      <c r="L85" s="1042"/>
      <c r="M85" s="1042"/>
      <c r="N85" s="1043"/>
      <c r="O85" s="977"/>
      <c r="P85" s="977"/>
      <c r="Q85" s="977"/>
      <c r="R85" s="977"/>
      <c r="S85" s="977"/>
      <c r="T85" s="977"/>
      <c r="U85" s="977"/>
      <c r="V85" s="977"/>
      <c r="W85" s="977"/>
      <c r="X85" s="977"/>
      <c r="Y85" s="977"/>
      <c r="Z85" s="977"/>
      <c r="AA85" s="977"/>
      <c r="AB85" s="977"/>
      <c r="AC85" s="1044"/>
      <c r="AD85" s="977"/>
      <c r="AE85" s="977"/>
      <c r="AF85" s="977"/>
      <c r="AG85" s="977"/>
      <c r="AH85" s="977"/>
      <c r="AI85" s="977"/>
      <c r="AJ85" s="977"/>
      <c r="AK85" s="977"/>
      <c r="AL85" s="977"/>
      <c r="AM85" s="977"/>
      <c r="AN85" s="977"/>
      <c r="AO85" s="977"/>
      <c r="AP85" s="977"/>
      <c r="AQ85" s="977"/>
    </row>
    <row r="86" spans="1:43" ht="12.75">
      <c r="A86" s="139">
        <v>4</v>
      </c>
      <c r="B86" s="644" t="s">
        <v>1020</v>
      </c>
      <c r="C86" s="260">
        <v>5</v>
      </c>
      <c r="D86" s="260" t="s">
        <v>1082</v>
      </c>
      <c r="E86" s="642"/>
      <c r="F86" s="237"/>
      <c r="G86" s="270"/>
      <c r="H86" s="270">
        <v>18000</v>
      </c>
      <c r="I86" s="237"/>
      <c r="J86" s="270" t="s">
        <v>275</v>
      </c>
      <c r="K86" s="934"/>
      <c r="L86" s="934"/>
      <c r="M86" s="934"/>
      <c r="N86" s="100"/>
      <c r="AC86" s="265"/>
      <c r="AD86" s="681"/>
    </row>
    <row r="87" spans="1:43" ht="12.75">
      <c r="A87" s="139">
        <v>5</v>
      </c>
      <c r="B87" s="775" t="s">
        <v>1083</v>
      </c>
      <c r="C87" s="260">
        <v>5</v>
      </c>
      <c r="D87" s="645" t="s">
        <v>926</v>
      </c>
      <c r="E87" s="587"/>
      <c r="F87" s="270"/>
      <c r="G87" s="270"/>
      <c r="H87" s="237"/>
      <c r="I87" s="150"/>
      <c r="J87" s="150"/>
      <c r="K87" s="934"/>
      <c r="L87" s="934"/>
      <c r="M87" s="934"/>
      <c r="N87" s="100"/>
      <c r="AC87" s="14"/>
    </row>
    <row r="88" spans="1:43" ht="12.75">
      <c r="A88" s="1043">
        <v>6</v>
      </c>
      <c r="B88" s="906" t="s">
        <v>946</v>
      </c>
      <c r="C88" s="870">
        <v>6</v>
      </c>
      <c r="D88" s="1046" t="s">
        <v>949</v>
      </c>
      <c r="E88" s="1047"/>
      <c r="F88" s="1048"/>
      <c r="G88" s="1049">
        <v>32000</v>
      </c>
      <c r="H88" s="1050">
        <v>16000</v>
      </c>
      <c r="I88" s="870"/>
      <c r="J88" s="1051"/>
      <c r="K88" s="870"/>
      <c r="L88" s="870"/>
      <c r="M88" s="870" t="s">
        <v>951</v>
      </c>
      <c r="N88" s="868" t="s">
        <v>903</v>
      </c>
      <c r="O88" s="977"/>
      <c r="P88" s="977"/>
      <c r="Q88" s="977"/>
      <c r="R88" s="977"/>
      <c r="S88" s="977"/>
      <c r="T88" s="977"/>
      <c r="U88" s="977"/>
      <c r="V88" s="977"/>
      <c r="W88" s="977"/>
      <c r="X88" s="977"/>
      <c r="Y88" s="977"/>
      <c r="Z88" s="977"/>
      <c r="AA88" s="977"/>
      <c r="AB88" s="977"/>
      <c r="AC88" s="1052" t="s">
        <v>779</v>
      </c>
      <c r="AD88" s="1053"/>
      <c r="AE88" s="977"/>
      <c r="AF88" s="977"/>
      <c r="AG88" s="977"/>
      <c r="AH88" s="977"/>
      <c r="AI88" s="977"/>
      <c r="AJ88" s="977"/>
      <c r="AK88" s="977"/>
      <c r="AL88" s="977"/>
      <c r="AM88" s="977"/>
      <c r="AN88" s="977"/>
      <c r="AO88" s="977"/>
      <c r="AP88" s="977"/>
      <c r="AQ88" s="977"/>
    </row>
    <row r="89" spans="1:43" ht="12.75">
      <c r="A89" s="139">
        <v>7</v>
      </c>
      <c r="B89" s="775" t="s">
        <v>998</v>
      </c>
      <c r="C89" s="309">
        <v>5</v>
      </c>
      <c r="D89" s="982" t="s">
        <v>999</v>
      </c>
      <c r="E89" s="587">
        <v>30</v>
      </c>
      <c r="F89" s="658"/>
      <c r="G89" s="659"/>
      <c r="H89" s="660">
        <v>22000</v>
      </c>
      <c r="I89" s="642"/>
      <c r="J89" s="642"/>
      <c r="K89" s="309"/>
      <c r="L89" s="309"/>
      <c r="M89" s="309" t="s">
        <v>1000</v>
      </c>
      <c r="N89" s="100"/>
      <c r="AC89" s="33"/>
      <c r="AD89" s="499"/>
    </row>
    <row r="90" spans="1:43" ht="12.75">
      <c r="A90" s="139">
        <v>8</v>
      </c>
      <c r="B90" s="639" t="s">
        <v>29</v>
      </c>
      <c r="C90" s="309">
        <v>5</v>
      </c>
      <c r="D90" s="982" t="s">
        <v>926</v>
      </c>
      <c r="E90" s="587"/>
      <c r="F90" s="658"/>
      <c r="G90" s="659">
        <v>14000</v>
      </c>
      <c r="H90" s="660">
        <v>14000</v>
      </c>
      <c r="I90" s="309"/>
      <c r="J90" s="642"/>
      <c r="K90" s="309"/>
      <c r="L90" s="309"/>
      <c r="M90" s="309"/>
      <c r="N90" s="100"/>
      <c r="AC90" s="33" t="s">
        <v>805</v>
      </c>
      <c r="AD90" s="33"/>
    </row>
    <row r="91" spans="1:43" ht="12.75">
      <c r="A91" s="139">
        <v>9</v>
      </c>
      <c r="B91" s="639" t="s">
        <v>1005</v>
      </c>
      <c r="C91" s="309">
        <v>5</v>
      </c>
      <c r="D91" s="982" t="s">
        <v>1033</v>
      </c>
      <c r="E91" s="587"/>
      <c r="F91" s="658"/>
      <c r="G91" s="659"/>
      <c r="H91" s="660">
        <v>14500</v>
      </c>
      <c r="I91" s="642"/>
      <c r="J91" s="642"/>
      <c r="K91" s="309"/>
      <c r="L91" s="309"/>
      <c r="M91" s="309" t="s">
        <v>1007</v>
      </c>
      <c r="N91" s="100"/>
      <c r="AC91" s="33"/>
      <c r="AD91" s="499"/>
    </row>
    <row r="92" spans="1:43" ht="12.75">
      <c r="A92" s="134">
        <v>10</v>
      </c>
      <c r="B92" s="639" t="s">
        <v>978</v>
      </c>
      <c r="C92" s="309">
        <v>5</v>
      </c>
      <c r="D92" s="982" t="s">
        <v>992</v>
      </c>
      <c r="E92" s="587"/>
      <c r="F92" s="658"/>
      <c r="G92" s="659"/>
      <c r="H92" s="660">
        <v>18000</v>
      </c>
      <c r="I92" s="642"/>
      <c r="J92" s="642"/>
      <c r="K92" s="309"/>
      <c r="L92" s="309"/>
      <c r="M92" s="309"/>
      <c r="N92" s="100"/>
      <c r="AC92" s="14"/>
      <c r="AD92" s="499"/>
    </row>
    <row r="93" spans="1:43" ht="25.5">
      <c r="A93" s="134">
        <v>11</v>
      </c>
      <c r="B93" s="639" t="s">
        <v>1038</v>
      </c>
      <c r="C93" s="309">
        <v>5</v>
      </c>
      <c r="D93" s="982" t="s">
        <v>1039</v>
      </c>
      <c r="E93" s="587"/>
      <c r="F93" s="658"/>
      <c r="G93" s="659">
        <v>40200</v>
      </c>
      <c r="H93" s="660">
        <v>15000</v>
      </c>
      <c r="I93" s="309"/>
      <c r="J93" s="642"/>
      <c r="K93" s="309"/>
      <c r="L93" s="309"/>
      <c r="M93" s="309" t="s">
        <v>1040</v>
      </c>
      <c r="N93" s="144" t="s">
        <v>1041</v>
      </c>
      <c r="AC93" s="33"/>
      <c r="AD93" s="499"/>
    </row>
    <row r="94" spans="1:43" ht="12.75">
      <c r="A94" s="134">
        <v>12</v>
      </c>
      <c r="B94" s="775" t="s">
        <v>1043</v>
      </c>
      <c r="C94" s="309">
        <v>5</v>
      </c>
      <c r="D94" s="982" t="s">
        <v>1044</v>
      </c>
      <c r="E94" s="587"/>
      <c r="F94" s="658"/>
      <c r="G94" s="659"/>
      <c r="H94" s="660">
        <v>18000</v>
      </c>
      <c r="I94" s="309">
        <v>18000</v>
      </c>
      <c r="J94" s="642"/>
      <c r="K94" s="309">
        <v>5500</v>
      </c>
      <c r="L94" s="309">
        <v>5500</v>
      </c>
      <c r="M94" s="309"/>
      <c r="N94" s="144" t="s">
        <v>675</v>
      </c>
      <c r="AC94" s="33" t="s">
        <v>823</v>
      </c>
      <c r="AD94" s="499"/>
    </row>
    <row r="95" spans="1:43" ht="12.75">
      <c r="A95" s="260"/>
      <c r="B95" s="323" t="s">
        <v>177</v>
      </c>
      <c r="C95" s="161">
        <f>SUM(C83:C94)</f>
        <v>61</v>
      </c>
      <c r="D95" s="109"/>
      <c r="E95" s="552">
        <f>SUM(E70:E94)</f>
        <v>1900</v>
      </c>
      <c r="F95" s="233"/>
      <c r="G95" s="609">
        <f t="shared" ref="G95:H95" si="6">SUM(G81:G94)</f>
        <v>100200</v>
      </c>
      <c r="H95" s="1019">
        <f t="shared" si="6"/>
        <v>183500</v>
      </c>
      <c r="I95" s="1056">
        <f>SUM(I83:I94)</f>
        <v>64000</v>
      </c>
      <c r="J95" s="233">
        <f>SUM(J83:J90)</f>
        <v>0</v>
      </c>
      <c r="K95" s="238">
        <f t="shared" ref="K95:L95" si="7">SUM(K83:K94)</f>
        <v>5500</v>
      </c>
      <c r="L95" s="238">
        <f t="shared" si="7"/>
        <v>5500</v>
      </c>
      <c r="M95" s="988"/>
      <c r="N95" s="150"/>
      <c r="O95" s="681"/>
      <c r="AC95" s="33"/>
      <c r="AD95" s="499"/>
    </row>
    <row r="96" spans="1:43" ht="12.75">
      <c r="A96" s="341"/>
      <c r="B96" s="1058" t="s">
        <v>1091</v>
      </c>
      <c r="C96" s="707"/>
      <c r="D96" s="708"/>
      <c r="E96" s="709"/>
      <c r="F96" s="710"/>
      <c r="G96" s="711"/>
      <c r="H96" s="712"/>
      <c r="I96" s="707">
        <v>20000</v>
      </c>
      <c r="J96" s="713"/>
      <c r="K96" s="734">
        <v>4000</v>
      </c>
      <c r="L96" s="734">
        <v>4000</v>
      </c>
      <c r="M96" s="734"/>
      <c r="N96" s="265"/>
      <c r="O96" s="681"/>
      <c r="AC96" s="33"/>
      <c r="AD96" s="499"/>
    </row>
    <row r="97" spans="1:30" ht="12.75">
      <c r="A97" s="341"/>
      <c r="B97" s="1061"/>
      <c r="C97" s="707"/>
      <c r="D97" s="708"/>
      <c r="E97" s="709"/>
      <c r="F97" s="710"/>
      <c r="G97" s="711"/>
      <c r="H97" s="712"/>
      <c r="I97" s="707"/>
      <c r="J97" s="713"/>
      <c r="K97" s="734"/>
      <c r="L97" s="734"/>
      <c r="M97" s="734"/>
      <c r="N97" s="265"/>
      <c r="O97" s="681"/>
      <c r="AC97" s="33" t="s">
        <v>581</v>
      </c>
      <c r="AD97" s="499"/>
    </row>
    <row r="98" spans="1:30" ht="63.75">
      <c r="A98" s="269"/>
      <c r="B98" s="941" t="s">
        <v>964</v>
      </c>
      <c r="C98" s="217"/>
      <c r="D98" s="129" t="s">
        <v>10</v>
      </c>
      <c r="E98" s="288" t="s">
        <v>243</v>
      </c>
      <c r="F98" s="289" t="s">
        <v>244</v>
      </c>
      <c r="G98" s="290" t="s">
        <v>245</v>
      </c>
      <c r="H98" s="291" t="s">
        <v>246</v>
      </c>
      <c r="I98" s="716" t="s">
        <v>532</v>
      </c>
      <c r="J98" s="22" t="s">
        <v>13</v>
      </c>
      <c r="K98" s="923" t="s">
        <v>891</v>
      </c>
      <c r="L98" s="923" t="s">
        <v>892</v>
      </c>
      <c r="M98" s="741" t="s">
        <v>162</v>
      </c>
      <c r="N98" s="265"/>
      <c r="O98" s="681"/>
      <c r="AC98" s="33"/>
      <c r="AD98" s="499"/>
    </row>
    <row r="99" spans="1:30" ht="12.75">
      <c r="A99" s="100">
        <v>1</v>
      </c>
      <c r="B99" s="775" t="s">
        <v>1057</v>
      </c>
      <c r="C99" s="144"/>
      <c r="D99" s="203" t="s">
        <v>1099</v>
      </c>
      <c r="E99" s="693">
        <v>90</v>
      </c>
      <c r="F99" s="144">
        <v>24</v>
      </c>
      <c r="G99" s="258"/>
      <c r="H99" s="258">
        <v>18750</v>
      </c>
      <c r="I99" s="59">
        <v>18750</v>
      </c>
      <c r="J99" s="59">
        <v>0</v>
      </c>
      <c r="K99" s="537">
        <v>0</v>
      </c>
      <c r="L99" s="537">
        <v>0</v>
      </c>
      <c r="M99" s="230" t="s">
        <v>675</v>
      </c>
      <c r="N99" s="265"/>
      <c r="O99" s="681"/>
      <c r="AC99" s="682"/>
      <c r="AD99" s="499"/>
    </row>
    <row r="100" spans="1:30" ht="12.75">
      <c r="A100" s="341"/>
      <c r="B100" s="1064"/>
      <c r="C100" s="72"/>
      <c r="D100" s="185"/>
      <c r="E100" s="743"/>
      <c r="F100" s="209"/>
      <c r="G100" s="323" t="s">
        <v>177</v>
      </c>
      <c r="H100" s="1019">
        <f t="shared" ref="H100:L100" si="8">H99</f>
        <v>18750</v>
      </c>
      <c r="I100" s="1056">
        <f t="shared" si="8"/>
        <v>18750</v>
      </c>
      <c r="J100" s="233">
        <f t="shared" si="8"/>
        <v>0</v>
      </c>
      <c r="K100" s="238">
        <f t="shared" si="8"/>
        <v>0</v>
      </c>
      <c r="L100" s="238">
        <f t="shared" si="8"/>
        <v>0</v>
      </c>
      <c r="M100" s="988"/>
      <c r="N100" s="265"/>
      <c r="O100" s="681"/>
      <c r="AC100" s="810"/>
      <c r="AD100" s="499"/>
    </row>
    <row r="101" spans="1:30" ht="12.75">
      <c r="A101" s="341"/>
      <c r="B101" s="940"/>
      <c r="C101" s="734"/>
      <c r="D101" s="731"/>
      <c r="E101" s="732"/>
      <c r="F101" s="733"/>
      <c r="G101" s="711"/>
      <c r="H101" s="712"/>
      <c r="I101" s="707"/>
      <c r="J101" s="713"/>
      <c r="K101" s="734"/>
      <c r="L101" s="734"/>
      <c r="M101" s="714"/>
      <c r="N101" s="265"/>
      <c r="O101" s="681"/>
      <c r="AC101" s="696"/>
      <c r="AD101" s="499"/>
    </row>
    <row r="102" spans="1:30" ht="63.75">
      <c r="A102" s="139" t="s">
        <v>5</v>
      </c>
      <c r="B102" s="177" t="s">
        <v>106</v>
      </c>
      <c r="C102" s="513"/>
      <c r="D102" s="514" t="s">
        <v>10</v>
      </c>
      <c r="E102" s="515" t="s">
        <v>243</v>
      </c>
      <c r="F102" s="516" t="s">
        <v>244</v>
      </c>
      <c r="G102" s="517" t="s">
        <v>245</v>
      </c>
      <c r="H102" s="518" t="s">
        <v>246</v>
      </c>
      <c r="I102" s="513" t="s">
        <v>532</v>
      </c>
      <c r="J102" s="519" t="s">
        <v>13</v>
      </c>
      <c r="K102" s="531" t="s">
        <v>891</v>
      </c>
      <c r="L102" s="531" t="s">
        <v>892</v>
      </c>
      <c r="M102" s="717" t="s">
        <v>162</v>
      </c>
      <c r="N102" s="14"/>
      <c r="AC102" s="265"/>
      <c r="AD102" s="681"/>
    </row>
    <row r="103" spans="1:30" ht="12.75">
      <c r="A103" s="100">
        <v>1</v>
      </c>
      <c r="B103" s="775" t="s">
        <v>1057</v>
      </c>
      <c r="C103" s="144"/>
      <c r="D103" s="203" t="s">
        <v>1099</v>
      </c>
      <c r="E103" s="693">
        <v>90</v>
      </c>
      <c r="F103" s="144">
        <v>24</v>
      </c>
      <c r="G103" s="258"/>
      <c r="H103" s="258">
        <v>30000</v>
      </c>
      <c r="I103" s="144">
        <v>30000</v>
      </c>
      <c r="J103" s="144">
        <v>0</v>
      </c>
      <c r="K103" s="1030">
        <v>0</v>
      </c>
      <c r="L103" s="1030">
        <v>0</v>
      </c>
      <c r="M103" s="230"/>
      <c r="N103" s="340"/>
      <c r="AC103" s="14"/>
    </row>
    <row r="104" spans="1:30" ht="12.75">
      <c r="A104" s="14"/>
      <c r="B104" s="183"/>
      <c r="C104" s="14"/>
      <c r="D104" s="185"/>
      <c r="E104" s="557"/>
      <c r="F104" s="209"/>
      <c r="G104" s="323" t="s">
        <v>177</v>
      </c>
      <c r="H104" s="238">
        <f t="shared" ref="H104:L104" si="9">H103</f>
        <v>30000</v>
      </c>
      <c r="I104" s="1066">
        <f t="shared" si="9"/>
        <v>30000</v>
      </c>
      <c r="J104" s="100">
        <f t="shared" si="9"/>
        <v>0</v>
      </c>
      <c r="K104" s="988">
        <f t="shared" si="9"/>
        <v>0</v>
      </c>
      <c r="L104" s="988">
        <f t="shared" si="9"/>
        <v>0</v>
      </c>
      <c r="M104" s="988"/>
      <c r="N104" s="14"/>
      <c r="AC104" s="14"/>
    </row>
    <row r="105" spans="1:30" ht="12.75">
      <c r="A105" s="14"/>
      <c r="B105" s="207"/>
      <c r="C105" s="14"/>
      <c r="D105" s="1025"/>
      <c r="E105" s="1026"/>
      <c r="F105" s="1027"/>
      <c r="G105" s="1031"/>
      <c r="H105" s="1032"/>
      <c r="I105" s="151"/>
      <c r="J105" s="743"/>
      <c r="K105" s="1024"/>
      <c r="L105" s="1024"/>
      <c r="M105" s="230"/>
      <c r="N105" s="33"/>
      <c r="AC105" s="14"/>
    </row>
    <row r="106" spans="1:30" ht="63.75">
      <c r="A106" s="219" t="s">
        <v>5</v>
      </c>
      <c r="B106" s="191" t="s">
        <v>122</v>
      </c>
      <c r="C106" s="189"/>
      <c r="D106" s="129" t="s">
        <v>10</v>
      </c>
      <c r="E106" s="288" t="s">
        <v>243</v>
      </c>
      <c r="F106" s="289" t="s">
        <v>244</v>
      </c>
      <c r="G106" s="290" t="s">
        <v>245</v>
      </c>
      <c r="H106" s="291" t="s">
        <v>246</v>
      </c>
      <c r="I106" s="217" t="s">
        <v>532</v>
      </c>
      <c r="J106" s="22" t="s">
        <v>13</v>
      </c>
      <c r="K106" s="923" t="s">
        <v>891</v>
      </c>
      <c r="L106" s="923" t="s">
        <v>892</v>
      </c>
      <c r="M106" s="717" t="s">
        <v>162</v>
      </c>
      <c r="N106" s="33" t="s">
        <v>470</v>
      </c>
      <c r="AC106" s="14"/>
    </row>
    <row r="107" spans="1:30" ht="12.75">
      <c r="A107" s="2" t="s">
        <v>114</v>
      </c>
      <c r="B107" s="481" t="s">
        <v>128</v>
      </c>
      <c r="C107" s="59"/>
      <c r="D107" s="45" t="s">
        <v>148</v>
      </c>
      <c r="E107" s="545">
        <v>31</v>
      </c>
      <c r="F107" s="47">
        <v>31</v>
      </c>
      <c r="G107" s="223">
        <v>29000</v>
      </c>
      <c r="H107" s="222">
        <v>29000</v>
      </c>
      <c r="I107" s="144"/>
      <c r="J107" s="6"/>
      <c r="K107" s="537"/>
      <c r="L107" s="537"/>
      <c r="M107" s="230"/>
      <c r="N107" s="100"/>
      <c r="AC107" s="14"/>
    </row>
    <row r="108" spans="1:30" ht="12.75">
      <c r="A108" s="59" t="s">
        <v>151</v>
      </c>
      <c r="B108" s="4" t="s">
        <v>1066</v>
      </c>
      <c r="C108" s="59"/>
      <c r="D108" s="45" t="s">
        <v>1067</v>
      </c>
      <c r="E108" s="545">
        <v>90</v>
      </c>
      <c r="F108" s="47">
        <v>31</v>
      </c>
      <c r="G108" s="223">
        <v>21080</v>
      </c>
      <c r="H108" s="222">
        <v>21080</v>
      </c>
      <c r="I108" s="144">
        <v>21080</v>
      </c>
      <c r="J108" s="6"/>
      <c r="K108" s="1033">
        <v>4500</v>
      </c>
      <c r="L108" s="1033">
        <v>4500</v>
      </c>
      <c r="M108" s="726"/>
      <c r="N108" s="100"/>
      <c r="AC108" s="14"/>
    </row>
    <row r="109" spans="1:30" ht="12.75">
      <c r="A109" s="59" t="s">
        <v>152</v>
      </c>
      <c r="B109" s="453" t="s">
        <v>972</v>
      </c>
      <c r="C109" s="59"/>
      <c r="D109" s="45" t="s">
        <v>1107</v>
      </c>
      <c r="E109" s="545">
        <v>90</v>
      </c>
      <c r="F109" s="47">
        <v>20</v>
      </c>
      <c r="G109" s="223"/>
      <c r="H109" s="222">
        <v>25000</v>
      </c>
      <c r="I109" s="144"/>
      <c r="J109" s="6"/>
      <c r="K109" s="673"/>
      <c r="L109" s="673"/>
      <c r="M109" s="309" t="s">
        <v>693</v>
      </c>
      <c r="N109" s="144" t="s">
        <v>675</v>
      </c>
      <c r="AC109" s="14"/>
    </row>
    <row r="110" spans="1:30" ht="12.75">
      <c r="A110" s="454" t="s">
        <v>153</v>
      </c>
      <c r="B110" s="815" t="s">
        <v>1110</v>
      </c>
      <c r="C110" s="454"/>
      <c r="D110" s="477" t="s">
        <v>1111</v>
      </c>
      <c r="E110" s="543"/>
      <c r="F110" s="456"/>
      <c r="G110" s="478"/>
      <c r="H110" s="478">
        <v>23000</v>
      </c>
      <c r="I110" s="463"/>
      <c r="J110" s="479"/>
      <c r="K110" s="520"/>
      <c r="L110" s="520"/>
      <c r="M110" s="503" t="s">
        <v>275</v>
      </c>
      <c r="N110" s="463"/>
      <c r="AC110" s="33" t="s">
        <v>903</v>
      </c>
    </row>
    <row r="111" spans="1:30" ht="12.75">
      <c r="A111" s="454" t="s">
        <v>204</v>
      </c>
      <c r="B111" s="453"/>
      <c r="C111" s="454"/>
      <c r="D111" s="477"/>
      <c r="E111" s="543"/>
      <c r="F111" s="456"/>
      <c r="G111" s="478"/>
      <c r="H111" s="478"/>
      <c r="I111" s="463"/>
      <c r="J111" s="454"/>
      <c r="K111" s="520"/>
      <c r="L111" s="520"/>
      <c r="M111" s="503"/>
      <c r="N111" s="463"/>
      <c r="AC111" s="14"/>
    </row>
    <row r="112" spans="1:30" ht="12.75">
      <c r="A112" s="144" t="s">
        <v>132</v>
      </c>
      <c r="B112" s="903" t="s">
        <v>842</v>
      </c>
      <c r="C112" s="1212" t="s">
        <v>843</v>
      </c>
      <c r="D112" s="1210"/>
      <c r="E112" s="1210"/>
      <c r="F112" s="1211"/>
      <c r="G112" s="323"/>
      <c r="H112" s="778">
        <v>8000</v>
      </c>
      <c r="I112" s="463">
        <v>8000</v>
      </c>
      <c r="J112" s="100"/>
      <c r="K112" s="606"/>
      <c r="L112" s="606"/>
      <c r="M112" s="606"/>
      <c r="N112" s="100"/>
      <c r="AC112" s="14"/>
    </row>
    <row r="113" spans="1:30" ht="12.75">
      <c r="A113" s="1068" t="s">
        <v>114</v>
      </c>
      <c r="B113" s="751" t="s">
        <v>977</v>
      </c>
      <c r="C113" s="235"/>
      <c r="D113" s="235"/>
      <c r="E113" s="235"/>
      <c r="F113" s="235"/>
      <c r="G113" s="323"/>
      <c r="H113" s="238">
        <f t="shared" ref="H113:L113" si="10">SUM(H107:H112)</f>
        <v>106080</v>
      </c>
      <c r="I113" s="1066">
        <f t="shared" si="10"/>
        <v>29080</v>
      </c>
      <c r="J113" s="1066">
        <f t="shared" si="10"/>
        <v>0</v>
      </c>
      <c r="K113" s="1066">
        <f t="shared" si="10"/>
        <v>4500</v>
      </c>
      <c r="L113" s="1066">
        <f t="shared" si="10"/>
        <v>4500</v>
      </c>
      <c r="M113" s="606"/>
      <c r="N113" s="100"/>
      <c r="AC113" s="14"/>
    </row>
    <row r="114" spans="1:30" ht="12.75">
      <c r="A114" s="341"/>
      <c r="B114" s="905"/>
      <c r="C114" s="265"/>
      <c r="D114" s="731"/>
      <c r="E114" s="732"/>
      <c r="F114" s="733"/>
      <c r="G114" s="732"/>
      <c r="H114" s="732"/>
      <c r="I114" s="734"/>
      <c r="J114" s="704"/>
      <c r="K114" s="734"/>
      <c r="L114" s="734"/>
      <c r="M114" s="734"/>
      <c r="N114" s="14"/>
      <c r="AC114" s="14"/>
    </row>
    <row r="115" spans="1:30" ht="12.75">
      <c r="A115" s="265"/>
      <c r="B115" s="730"/>
      <c r="C115" s="265"/>
      <c r="D115" s="731"/>
      <c r="E115" s="732"/>
      <c r="F115" s="733"/>
      <c r="G115" s="732"/>
      <c r="H115" s="732"/>
      <c r="I115" s="734"/>
      <c r="J115" s="704"/>
      <c r="K115" s="734"/>
      <c r="L115" s="734"/>
      <c r="M115" s="734"/>
      <c r="N115" s="14"/>
      <c r="AC115" s="14"/>
    </row>
    <row r="116" spans="1:30" ht="63.75">
      <c r="A116" s="139" t="s">
        <v>5</v>
      </c>
      <c r="B116" s="191" t="s">
        <v>316</v>
      </c>
      <c r="C116" s="513"/>
      <c r="D116" s="514" t="s">
        <v>10</v>
      </c>
      <c r="E116" s="515" t="s">
        <v>243</v>
      </c>
      <c r="F116" s="516" t="s">
        <v>244</v>
      </c>
      <c r="G116" s="517" t="s">
        <v>245</v>
      </c>
      <c r="H116" s="518" t="s">
        <v>246</v>
      </c>
      <c r="I116" s="513" t="s">
        <v>532</v>
      </c>
      <c r="J116" s="519" t="s">
        <v>13</v>
      </c>
      <c r="K116" s="531" t="s">
        <v>891</v>
      </c>
      <c r="L116" s="531" t="s">
        <v>892</v>
      </c>
      <c r="M116" s="717" t="s">
        <v>162</v>
      </c>
      <c r="N116" s="287"/>
      <c r="AC116" s="14"/>
    </row>
    <row r="117" spans="1:30" ht="12.75">
      <c r="A117" s="132" t="s">
        <v>458</v>
      </c>
      <c r="B117" s="906" t="s">
        <v>317</v>
      </c>
      <c r="C117" s="144"/>
      <c r="D117" s="144" t="s">
        <v>1116</v>
      </c>
      <c r="E117" s="693">
        <v>90</v>
      </c>
      <c r="F117" s="103">
        <v>31</v>
      </c>
      <c r="G117" s="353"/>
      <c r="H117" s="353">
        <v>21250</v>
      </c>
      <c r="I117" s="144">
        <v>21250</v>
      </c>
      <c r="J117" s="100"/>
      <c r="K117" s="503"/>
      <c r="L117" s="503"/>
      <c r="M117" s="503" t="s">
        <v>1117</v>
      </c>
      <c r="N117" s="287"/>
      <c r="AC117" s="265"/>
      <c r="AD117" s="681"/>
    </row>
    <row r="118" spans="1:30" ht="12.75">
      <c r="A118" s="132" t="s">
        <v>459</v>
      </c>
      <c r="B118" s="1060" t="s">
        <v>1035</v>
      </c>
      <c r="C118" s="100"/>
      <c r="D118" s="203"/>
      <c r="E118" s="587"/>
      <c r="F118" s="237"/>
      <c r="G118" s="449"/>
      <c r="H118" s="353"/>
      <c r="I118" s="144"/>
      <c r="J118" s="144"/>
      <c r="K118" s="309"/>
      <c r="L118" s="309"/>
      <c r="M118" s="309"/>
      <c r="N118" s="325"/>
      <c r="AC118" s="265"/>
      <c r="AD118" s="681"/>
    </row>
    <row r="119" spans="1:30" ht="12.75">
      <c r="A119" s="132" t="s">
        <v>460</v>
      </c>
      <c r="B119" s="816" t="s">
        <v>1118</v>
      </c>
      <c r="C119" s="100"/>
      <c r="D119" s="203"/>
      <c r="E119" s="587"/>
      <c r="F119" s="237"/>
      <c r="G119" s="355"/>
      <c r="H119" s="473"/>
      <c r="I119" s="144">
        <v>15000</v>
      </c>
      <c r="J119" s="144"/>
      <c r="K119" s="309">
        <v>6000</v>
      </c>
      <c r="L119" s="309">
        <v>6000</v>
      </c>
      <c r="M119" s="309"/>
      <c r="N119" s="325"/>
      <c r="AC119" s="265"/>
      <c r="AD119" s="681"/>
    </row>
    <row r="120" spans="1:30" ht="12.75">
      <c r="A120" s="132" t="s">
        <v>458</v>
      </c>
      <c r="B120" s="284"/>
      <c r="C120" s="100"/>
      <c r="D120" s="109"/>
      <c r="E120" s="587"/>
      <c r="F120" s="237"/>
      <c r="G120" s="323" t="s">
        <v>177</v>
      </c>
      <c r="H120" s="238">
        <f t="shared" ref="H120:L120" si="11">SUM(H117:H119)</f>
        <v>21250</v>
      </c>
      <c r="I120" s="736">
        <f t="shared" si="11"/>
        <v>36250</v>
      </c>
      <c r="J120" s="736">
        <f t="shared" si="11"/>
        <v>0</v>
      </c>
      <c r="K120" s="736">
        <f t="shared" si="11"/>
        <v>6000</v>
      </c>
      <c r="L120" s="736">
        <f t="shared" si="11"/>
        <v>6000</v>
      </c>
      <c r="M120" s="309"/>
      <c r="N120" s="287"/>
      <c r="AC120" s="265"/>
      <c r="AD120" s="681"/>
    </row>
    <row r="121" spans="1:30" ht="12.75">
      <c r="A121" s="265"/>
      <c r="B121" s="730"/>
      <c r="C121" s="265"/>
      <c r="D121" s="731"/>
      <c r="E121" s="732"/>
      <c r="F121" s="733"/>
      <c r="G121" s="737"/>
      <c r="H121" s="703"/>
      <c r="I121" s="734"/>
      <c r="J121" s="704"/>
      <c r="K121" s="734"/>
      <c r="L121" s="734"/>
      <c r="M121" s="734"/>
      <c r="N121" s="14"/>
      <c r="AC121" s="265"/>
      <c r="AD121" s="681"/>
    </row>
    <row r="122" spans="1:30" ht="12.75">
      <c r="A122" s="265"/>
      <c r="B122" s="730"/>
      <c r="C122" s="265"/>
      <c r="D122" s="731"/>
      <c r="E122" s="732"/>
      <c r="F122" s="733"/>
      <c r="G122" s="737"/>
      <c r="H122" s="703"/>
      <c r="I122" s="734"/>
      <c r="J122" s="704"/>
      <c r="K122" s="734"/>
      <c r="L122" s="734"/>
      <c r="M122" s="734"/>
      <c r="N122" s="14"/>
      <c r="AC122" s="14"/>
    </row>
    <row r="123" spans="1:30" ht="63.75">
      <c r="A123" s="219" t="s">
        <v>5</v>
      </c>
      <c r="B123" s="196" t="s">
        <v>111</v>
      </c>
      <c r="C123" s="189"/>
      <c r="D123" s="514" t="s">
        <v>10</v>
      </c>
      <c r="E123" s="515" t="s">
        <v>243</v>
      </c>
      <c r="F123" s="516" t="s">
        <v>244</v>
      </c>
      <c r="G123" s="738" t="s">
        <v>245</v>
      </c>
      <c r="H123" s="739" t="s">
        <v>246</v>
      </c>
      <c r="I123" s="217" t="s">
        <v>532</v>
      </c>
      <c r="J123" s="740" t="s">
        <v>13</v>
      </c>
      <c r="K123" s="923" t="s">
        <v>891</v>
      </c>
      <c r="L123" s="923" t="s">
        <v>892</v>
      </c>
      <c r="M123" s="741" t="s">
        <v>162</v>
      </c>
      <c r="N123" s="14"/>
      <c r="AC123" s="340" t="s">
        <v>492</v>
      </c>
    </row>
    <row r="124" spans="1:30" ht="12.75">
      <c r="A124" s="2" t="s">
        <v>114</v>
      </c>
      <c r="B124" s="742" t="s">
        <v>630</v>
      </c>
      <c r="C124" s="59"/>
      <c r="D124" s="45" t="s">
        <v>1119</v>
      </c>
      <c r="E124" s="545"/>
      <c r="F124" s="47">
        <v>25</v>
      </c>
      <c r="G124" s="223">
        <v>5900</v>
      </c>
      <c r="H124" s="223">
        <v>5900</v>
      </c>
      <c r="I124" s="59"/>
      <c r="J124" s="6"/>
      <c r="K124" s="537"/>
      <c r="L124" s="537"/>
      <c r="M124" s="230"/>
      <c r="N124" s="144" t="s">
        <v>520</v>
      </c>
      <c r="AC124" s="14"/>
    </row>
    <row r="125" spans="1:30" ht="12.75">
      <c r="A125" s="6" t="s">
        <v>119</v>
      </c>
      <c r="B125" s="742" t="s">
        <v>1121</v>
      </c>
      <c r="C125" s="59"/>
      <c r="D125" s="477" t="s">
        <v>957</v>
      </c>
      <c r="E125" s="545"/>
      <c r="F125" s="47">
        <v>22</v>
      </c>
      <c r="G125" s="223">
        <v>4258</v>
      </c>
      <c r="H125" s="223">
        <v>5400</v>
      </c>
      <c r="I125" s="697"/>
      <c r="J125" s="59" t="s">
        <v>275</v>
      </c>
      <c r="K125" s="537">
        <v>4800</v>
      </c>
      <c r="L125" s="537">
        <v>4800</v>
      </c>
      <c r="M125" s="230"/>
      <c r="N125" s="463"/>
      <c r="AC125" s="14"/>
    </row>
    <row r="126" spans="1:30" ht="12.75">
      <c r="A126" s="192"/>
      <c r="B126" s="899"/>
      <c r="C126" s="144"/>
      <c r="D126" s="109"/>
      <c r="E126" s="552"/>
      <c r="F126" s="233"/>
      <c r="G126" s="236" t="s">
        <v>177</v>
      </c>
      <c r="H126" s="1077">
        <f t="shared" ref="H126:L126" si="12">SUM(H124:H125)</f>
        <v>11300</v>
      </c>
      <c r="I126" s="720">
        <f t="shared" si="12"/>
        <v>0</v>
      </c>
      <c r="J126" s="729">
        <f t="shared" si="12"/>
        <v>0</v>
      </c>
      <c r="K126" s="729">
        <f t="shared" si="12"/>
        <v>4800</v>
      </c>
      <c r="L126" s="729">
        <f t="shared" si="12"/>
        <v>4800</v>
      </c>
      <c r="M126" s="642"/>
      <c r="N126" s="144"/>
      <c r="AC126" s="340" t="s">
        <v>492</v>
      </c>
    </row>
    <row r="127" spans="1:30" ht="12.75">
      <c r="A127" s="324"/>
      <c r="B127" s="887"/>
      <c r="C127" s="14"/>
      <c r="D127" s="185"/>
      <c r="E127" s="557"/>
      <c r="F127" s="209"/>
      <c r="G127" s="209"/>
      <c r="H127" s="14"/>
      <c r="I127" s="14"/>
      <c r="J127" s="14"/>
      <c r="K127" s="743"/>
      <c r="L127" s="743"/>
      <c r="M127" s="743"/>
      <c r="N127" s="14"/>
      <c r="AC127" s="14"/>
    </row>
    <row r="128" spans="1:30" ht="14.25">
      <c r="A128" s="889"/>
      <c r="C128" s="499"/>
      <c r="E128" s="287"/>
      <c r="I128" s="499"/>
      <c r="K128" s="287"/>
      <c r="L128" s="287"/>
      <c r="M128" s="287"/>
      <c r="N128" s="287"/>
      <c r="AC128" s="33" t="s">
        <v>470</v>
      </c>
    </row>
    <row r="129" spans="1:29" ht="63.75">
      <c r="A129" s="1078" t="s">
        <v>5</v>
      </c>
      <c r="B129" s="1079" t="s">
        <v>319</v>
      </c>
      <c r="C129" s="1080"/>
      <c r="D129" s="1082" t="s">
        <v>10</v>
      </c>
      <c r="E129" s="1084" t="s">
        <v>243</v>
      </c>
      <c r="F129" s="1085" t="s">
        <v>244</v>
      </c>
      <c r="G129" s="1085" t="s">
        <v>245</v>
      </c>
      <c r="H129" s="1086" t="s">
        <v>246</v>
      </c>
      <c r="I129" s="1087" t="s">
        <v>532</v>
      </c>
      <c r="J129" s="1086" t="s">
        <v>13</v>
      </c>
      <c r="K129" s="531" t="s">
        <v>891</v>
      </c>
      <c r="L129" s="531" t="s">
        <v>892</v>
      </c>
      <c r="M129" s="745" t="s">
        <v>162</v>
      </c>
      <c r="N129" s="287"/>
      <c r="AC129" s="14"/>
    </row>
    <row r="130" spans="1:29" ht="12.75">
      <c r="A130" s="365" t="s">
        <v>676</v>
      </c>
      <c r="B130" s="820" t="s">
        <v>773</v>
      </c>
      <c r="C130" s="511"/>
      <c r="D130" s="909" t="s">
        <v>1062</v>
      </c>
      <c r="E130" s="746">
        <v>180</v>
      </c>
      <c r="F130" s="747"/>
      <c r="G130" s="547"/>
      <c r="H130" s="547">
        <v>25500</v>
      </c>
      <c r="I130" s="748">
        <v>25500</v>
      </c>
      <c r="J130" s="7"/>
      <c r="K130" s="537"/>
      <c r="L130" s="537"/>
      <c r="M130" s="230" t="s">
        <v>765</v>
      </c>
      <c r="N130" s="1090" t="s">
        <v>776</v>
      </c>
      <c r="AC130" s="14"/>
    </row>
    <row r="131" spans="1:29" ht="12.75">
      <c r="A131" s="370"/>
      <c r="B131" s="371"/>
      <c r="C131" s="511"/>
      <c r="D131" s="371"/>
      <c r="E131" s="749"/>
      <c r="F131" s="368"/>
      <c r="G131" s="549"/>
      <c r="H131" s="547"/>
      <c r="I131" s="750"/>
      <c r="J131" s="7"/>
      <c r="K131" s="1062"/>
      <c r="L131" s="1062"/>
      <c r="M131" s="752"/>
      <c r="N131" s="610"/>
      <c r="AC131" s="33" t="s">
        <v>975</v>
      </c>
    </row>
    <row r="132" spans="1:29" ht="12.75">
      <c r="A132" s="365" t="s">
        <v>677</v>
      </c>
      <c r="B132" s="790" t="s">
        <v>660</v>
      </c>
      <c r="C132" s="755"/>
      <c r="D132" s="756" t="s">
        <v>1138</v>
      </c>
      <c r="E132" s="758">
        <v>90</v>
      </c>
      <c r="F132" s="759"/>
      <c r="G132" s="761"/>
      <c r="H132" s="762">
        <v>23000</v>
      </c>
      <c r="I132" s="753"/>
      <c r="J132" s="369"/>
      <c r="K132" s="230"/>
      <c r="L132" s="230"/>
      <c r="M132" s="230"/>
      <c r="N132" s="1090" t="s">
        <v>182</v>
      </c>
      <c r="AC132" s="501" t="s">
        <v>718</v>
      </c>
    </row>
    <row r="133" spans="1:29" ht="12.75">
      <c r="A133" s="753"/>
      <c r="B133" s="998" t="s">
        <v>925</v>
      </c>
      <c r="C133" s="755"/>
      <c r="D133" s="235"/>
      <c r="E133" s="652"/>
      <c r="F133" s="653"/>
      <c r="G133" s="764" t="s">
        <v>177</v>
      </c>
      <c r="H133" s="765">
        <f t="shared" ref="H133:L133" si="13">SUM(H130:H132)</f>
        <v>48500</v>
      </c>
      <c r="I133" s="766">
        <f t="shared" si="13"/>
        <v>25500</v>
      </c>
      <c r="J133" s="766">
        <f t="shared" si="13"/>
        <v>0</v>
      </c>
      <c r="K133" s="766">
        <f t="shared" si="13"/>
        <v>0</v>
      </c>
      <c r="L133" s="766">
        <f t="shared" si="13"/>
        <v>0</v>
      </c>
      <c r="M133" s="767"/>
      <c r="N133" s="235"/>
      <c r="AC133" s="501"/>
    </row>
    <row r="134" spans="1:29" ht="12.75">
      <c r="A134" s="235"/>
      <c r="B134" s="998" t="s">
        <v>1139</v>
      </c>
      <c r="C134" s="771"/>
      <c r="D134" s="235"/>
      <c r="E134" s="610"/>
      <c r="F134" s="235"/>
      <c r="G134" s="235"/>
      <c r="H134" s="235"/>
      <c r="I134" s="771"/>
      <c r="J134" s="235"/>
      <c r="K134" s="610"/>
      <c r="L134" s="610"/>
      <c r="M134" s="610"/>
      <c r="N134" s="1091"/>
      <c r="AC134" s="14"/>
    </row>
    <row r="135" spans="1:29" ht="12.75">
      <c r="A135" s="14"/>
      <c r="B135" s="1092" t="s">
        <v>963</v>
      </c>
      <c r="C135" s="14"/>
      <c r="D135" s="1025"/>
      <c r="E135" s="1026"/>
      <c r="F135" s="1027"/>
      <c r="G135" s="1028"/>
      <c r="H135" s="1029"/>
      <c r="I135" s="151"/>
      <c r="J135" s="743"/>
      <c r="K135" s="1024"/>
      <c r="L135" s="1024"/>
      <c r="M135" s="151"/>
      <c r="AC135" s="14"/>
    </row>
    <row r="136" spans="1:29" ht="12.75">
      <c r="A136" s="14"/>
      <c r="B136" s="284"/>
      <c r="C136" s="14"/>
      <c r="D136" s="1025"/>
      <c r="E136" s="1026"/>
      <c r="F136" s="1027"/>
      <c r="G136" s="1028"/>
      <c r="H136" s="1029"/>
      <c r="I136" s="151"/>
      <c r="J136" s="743"/>
      <c r="K136" s="1024"/>
      <c r="L136" s="1024"/>
      <c r="M136" s="151"/>
      <c r="AC136" s="14"/>
    </row>
    <row r="137" spans="1:29" ht="63.75">
      <c r="A137" s="139" t="s">
        <v>5</v>
      </c>
      <c r="B137" s="191" t="s">
        <v>861</v>
      </c>
      <c r="C137" s="189"/>
      <c r="D137" s="514" t="s">
        <v>10</v>
      </c>
      <c r="E137" s="515" t="s">
        <v>243</v>
      </c>
      <c r="F137" s="516" t="s">
        <v>244</v>
      </c>
      <c r="G137" s="517" t="s">
        <v>245</v>
      </c>
      <c r="H137" s="518" t="s">
        <v>246</v>
      </c>
      <c r="I137" s="513" t="s">
        <v>532</v>
      </c>
      <c r="J137" s="519" t="s">
        <v>13</v>
      </c>
      <c r="K137" s="531" t="s">
        <v>891</v>
      </c>
      <c r="L137" s="531" t="s">
        <v>892</v>
      </c>
      <c r="M137" s="717" t="s">
        <v>162</v>
      </c>
      <c r="AC137" s="14"/>
    </row>
    <row r="138" spans="1:29" ht="12.75">
      <c r="A138" s="132" t="s">
        <v>114</v>
      </c>
      <c r="B138" s="481" t="s">
        <v>1140</v>
      </c>
      <c r="C138" s="59"/>
      <c r="D138" s="51" t="s">
        <v>864</v>
      </c>
      <c r="E138" s="545"/>
      <c r="F138" s="47"/>
      <c r="G138" s="223">
        <v>10000</v>
      </c>
      <c r="H138" s="778">
        <v>10000</v>
      </c>
      <c r="I138" s="463"/>
      <c r="J138" s="6"/>
      <c r="K138" s="537"/>
      <c r="L138" s="537"/>
      <c r="M138" s="230" t="s">
        <v>331</v>
      </c>
      <c r="N138" s="235"/>
      <c r="AC138" s="14"/>
    </row>
    <row r="139" spans="1:29" ht="12.75">
      <c r="A139" s="482" t="s">
        <v>119</v>
      </c>
      <c r="B139" s="481"/>
      <c r="C139" s="454"/>
      <c r="D139" s="454"/>
      <c r="E139" s="543"/>
      <c r="F139" s="456"/>
      <c r="G139" s="478"/>
      <c r="H139" s="880"/>
      <c r="I139" s="779"/>
      <c r="J139" s="479"/>
      <c r="K139" s="520"/>
      <c r="L139" s="520"/>
      <c r="M139" s="503"/>
      <c r="N139" s="235"/>
      <c r="AC139" s="14"/>
    </row>
    <row r="140" spans="1:29" ht="25.5">
      <c r="A140" s="702" t="s">
        <v>114</v>
      </c>
      <c r="B140" s="481" t="s">
        <v>364</v>
      </c>
      <c r="C140" s="49"/>
      <c r="D140" s="51" t="s">
        <v>1141</v>
      </c>
      <c r="E140" s="675">
        <v>27</v>
      </c>
      <c r="F140" s="221"/>
      <c r="G140" s="308">
        <v>57000</v>
      </c>
      <c r="H140" s="260">
        <v>19000</v>
      </c>
      <c r="I140" s="260"/>
      <c r="J140" s="251"/>
      <c r="K140" s="673"/>
      <c r="L140" s="673"/>
      <c r="M140" s="309" t="s">
        <v>1142</v>
      </c>
      <c r="N140" s="584" t="s">
        <v>1101</v>
      </c>
      <c r="O140" s="681"/>
      <c r="P140" s="681"/>
      <c r="Q140" s="681"/>
      <c r="R140" s="681"/>
      <c r="S140" s="681"/>
      <c r="T140" s="681"/>
      <c r="U140" s="681"/>
      <c r="V140" s="681"/>
      <c r="W140" s="681"/>
      <c r="X140" s="681"/>
      <c r="Y140" s="681"/>
      <c r="Z140" s="681"/>
      <c r="AA140" s="681"/>
      <c r="AB140" s="681"/>
      <c r="AC140" s="287"/>
    </row>
    <row r="141" spans="1:29" ht="12.75">
      <c r="A141" s="132"/>
      <c r="B141" s="29"/>
      <c r="C141" s="6"/>
      <c r="D141" s="8"/>
      <c r="E141" s="675"/>
      <c r="F141" s="221"/>
      <c r="G141" s="236"/>
      <c r="H141" s="779"/>
      <c r="I141" s="463"/>
      <c r="J141" s="59"/>
      <c r="K141" s="673"/>
      <c r="L141" s="673"/>
      <c r="M141" s="309"/>
      <c r="N141" s="235"/>
      <c r="AC141" s="287"/>
    </row>
    <row r="142" spans="1:29" ht="12.75">
      <c r="A142" s="132"/>
      <c r="B142" s="29"/>
      <c r="C142" s="6"/>
      <c r="D142" s="8"/>
      <c r="E142" s="675"/>
      <c r="F142" s="221"/>
      <c r="G142" s="236"/>
      <c r="H142" s="779"/>
      <c r="I142" s="463"/>
      <c r="J142" s="59"/>
      <c r="K142" s="673"/>
      <c r="L142" s="673"/>
      <c r="M142" s="309"/>
      <c r="N142" s="235"/>
      <c r="AC142" s="325"/>
    </row>
    <row r="143" spans="1:29" ht="12.75">
      <c r="A143" s="132"/>
      <c r="B143" s="29"/>
      <c r="C143" s="6"/>
      <c r="D143" s="8"/>
      <c r="E143" s="675"/>
      <c r="F143" s="221"/>
      <c r="G143" s="236" t="s">
        <v>177</v>
      </c>
      <c r="H143" s="264">
        <f t="shared" ref="H143:L143" si="14">SUM(H138:H142)</f>
        <v>29000</v>
      </c>
      <c r="I143" s="920">
        <f t="shared" si="14"/>
        <v>0</v>
      </c>
      <c r="J143" s="920">
        <f t="shared" si="14"/>
        <v>0</v>
      </c>
      <c r="K143" s="920">
        <f t="shared" si="14"/>
        <v>0</v>
      </c>
      <c r="L143" s="920">
        <f t="shared" si="14"/>
        <v>0</v>
      </c>
      <c r="M143" s="309"/>
      <c r="N143" s="235"/>
      <c r="AC143" s="325"/>
    </row>
    <row r="144" spans="1:29" ht="12.75">
      <c r="C144" s="499"/>
      <c r="E144" s="287"/>
      <c r="I144" s="499"/>
      <c r="K144" s="287"/>
      <c r="L144" s="287"/>
      <c r="M144" s="287"/>
      <c r="AC144" s="287"/>
    </row>
    <row r="145" spans="1:29" ht="12.75">
      <c r="C145" s="499"/>
      <c r="E145" s="287"/>
      <c r="I145" s="499"/>
      <c r="K145" s="287"/>
      <c r="L145" s="287"/>
      <c r="M145" s="287"/>
      <c r="AC145" s="287"/>
    </row>
    <row r="146" spans="1:29" ht="63.75">
      <c r="A146" s="139" t="s">
        <v>5</v>
      </c>
      <c r="B146" s="1095" t="s">
        <v>1144</v>
      </c>
      <c r="C146" s="189"/>
      <c r="D146" s="514" t="s">
        <v>10</v>
      </c>
      <c r="E146" s="515" t="s">
        <v>243</v>
      </c>
      <c r="F146" s="516" t="s">
        <v>244</v>
      </c>
      <c r="G146" s="517" t="s">
        <v>245</v>
      </c>
      <c r="H146" s="518" t="s">
        <v>246</v>
      </c>
      <c r="I146" s="513" t="s">
        <v>532</v>
      </c>
      <c r="J146" s="519" t="s">
        <v>13</v>
      </c>
      <c r="K146" s="531" t="s">
        <v>891</v>
      </c>
      <c r="L146" s="531" t="s">
        <v>892</v>
      </c>
      <c r="M146" s="717" t="s">
        <v>162</v>
      </c>
      <c r="AC146" s="287"/>
    </row>
    <row r="147" spans="1:29" ht="12.75">
      <c r="A147" s="132" t="s">
        <v>114</v>
      </c>
      <c r="B147" s="234" t="s">
        <v>1145</v>
      </c>
      <c r="C147" s="771"/>
      <c r="D147" s="234" t="s">
        <v>1011</v>
      </c>
      <c r="E147" s="610"/>
      <c r="F147" s="235"/>
      <c r="G147" s="235"/>
      <c r="H147" s="234">
        <v>24000</v>
      </c>
      <c r="I147" s="771"/>
      <c r="J147" s="235"/>
      <c r="K147" s="610"/>
      <c r="L147" s="610"/>
      <c r="M147" s="610"/>
      <c r="AC147" s="287"/>
    </row>
    <row r="148" spans="1:29" ht="12.75">
      <c r="A148" s="482" t="s">
        <v>119</v>
      </c>
      <c r="B148" s="235"/>
      <c r="C148" s="771"/>
      <c r="D148" s="235"/>
      <c r="E148" s="610"/>
      <c r="F148" s="235"/>
      <c r="G148" s="235"/>
      <c r="H148" s="235"/>
      <c r="I148" s="771"/>
      <c r="J148" s="235"/>
      <c r="K148" s="610"/>
      <c r="L148" s="610"/>
      <c r="M148" s="610"/>
      <c r="AC148" s="287"/>
    </row>
    <row r="149" spans="1:29" ht="12.75">
      <c r="C149" s="499"/>
      <c r="E149" s="287"/>
      <c r="G149" s="323" t="s">
        <v>177</v>
      </c>
      <c r="H149" s="1096">
        <f t="shared" ref="H149:L149" si="15">SUM(H147:H148)</f>
        <v>24000</v>
      </c>
      <c r="I149" s="920">
        <f t="shared" si="15"/>
        <v>0</v>
      </c>
      <c r="J149" s="920">
        <f t="shared" si="15"/>
        <v>0</v>
      </c>
      <c r="K149" s="920">
        <f t="shared" si="15"/>
        <v>0</v>
      </c>
      <c r="L149" s="920">
        <f t="shared" si="15"/>
        <v>0</v>
      </c>
      <c r="M149" s="309"/>
      <c r="AC149" s="287"/>
    </row>
    <row r="150" spans="1:29" ht="12.75">
      <c r="C150" s="499"/>
      <c r="E150" s="287"/>
      <c r="I150" s="499"/>
      <c r="K150" s="287"/>
      <c r="L150" s="287"/>
      <c r="M150" s="287"/>
      <c r="AC150" s="287"/>
    </row>
    <row r="151" spans="1:29" ht="12.75">
      <c r="C151" s="499"/>
      <c r="E151" s="287"/>
      <c r="I151" s="499"/>
      <c r="K151" s="287"/>
      <c r="L151" s="287"/>
      <c r="M151" s="287"/>
      <c r="AC151" s="287"/>
    </row>
    <row r="152" spans="1:29" ht="63.75">
      <c r="A152" s="139" t="s">
        <v>5</v>
      </c>
      <c r="B152" s="1095" t="s">
        <v>1146</v>
      </c>
      <c r="C152" s="189"/>
      <c r="D152" s="514" t="s">
        <v>10</v>
      </c>
      <c r="E152" s="515" t="s">
        <v>243</v>
      </c>
      <c r="F152" s="516" t="s">
        <v>244</v>
      </c>
      <c r="G152" s="517" t="s">
        <v>245</v>
      </c>
      <c r="H152" s="518" t="s">
        <v>246</v>
      </c>
      <c r="I152" s="513" t="s">
        <v>532</v>
      </c>
      <c r="J152" s="519" t="s">
        <v>13</v>
      </c>
      <c r="K152" s="531" t="s">
        <v>891</v>
      </c>
      <c r="L152" s="531" t="s">
        <v>892</v>
      </c>
      <c r="M152" s="717" t="s">
        <v>162</v>
      </c>
      <c r="AC152" s="287"/>
    </row>
    <row r="153" spans="1:29" ht="12.75">
      <c r="A153" s="132" t="s">
        <v>114</v>
      </c>
      <c r="B153" s="234"/>
      <c r="C153" s="771"/>
      <c r="D153" s="235"/>
      <c r="E153" s="610"/>
      <c r="F153" s="235"/>
      <c r="G153" s="235"/>
      <c r="H153" s="235"/>
      <c r="I153" s="771"/>
      <c r="J153" s="235"/>
      <c r="K153" s="610"/>
      <c r="L153" s="610"/>
      <c r="M153" s="610"/>
      <c r="AC153" s="287"/>
    </row>
    <row r="154" spans="1:29" ht="12.75">
      <c r="A154" s="482" t="s">
        <v>119</v>
      </c>
      <c r="B154" s="235"/>
      <c r="C154" s="771"/>
      <c r="D154" s="235"/>
      <c r="E154" s="610"/>
      <c r="F154" s="235"/>
      <c r="G154" s="235"/>
      <c r="H154" s="235"/>
      <c r="I154" s="771"/>
      <c r="J154" s="235"/>
      <c r="K154" s="610"/>
      <c r="L154" s="610"/>
      <c r="M154" s="610"/>
      <c r="AC154" s="287"/>
    </row>
    <row r="155" spans="1:29" ht="12.75">
      <c r="C155" s="499"/>
      <c r="E155" s="287"/>
      <c r="G155" s="323" t="s">
        <v>177</v>
      </c>
      <c r="H155" s="1096">
        <f t="shared" ref="H155:L155" si="16">SUM(H153:H154)</f>
        <v>0</v>
      </c>
      <c r="I155" s="920">
        <f t="shared" si="16"/>
        <v>0</v>
      </c>
      <c r="J155" s="920">
        <f t="shared" si="16"/>
        <v>0</v>
      </c>
      <c r="K155" s="920">
        <f t="shared" si="16"/>
        <v>0</v>
      </c>
      <c r="L155" s="920">
        <f t="shared" si="16"/>
        <v>0</v>
      </c>
      <c r="M155" s="309"/>
      <c r="AC155" s="287"/>
    </row>
    <row r="156" spans="1:29" ht="12.75">
      <c r="C156" s="499"/>
      <c r="E156" s="287"/>
      <c r="I156" s="499"/>
      <c r="K156" s="287"/>
      <c r="L156" s="287"/>
      <c r="M156" s="287"/>
      <c r="AC156" s="287"/>
    </row>
    <row r="157" spans="1:29" ht="12.75">
      <c r="C157" s="499"/>
      <c r="E157" s="287"/>
      <c r="I157" s="499"/>
      <c r="K157" s="287"/>
      <c r="L157" s="287"/>
      <c r="M157" s="287"/>
      <c r="AC157" s="287"/>
    </row>
    <row r="158" spans="1:29" ht="63.75">
      <c r="A158" s="139" t="s">
        <v>5</v>
      </c>
      <c r="B158" s="1095" t="s">
        <v>1148</v>
      </c>
      <c r="C158" s="189"/>
      <c r="D158" s="514" t="s">
        <v>10</v>
      </c>
      <c r="E158" s="515" t="s">
        <v>243</v>
      </c>
      <c r="F158" s="516" t="s">
        <v>244</v>
      </c>
      <c r="G158" s="517" t="s">
        <v>245</v>
      </c>
      <c r="H158" s="518" t="s">
        <v>246</v>
      </c>
      <c r="I158" s="513" t="s">
        <v>532</v>
      </c>
      <c r="J158" s="519" t="s">
        <v>13</v>
      </c>
      <c r="K158" s="531" t="s">
        <v>891</v>
      </c>
      <c r="L158" s="531" t="s">
        <v>892</v>
      </c>
      <c r="M158" s="717" t="s">
        <v>162</v>
      </c>
      <c r="AC158" s="287"/>
    </row>
    <row r="159" spans="1:29" ht="12.75">
      <c r="A159" s="132" t="s">
        <v>114</v>
      </c>
      <c r="B159" s="234"/>
      <c r="C159" s="771"/>
      <c r="D159" s="235"/>
      <c r="E159" s="610"/>
      <c r="F159" s="235"/>
      <c r="G159" s="235"/>
      <c r="H159" s="235"/>
      <c r="I159" s="771"/>
      <c r="J159" s="235"/>
      <c r="K159" s="610"/>
      <c r="L159" s="610"/>
      <c r="M159" s="610"/>
      <c r="AC159" s="287"/>
    </row>
    <row r="160" spans="1:29" ht="12.75">
      <c r="A160" s="482" t="s">
        <v>119</v>
      </c>
      <c r="B160" s="235"/>
      <c r="C160" s="771"/>
      <c r="D160" s="235"/>
      <c r="E160" s="610"/>
      <c r="F160" s="235"/>
      <c r="G160" s="235"/>
      <c r="H160" s="235"/>
      <c r="I160" s="771"/>
      <c r="J160" s="235"/>
      <c r="K160" s="610"/>
      <c r="L160" s="610"/>
      <c r="M160" s="610"/>
      <c r="AC160" s="287"/>
    </row>
    <row r="161" spans="1:29" ht="12.75">
      <c r="A161" s="33" t="s">
        <v>114</v>
      </c>
      <c r="B161" s="926"/>
      <c r="C161" s="499"/>
      <c r="E161" s="287"/>
      <c r="G161" s="323" t="s">
        <v>177</v>
      </c>
      <c r="H161" s="1096">
        <f t="shared" ref="H161:L161" si="17">SUM(H159:H160)</f>
        <v>0</v>
      </c>
      <c r="I161" s="920">
        <f t="shared" si="17"/>
        <v>0</v>
      </c>
      <c r="J161" s="920">
        <f t="shared" si="17"/>
        <v>0</v>
      </c>
      <c r="K161" s="920">
        <f t="shared" si="17"/>
        <v>0</v>
      </c>
      <c r="L161" s="920">
        <f t="shared" si="17"/>
        <v>0</v>
      </c>
      <c r="M161" s="309"/>
      <c r="AC161" s="287"/>
    </row>
    <row r="162" spans="1:29" ht="12.75">
      <c r="C162" s="499"/>
      <c r="E162" s="287"/>
      <c r="I162" s="499"/>
      <c r="K162" s="287"/>
      <c r="L162" s="287"/>
      <c r="M162" s="287"/>
      <c r="AC162" s="287"/>
    </row>
    <row r="163" spans="1:29" ht="12.75">
      <c r="C163" s="499"/>
      <c r="E163" s="287"/>
      <c r="I163" s="499"/>
      <c r="K163" s="287"/>
      <c r="L163" s="287"/>
      <c r="M163" s="287"/>
      <c r="AC163" s="287"/>
    </row>
    <row r="164" spans="1:29" ht="63.75">
      <c r="A164" s="219" t="s">
        <v>5</v>
      </c>
      <c r="B164" s="342" t="s">
        <v>323</v>
      </c>
      <c r="C164" s="187"/>
      <c r="D164" s="129" t="s">
        <v>10</v>
      </c>
      <c r="E164" s="288" t="s">
        <v>243</v>
      </c>
      <c r="F164" s="289" t="s">
        <v>244</v>
      </c>
      <c r="G164" s="290" t="s">
        <v>245</v>
      </c>
      <c r="H164" s="291" t="s">
        <v>246</v>
      </c>
      <c r="I164" s="217" t="s">
        <v>532</v>
      </c>
      <c r="J164" s="22" t="s">
        <v>13</v>
      </c>
      <c r="K164" s="923" t="s">
        <v>891</v>
      </c>
      <c r="L164" s="923" t="s">
        <v>892</v>
      </c>
      <c r="M164" s="717" t="s">
        <v>162</v>
      </c>
      <c r="AC164" s="14"/>
    </row>
    <row r="165" spans="1:29" ht="12.75">
      <c r="A165" s="132" t="s">
        <v>114</v>
      </c>
      <c r="B165" s="481" t="s">
        <v>681</v>
      </c>
      <c r="C165" s="59"/>
      <c r="D165" s="51" t="s">
        <v>1014</v>
      </c>
      <c r="E165" s="545">
        <v>90</v>
      </c>
      <c r="F165" s="47">
        <v>31</v>
      </c>
      <c r="G165" s="223">
        <v>57000</v>
      </c>
      <c r="H165" s="222">
        <v>19000</v>
      </c>
      <c r="I165" s="311">
        <v>57000</v>
      </c>
      <c r="J165" s="6"/>
      <c r="K165" s="537"/>
      <c r="L165" s="537"/>
      <c r="M165" s="230" t="s">
        <v>693</v>
      </c>
      <c r="N165" s="234" t="s">
        <v>1150</v>
      </c>
      <c r="AC165" s="14"/>
    </row>
    <row r="166" spans="1:29" ht="12.75">
      <c r="A166" s="482" t="s">
        <v>119</v>
      </c>
      <c r="B166" s="481" t="s">
        <v>978</v>
      </c>
      <c r="C166" s="454"/>
      <c r="D166" s="454" t="s">
        <v>1151</v>
      </c>
      <c r="E166" s="543"/>
      <c r="F166" s="456"/>
      <c r="G166" s="478">
        <v>23000</v>
      </c>
      <c r="H166" s="478">
        <v>23000</v>
      </c>
      <c r="I166" s="727"/>
      <c r="J166" s="479"/>
      <c r="K166" s="520"/>
      <c r="L166" s="520"/>
      <c r="M166" s="503" t="s">
        <v>275</v>
      </c>
      <c r="N166" s="757"/>
      <c r="AC166" s="14"/>
    </row>
    <row r="167" spans="1:29" ht="12.75">
      <c r="A167" s="132"/>
      <c r="B167" s="29"/>
      <c r="C167" s="6"/>
      <c r="D167" s="8"/>
      <c r="E167" s="675"/>
      <c r="F167" s="221"/>
      <c r="G167" s="236" t="s">
        <v>177</v>
      </c>
      <c r="H167" s="264">
        <f t="shared" ref="H167:L167" si="18">SUM(H165:H166)</f>
        <v>42000</v>
      </c>
      <c r="I167" s="770">
        <f t="shared" si="18"/>
        <v>57000</v>
      </c>
      <c r="J167" s="770">
        <f t="shared" si="18"/>
        <v>0</v>
      </c>
      <c r="K167" s="770">
        <f t="shared" si="18"/>
        <v>0</v>
      </c>
      <c r="L167" s="770">
        <f t="shared" si="18"/>
        <v>0</v>
      </c>
      <c r="M167" s="309"/>
      <c r="N167" s="235"/>
      <c r="AC167" s="33" t="s">
        <v>520</v>
      </c>
    </row>
    <row r="168" spans="1:29" ht="12.75">
      <c r="C168" s="499"/>
      <c r="E168" s="287"/>
      <c r="I168" s="499"/>
      <c r="K168" s="287"/>
      <c r="L168" s="287"/>
      <c r="M168" s="287"/>
      <c r="AC168" s="501"/>
    </row>
    <row r="169" spans="1:29" ht="12.75">
      <c r="C169" s="499"/>
      <c r="E169" s="287"/>
      <c r="I169" s="499"/>
      <c r="K169" s="287"/>
      <c r="L169" s="287"/>
      <c r="M169" s="287"/>
      <c r="AC169" s="33"/>
    </row>
    <row r="170" spans="1:29" ht="63.75">
      <c r="A170" s="219" t="s">
        <v>5</v>
      </c>
      <c r="B170" s="342" t="s">
        <v>325</v>
      </c>
      <c r="C170" s="187"/>
      <c r="D170" s="129" t="s">
        <v>10</v>
      </c>
      <c r="E170" s="288" t="s">
        <v>243</v>
      </c>
      <c r="F170" s="289" t="s">
        <v>244</v>
      </c>
      <c r="G170" s="290" t="s">
        <v>245</v>
      </c>
      <c r="H170" s="291" t="s">
        <v>246</v>
      </c>
      <c r="I170" s="217" t="s">
        <v>532</v>
      </c>
      <c r="J170" s="22" t="s">
        <v>13</v>
      </c>
      <c r="K170" s="923" t="s">
        <v>891</v>
      </c>
      <c r="L170" s="923" t="s">
        <v>892</v>
      </c>
      <c r="M170" s="717" t="s">
        <v>162</v>
      </c>
      <c r="AC170" s="14"/>
    </row>
    <row r="171" spans="1:29" ht="12.75">
      <c r="A171" s="452" t="s">
        <v>114</v>
      </c>
      <c r="B171" s="481" t="s">
        <v>134</v>
      </c>
      <c r="C171" s="454"/>
      <c r="D171" s="477" t="s">
        <v>148</v>
      </c>
      <c r="E171" s="543">
        <v>30</v>
      </c>
      <c r="F171" s="456">
        <v>31</v>
      </c>
      <c r="G171" s="478">
        <v>17500</v>
      </c>
      <c r="H171" s="478">
        <v>17500</v>
      </c>
      <c r="I171" s="454">
        <v>17500</v>
      </c>
      <c r="J171" s="454"/>
      <c r="K171" s="520"/>
      <c r="L171" s="520"/>
      <c r="M171" s="503"/>
      <c r="N171" s="509"/>
      <c r="AC171" s="287"/>
    </row>
    <row r="172" spans="1:29" ht="12.75">
      <c r="A172" s="2" t="s">
        <v>119</v>
      </c>
      <c r="B172" s="481" t="s">
        <v>134</v>
      </c>
      <c r="C172" s="59"/>
      <c r="D172" s="59" t="s">
        <v>148</v>
      </c>
      <c r="E172" s="545">
        <v>30</v>
      </c>
      <c r="F172" s="47">
        <v>31</v>
      </c>
      <c r="G172" s="223">
        <v>17500</v>
      </c>
      <c r="H172" s="222">
        <v>17500</v>
      </c>
      <c r="I172" s="697">
        <v>17500</v>
      </c>
      <c r="J172" s="59"/>
      <c r="K172" s="537"/>
      <c r="L172" s="537"/>
      <c r="M172" s="230"/>
      <c r="AC172" s="287"/>
    </row>
    <row r="173" spans="1:29" ht="12.75">
      <c r="A173" s="132"/>
      <c r="B173" s="29"/>
      <c r="C173" s="6"/>
      <c r="D173" s="8"/>
      <c r="E173" s="675"/>
      <c r="F173" s="221"/>
      <c r="G173" s="236" t="s">
        <v>177</v>
      </c>
      <c r="H173" s="264">
        <f t="shared" ref="H173:L173" si="19">SUM(H171:H172)</f>
        <v>35000</v>
      </c>
      <c r="I173" s="770">
        <f t="shared" si="19"/>
        <v>35000</v>
      </c>
      <c r="J173" s="770">
        <f t="shared" si="19"/>
        <v>0</v>
      </c>
      <c r="K173" s="770">
        <f t="shared" si="19"/>
        <v>0</v>
      </c>
      <c r="L173" s="770">
        <f t="shared" si="19"/>
        <v>0</v>
      </c>
      <c r="M173" s="309"/>
      <c r="AC173" s="325" t="s">
        <v>776</v>
      </c>
    </row>
    <row r="174" spans="1:29" ht="12.75">
      <c r="C174" s="499"/>
      <c r="E174" s="287"/>
      <c r="I174" s="499"/>
      <c r="K174" s="287"/>
      <c r="L174" s="287"/>
      <c r="M174" s="287"/>
      <c r="AC174" s="287"/>
    </row>
    <row r="175" spans="1:29" ht="12.75">
      <c r="C175" s="499"/>
      <c r="E175" s="287"/>
      <c r="I175" s="499"/>
      <c r="K175" s="287"/>
      <c r="L175" s="287"/>
      <c r="M175" s="287"/>
      <c r="AC175" s="325" t="s">
        <v>182</v>
      </c>
    </row>
    <row r="176" spans="1:29" ht="63.75">
      <c r="A176" s="219" t="s">
        <v>5</v>
      </c>
      <c r="B176" s="342" t="s">
        <v>326</v>
      </c>
      <c r="C176" s="187"/>
      <c r="D176" s="129" t="s">
        <v>10</v>
      </c>
      <c r="E176" s="288" t="s">
        <v>243</v>
      </c>
      <c r="F176" s="289" t="s">
        <v>244</v>
      </c>
      <c r="G176" s="290" t="s">
        <v>245</v>
      </c>
      <c r="H176" s="291" t="s">
        <v>246</v>
      </c>
      <c r="I176" s="217" t="s">
        <v>532</v>
      </c>
      <c r="J176" s="22" t="s">
        <v>13</v>
      </c>
      <c r="K176" s="923" t="s">
        <v>891</v>
      </c>
      <c r="L176" s="923" t="s">
        <v>892</v>
      </c>
      <c r="M176" s="717" t="s">
        <v>162</v>
      </c>
    </row>
    <row r="177" spans="1:43" ht="12.75">
      <c r="A177" s="2" t="s">
        <v>114</v>
      </c>
      <c r="B177" s="481" t="s">
        <v>407</v>
      </c>
      <c r="C177" s="59"/>
      <c r="D177" s="51" t="s">
        <v>148</v>
      </c>
      <c r="E177" s="545">
        <v>30</v>
      </c>
      <c r="F177" s="47">
        <v>31</v>
      </c>
      <c r="G177" s="223">
        <v>21250</v>
      </c>
      <c r="H177" s="223">
        <v>21250</v>
      </c>
      <c r="I177" s="59">
        <v>21250</v>
      </c>
      <c r="J177" s="6"/>
      <c r="K177" s="537">
        <v>14300</v>
      </c>
      <c r="L177" s="537">
        <v>14300</v>
      </c>
      <c r="M177" s="230"/>
      <c r="AC177" s="768"/>
    </row>
    <row r="178" spans="1:43" ht="25.5">
      <c r="A178" s="132" t="s">
        <v>119</v>
      </c>
      <c r="B178" s="4" t="s">
        <v>644</v>
      </c>
      <c r="C178" s="6"/>
      <c r="D178" s="309" t="s">
        <v>866</v>
      </c>
      <c r="E178" s="675">
        <v>30</v>
      </c>
      <c r="F178" s="222">
        <v>31</v>
      </c>
      <c r="G178" s="564">
        <v>10000</v>
      </c>
      <c r="H178" s="260">
        <v>10000</v>
      </c>
      <c r="I178" s="697">
        <v>10000</v>
      </c>
      <c r="J178" s="59"/>
      <c r="K178" s="673"/>
      <c r="L178" s="673"/>
      <c r="M178" s="309"/>
    </row>
    <row r="179" spans="1:43" ht="12.75">
      <c r="A179" s="235"/>
      <c r="B179" s="235"/>
      <c r="C179" s="771"/>
      <c r="D179" s="235"/>
      <c r="E179" s="610"/>
      <c r="F179" s="235"/>
      <c r="G179" s="323" t="s">
        <v>177</v>
      </c>
      <c r="H179" s="772">
        <f t="shared" ref="H179:L179" si="20">SUM(H177:H178)</f>
        <v>31250</v>
      </c>
      <c r="I179" s="773">
        <f t="shared" si="20"/>
        <v>31250</v>
      </c>
      <c r="J179" s="773">
        <f t="shared" si="20"/>
        <v>0</v>
      </c>
      <c r="K179" s="773">
        <f t="shared" si="20"/>
        <v>14300</v>
      </c>
      <c r="L179" s="773">
        <f t="shared" si="20"/>
        <v>14300</v>
      </c>
      <c r="M179" s="610"/>
    </row>
    <row r="180" spans="1:43" ht="12.75">
      <c r="C180" s="499"/>
      <c r="E180" s="287"/>
      <c r="I180" s="499"/>
      <c r="K180" s="287"/>
      <c r="L180" s="287"/>
      <c r="M180" s="287"/>
    </row>
    <row r="181" spans="1:43" ht="12.75">
      <c r="E181" s="287"/>
      <c r="I181" s="499"/>
      <c r="K181" s="287"/>
      <c r="L181" s="287"/>
      <c r="M181" s="287"/>
      <c r="AC181" s="926" t="s">
        <v>895</v>
      </c>
      <c r="AD181" s="681"/>
      <c r="AE181" s="681"/>
      <c r="AF181" s="681"/>
      <c r="AG181" s="681"/>
      <c r="AH181" s="681"/>
      <c r="AI181" s="681"/>
      <c r="AJ181" s="681"/>
      <c r="AK181" s="681"/>
      <c r="AL181" s="681"/>
      <c r="AM181" s="681"/>
      <c r="AN181" s="681"/>
      <c r="AO181" s="681"/>
      <c r="AP181" s="681"/>
      <c r="AQ181" s="681"/>
    </row>
    <row r="182" spans="1:43" ht="63.75">
      <c r="A182" s="219" t="s">
        <v>5</v>
      </c>
      <c r="B182" s="342" t="s">
        <v>437</v>
      </c>
      <c r="C182" s="187"/>
      <c r="D182" s="129" t="s">
        <v>10</v>
      </c>
      <c r="E182" s="288" t="s">
        <v>243</v>
      </c>
      <c r="F182" s="289" t="s">
        <v>244</v>
      </c>
      <c r="G182" s="290" t="s">
        <v>245</v>
      </c>
      <c r="H182" s="291" t="s">
        <v>246</v>
      </c>
      <c r="I182" s="217" t="s">
        <v>532</v>
      </c>
      <c r="J182" s="22" t="s">
        <v>13</v>
      </c>
      <c r="K182" s="923" t="s">
        <v>891</v>
      </c>
      <c r="L182" s="923" t="s">
        <v>892</v>
      </c>
      <c r="M182" s="717" t="s">
        <v>162</v>
      </c>
      <c r="N182" s="14"/>
    </row>
    <row r="183" spans="1:43" ht="12.75">
      <c r="A183" s="463" t="s">
        <v>114</v>
      </c>
      <c r="B183" s="481" t="s">
        <v>978</v>
      </c>
      <c r="C183" s="260"/>
      <c r="D183" s="260" t="s">
        <v>1158</v>
      </c>
      <c r="E183" s="587"/>
      <c r="F183" s="262"/>
      <c r="G183" s="270">
        <v>25000</v>
      </c>
      <c r="H183" s="270">
        <v>25000</v>
      </c>
      <c r="I183" s="794"/>
      <c r="J183" s="779"/>
      <c r="K183" s="503">
        <v>3500</v>
      </c>
      <c r="L183" s="503"/>
      <c r="M183" s="503" t="s">
        <v>275</v>
      </c>
      <c r="N183" s="504"/>
    </row>
    <row r="184" spans="1:43" ht="12.75">
      <c r="A184" s="260" t="s">
        <v>119</v>
      </c>
      <c r="B184" s="775"/>
      <c r="C184" s="260"/>
      <c r="D184" s="260"/>
      <c r="E184" s="587"/>
      <c r="F184" s="262"/>
      <c r="G184" s="270"/>
      <c r="H184" s="270"/>
      <c r="I184" s="794"/>
      <c r="J184" s="150"/>
      <c r="K184" s="309"/>
      <c r="L184" s="309"/>
      <c r="M184" s="309"/>
      <c r="N184" s="781"/>
    </row>
    <row r="185" spans="1:43" ht="12.75">
      <c r="A185" s="260"/>
      <c r="B185" s="639"/>
      <c r="C185" s="260"/>
      <c r="D185" s="260"/>
      <c r="E185" s="587"/>
      <c r="F185" s="262"/>
      <c r="G185" s="270"/>
      <c r="H185" s="270"/>
      <c r="I185" s="794"/>
      <c r="J185" s="150"/>
      <c r="K185" s="309"/>
      <c r="L185" s="309"/>
      <c r="M185" s="309"/>
      <c r="N185" s="482"/>
    </row>
    <row r="186" spans="1:43" ht="12.75">
      <c r="A186" s="234"/>
      <c r="B186" s="481"/>
      <c r="C186" s="6"/>
      <c r="D186" s="45"/>
      <c r="E186" s="675"/>
      <c r="F186" s="221"/>
      <c r="G186" s="236" t="s">
        <v>177</v>
      </c>
      <c r="H186" s="264">
        <f t="shared" ref="H186:L186" si="21">SUM(H183:H185)</f>
        <v>25000</v>
      </c>
      <c r="I186" s="770">
        <f t="shared" si="21"/>
        <v>0</v>
      </c>
      <c r="J186" s="770">
        <f t="shared" si="21"/>
        <v>0</v>
      </c>
      <c r="K186" s="770">
        <f t="shared" si="21"/>
        <v>3500</v>
      </c>
      <c r="L186" s="770">
        <f t="shared" si="21"/>
        <v>0</v>
      </c>
      <c r="M186" s="309"/>
      <c r="N186" s="341"/>
    </row>
    <row r="187" spans="1:43" ht="12.75">
      <c r="A187" s="14"/>
      <c r="B187" s="1101" t="s">
        <v>1160</v>
      </c>
      <c r="C187" s="499"/>
      <c r="E187" s="287"/>
      <c r="F187" s="286"/>
      <c r="G187" s="286"/>
      <c r="I187" s="499"/>
      <c r="K187" s="287"/>
      <c r="L187" s="287"/>
      <c r="M187" s="287"/>
      <c r="AC187" s="1" t="s">
        <v>901</v>
      </c>
    </row>
    <row r="188" spans="1:43" ht="63.75">
      <c r="A188" s="219" t="s">
        <v>5</v>
      </c>
      <c r="B188" s="342" t="s">
        <v>441</v>
      </c>
      <c r="C188" s="187"/>
      <c r="D188" s="129" t="s">
        <v>10</v>
      </c>
      <c r="E188" s="288" t="s">
        <v>243</v>
      </c>
      <c r="F188" s="289" t="s">
        <v>244</v>
      </c>
      <c r="G188" s="290" t="s">
        <v>245</v>
      </c>
      <c r="H188" s="291" t="s">
        <v>246</v>
      </c>
      <c r="I188" s="217" t="s">
        <v>532</v>
      </c>
      <c r="J188" s="22" t="s">
        <v>13</v>
      </c>
      <c r="K188" s="923" t="s">
        <v>891</v>
      </c>
      <c r="L188" s="923" t="s">
        <v>892</v>
      </c>
      <c r="M188" s="717" t="s">
        <v>162</v>
      </c>
      <c r="N188" s="14"/>
      <c r="AC188" s="521"/>
    </row>
    <row r="189" spans="1:43" ht="25.5">
      <c r="A189" s="702" t="s">
        <v>114</v>
      </c>
      <c r="B189" s="283" t="s">
        <v>1161</v>
      </c>
      <c r="C189" s="251"/>
      <c r="D189" s="51" t="s">
        <v>1162</v>
      </c>
      <c r="E189" s="675">
        <v>22</v>
      </c>
      <c r="F189" s="52">
        <v>8</v>
      </c>
      <c r="G189" s="222">
        <v>37500</v>
      </c>
      <c r="H189" s="222">
        <v>12500</v>
      </c>
      <c r="I189" s="311">
        <v>23500</v>
      </c>
      <c r="J189" s="49"/>
      <c r="K189" s="673"/>
      <c r="L189" s="673"/>
      <c r="M189" s="309" t="s">
        <v>1122</v>
      </c>
      <c r="N189" s="794"/>
      <c r="O189" s="681"/>
      <c r="P189" s="681"/>
      <c r="Q189" s="681"/>
      <c r="R189" s="681"/>
      <c r="S189" s="681"/>
      <c r="T189" s="681"/>
      <c r="U189" s="681"/>
      <c r="V189" s="681"/>
      <c r="W189" s="681"/>
      <c r="X189" s="681"/>
      <c r="Y189" s="681"/>
      <c r="Z189" s="681"/>
      <c r="AA189" s="681"/>
      <c r="AB189" s="681"/>
      <c r="AC189" s="681"/>
      <c r="AD189" s="681"/>
      <c r="AE189" s="681"/>
      <c r="AF189" s="681"/>
      <c r="AG189" s="681"/>
      <c r="AH189" s="681"/>
      <c r="AI189" s="681"/>
      <c r="AJ189" s="681"/>
      <c r="AK189" s="681"/>
      <c r="AL189" s="681"/>
      <c r="AM189" s="681"/>
      <c r="AN189" s="681"/>
      <c r="AO189" s="681"/>
      <c r="AP189" s="681"/>
      <c r="AQ189" s="681"/>
    </row>
    <row r="190" spans="1:43" ht="12.75">
      <c r="A190" s="452" t="s">
        <v>119</v>
      </c>
      <c r="B190" s="481" t="s">
        <v>444</v>
      </c>
      <c r="C190" s="454"/>
      <c r="D190" s="454" t="s">
        <v>148</v>
      </c>
      <c r="E190" s="543">
        <v>365</v>
      </c>
      <c r="F190" s="456">
        <v>31</v>
      </c>
      <c r="G190" s="478">
        <v>19000</v>
      </c>
      <c r="H190" s="478">
        <v>19000</v>
      </c>
      <c r="I190" s="783">
        <v>19000</v>
      </c>
      <c r="J190" s="479"/>
      <c r="K190" s="520"/>
      <c r="L190" s="520"/>
      <c r="M190" s="503"/>
      <c r="N190" s="132"/>
    </row>
    <row r="191" spans="1:43" ht="14.25">
      <c r="A191" s="132" t="s">
        <v>114</v>
      </c>
      <c r="B191" s="1076" t="s">
        <v>1125</v>
      </c>
      <c r="C191" s="6"/>
      <c r="D191" s="45"/>
      <c r="E191" s="675"/>
      <c r="F191" s="221"/>
      <c r="G191" s="236" t="s">
        <v>177</v>
      </c>
      <c r="H191" s="264">
        <f t="shared" ref="H191:L191" si="22">SUM(H189:H190)</f>
        <v>31500</v>
      </c>
      <c r="I191" s="770">
        <f t="shared" si="22"/>
        <v>42500</v>
      </c>
      <c r="J191" s="770">
        <f t="shared" si="22"/>
        <v>0</v>
      </c>
      <c r="K191" s="770">
        <f t="shared" si="22"/>
        <v>0</v>
      </c>
      <c r="L191" s="770">
        <f t="shared" si="22"/>
        <v>0</v>
      </c>
      <c r="M191" s="1103"/>
      <c r="N191" s="341"/>
    </row>
    <row r="192" spans="1:43" ht="12.75">
      <c r="A192" s="33" t="s">
        <v>114</v>
      </c>
      <c r="B192" s="328" t="s">
        <v>1051</v>
      </c>
      <c r="C192" s="17"/>
      <c r="E192" s="287"/>
      <c r="F192" s="286"/>
      <c r="G192" s="286"/>
      <c r="I192" s="499"/>
      <c r="K192" s="287"/>
      <c r="L192" s="287"/>
      <c r="M192" s="287"/>
    </row>
    <row r="193" spans="1:29" ht="63.75">
      <c r="A193" s="219" t="s">
        <v>5</v>
      </c>
      <c r="B193" s="342" t="s">
        <v>445</v>
      </c>
      <c r="C193" s="187"/>
      <c r="D193" s="129" t="s">
        <v>10</v>
      </c>
      <c r="E193" s="288" t="s">
        <v>243</v>
      </c>
      <c r="F193" s="289" t="s">
        <v>244</v>
      </c>
      <c r="G193" s="290" t="s">
        <v>245</v>
      </c>
      <c r="H193" s="291" t="s">
        <v>246</v>
      </c>
      <c r="I193" s="217" t="s">
        <v>532</v>
      </c>
      <c r="J193" s="22" t="s">
        <v>13</v>
      </c>
      <c r="K193" s="923" t="s">
        <v>891</v>
      </c>
      <c r="L193" s="923" t="s">
        <v>892</v>
      </c>
      <c r="M193" s="717" t="s">
        <v>162</v>
      </c>
      <c r="N193" s="14"/>
      <c r="AC193" s="509"/>
    </row>
    <row r="194" spans="1:29" ht="12.75">
      <c r="A194" s="2" t="s">
        <v>114</v>
      </c>
      <c r="B194" s="283" t="s">
        <v>1128</v>
      </c>
      <c r="C194" s="251"/>
      <c r="D194" s="251" t="s">
        <v>1166</v>
      </c>
      <c r="E194" s="675"/>
      <c r="F194" s="52"/>
      <c r="G194" s="222"/>
      <c r="H194" s="222">
        <v>15000</v>
      </c>
      <c r="I194" s="251">
        <v>15000</v>
      </c>
      <c r="J194" s="49"/>
      <c r="K194" s="673"/>
      <c r="L194" s="673"/>
      <c r="M194" s="309"/>
      <c r="N194" s="794" t="s">
        <v>520</v>
      </c>
    </row>
    <row r="195" spans="1:29" ht="12.75">
      <c r="A195" s="452" t="s">
        <v>119</v>
      </c>
      <c r="B195" s="481" t="s">
        <v>92</v>
      </c>
      <c r="C195" s="454"/>
      <c r="D195" s="454" t="s">
        <v>1119</v>
      </c>
      <c r="E195" s="543">
        <v>90</v>
      </c>
      <c r="F195" s="456"/>
      <c r="G195" s="478">
        <v>45000</v>
      </c>
      <c r="H195" s="478">
        <v>15000</v>
      </c>
      <c r="I195" s="783"/>
      <c r="J195" s="479"/>
      <c r="K195" s="520"/>
      <c r="L195" s="520"/>
      <c r="M195" s="503"/>
      <c r="N195" s="132" t="s">
        <v>675</v>
      </c>
    </row>
    <row r="196" spans="1:29" ht="12.75">
      <c r="A196" s="132"/>
      <c r="B196" s="4"/>
      <c r="C196" s="6"/>
      <c r="D196" s="45"/>
      <c r="E196" s="675"/>
      <c r="F196" s="221"/>
      <c r="G196" s="236" t="s">
        <v>177</v>
      </c>
      <c r="H196" s="264">
        <f t="shared" ref="H196:L196" si="23">SUM(H194:H195)</f>
        <v>30000</v>
      </c>
      <c r="I196" s="785">
        <f t="shared" si="23"/>
        <v>15000</v>
      </c>
      <c r="J196" s="785">
        <f t="shared" si="23"/>
        <v>0</v>
      </c>
      <c r="K196" s="785">
        <f t="shared" si="23"/>
        <v>0</v>
      </c>
      <c r="L196" s="785">
        <f t="shared" si="23"/>
        <v>0</v>
      </c>
      <c r="M196" s="309"/>
      <c r="N196" s="341"/>
    </row>
    <row r="197" spans="1:29" ht="12.75">
      <c r="A197" s="33" t="s">
        <v>114</v>
      </c>
      <c r="B197" s="10" t="s">
        <v>1167</v>
      </c>
      <c r="C197" s="499"/>
      <c r="E197" s="287"/>
      <c r="F197" s="286"/>
      <c r="G197" s="286"/>
      <c r="I197" s="499"/>
      <c r="K197" s="287"/>
      <c r="L197" s="287"/>
      <c r="M197" s="287"/>
    </row>
    <row r="198" spans="1:29" ht="12.75">
      <c r="B198" s="926"/>
      <c r="C198" s="926"/>
      <c r="D198" s="926"/>
      <c r="E198" s="287"/>
      <c r="I198" s="499"/>
      <c r="K198" s="287"/>
      <c r="L198" s="287"/>
      <c r="M198" s="287"/>
    </row>
    <row r="199" spans="1:29" ht="38.25">
      <c r="B199" s="10" t="s">
        <v>1168</v>
      </c>
      <c r="E199" s="287"/>
      <c r="H199" s="1105" t="s">
        <v>668</v>
      </c>
      <c r="I199" s="1107">
        <f>SUM(I24+I48+I63+I80+I95+I100+I104+I113+I120+I126+I133+I143+I149+I155+I161+I167+I173+I179+I186+I191+I196+L24+L48+L63+L80+L95+L100+L104+L113+L120+L126+L133+L143+L167+L173+L179+L186+L191+L196)</f>
        <v>1156576</v>
      </c>
      <c r="J199" s="1" t="s">
        <v>1170</v>
      </c>
      <c r="K199" s="287"/>
      <c r="L199" s="287"/>
      <c r="M199" s="287"/>
    </row>
    <row r="200" spans="1:29" ht="12.75">
      <c r="E200" s="287"/>
      <c r="K200" s="287"/>
      <c r="L200" s="287"/>
      <c r="M200" s="287"/>
    </row>
    <row r="201" spans="1:29" ht="12.75">
      <c r="E201" s="287"/>
      <c r="K201" s="287"/>
      <c r="L201" s="287"/>
      <c r="M201" s="287"/>
    </row>
    <row r="202" spans="1:29" ht="33" customHeight="1">
      <c r="B202" s="1088" t="s">
        <v>768</v>
      </c>
      <c r="E202" s="287"/>
      <c r="H202" s="1108" t="s">
        <v>671</v>
      </c>
      <c r="I202" s="1110">
        <f>SUM(H24+H48+H63+H80+H95+H100+H104+H113+H120+H126+H133+H143+H149+H155+H161+H167+H173+H179+H186+H191+H196+K24+K48+K63+K80+K95+K100+K104+K113+K120+K126+K133+K143+K167+K173+K179+K186+K191+K196)</f>
        <v>1883494.1400000001</v>
      </c>
      <c r="K202" s="287"/>
      <c r="L202" s="287"/>
      <c r="M202" s="287"/>
    </row>
    <row r="203" spans="1:29" ht="25.5">
      <c r="E203" s="287"/>
      <c r="H203" s="1111" t="s">
        <v>1171</v>
      </c>
      <c r="I203" s="613">
        <f>SUM(K24+K48+K63+K80+K95+K100+K104+K113+K120+K126+K133+K143+K149+K155+K161+K167+K173+K179+K186+K191+K196)</f>
        <v>58600</v>
      </c>
      <c r="J203" s="1" t="s">
        <v>199</v>
      </c>
      <c r="K203" s="287"/>
      <c r="L203" s="287"/>
      <c r="M203" s="287"/>
    </row>
    <row r="204" spans="1:29" ht="12.75">
      <c r="AC204" s="14"/>
    </row>
    <row r="205" spans="1:29" ht="12.75">
      <c r="AC205" s="504"/>
    </row>
    <row r="206" spans="1:29" ht="12.75">
      <c r="AC206" s="781"/>
    </row>
    <row r="207" spans="1:29" ht="12.75">
      <c r="AC207" s="482"/>
    </row>
    <row r="208" spans="1:29" ht="12.75">
      <c r="AC208" s="341"/>
    </row>
    <row r="210" spans="29:29" ht="12.75">
      <c r="AC210" s="14"/>
    </row>
    <row r="211" spans="29:29" ht="12.75">
      <c r="AC211" s="352" t="s">
        <v>1050</v>
      </c>
    </row>
    <row r="212" spans="29:29" ht="12.75">
      <c r="AC212" s="132"/>
    </row>
    <row r="213" spans="29:29" ht="12.75">
      <c r="AC213" s="341"/>
    </row>
    <row r="215" spans="29:29" ht="12.75">
      <c r="AC215" s="14"/>
    </row>
    <row r="216" spans="29:29" ht="12.75">
      <c r="AC216" s="794" t="s">
        <v>1055</v>
      </c>
    </row>
    <row r="217" spans="29:29" ht="12.75">
      <c r="AC217" s="132" t="s">
        <v>1056</v>
      </c>
    </row>
    <row r="218" spans="29:29" ht="12.75">
      <c r="AC218" s="341"/>
    </row>
  </sheetData>
  <mergeCells count="1">
    <mergeCell ref="C112:F11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AQ247"/>
  <sheetViews>
    <sheetView workbookViewId="0">
      <pane ySplit="4" topLeftCell="A5" activePane="bottomLeft" state="frozen"/>
      <selection pane="bottomLeft" activeCell="B6" sqref="B6"/>
    </sheetView>
  </sheetViews>
  <sheetFormatPr defaultColWidth="12.5703125" defaultRowHeight="15.75" customHeight="1"/>
  <cols>
    <col min="1" max="1" width="12" customWidth="1"/>
    <col min="2" max="2" width="32.28515625" customWidth="1"/>
    <col min="4" max="4" width="21.42578125" customWidth="1"/>
    <col min="11" max="13" width="20.28515625" customWidth="1"/>
    <col min="14" max="14" width="22.7109375" customWidth="1"/>
    <col min="18" max="18" width="12" customWidth="1"/>
    <col min="19" max="19" width="27.42578125" customWidth="1"/>
    <col min="21" max="21" width="21.42578125" customWidth="1"/>
    <col min="28" max="28" width="20.28515625" customWidth="1"/>
    <col min="29" max="29" width="22.7109375" customWidth="1"/>
  </cols>
  <sheetData>
    <row r="1" spans="1:43" ht="12.75">
      <c r="C1" s="499"/>
      <c r="E1" s="287"/>
      <c r="I1" s="499"/>
      <c r="K1" s="287"/>
      <c r="L1" s="287"/>
      <c r="M1" s="287"/>
    </row>
    <row r="2" spans="1:43" ht="12.75">
      <c r="C2" s="499"/>
      <c r="E2" s="287"/>
      <c r="I2" s="499"/>
      <c r="K2" s="287"/>
      <c r="L2" s="287"/>
      <c r="M2" s="287"/>
    </row>
    <row r="3" spans="1:43" ht="63.75">
      <c r="A3" s="523" t="s">
        <v>5</v>
      </c>
      <c r="B3" s="524" t="s">
        <v>7</v>
      </c>
      <c r="C3" s="525" t="s">
        <v>159</v>
      </c>
      <c r="D3" s="526" t="s">
        <v>10</v>
      </c>
      <c r="E3" s="527" t="s">
        <v>243</v>
      </c>
      <c r="F3" s="528" t="s">
        <v>244</v>
      </c>
      <c r="G3" s="528" t="s">
        <v>245</v>
      </c>
      <c r="H3" s="529" t="s">
        <v>246</v>
      </c>
      <c r="I3" s="525" t="s">
        <v>532</v>
      </c>
      <c r="J3" s="530" t="s">
        <v>13</v>
      </c>
      <c r="K3" s="923" t="s">
        <v>891</v>
      </c>
      <c r="L3" s="923" t="s">
        <v>892</v>
      </c>
      <c r="M3" s="531" t="s">
        <v>162</v>
      </c>
      <c r="N3" s="14"/>
    </row>
    <row r="4" spans="1:43" ht="12.75">
      <c r="A4" s="219"/>
      <c r="B4" s="4"/>
      <c r="C4" s="59"/>
      <c r="D4" s="45"/>
      <c r="E4" s="532"/>
      <c r="F4" s="220"/>
      <c r="G4" s="533"/>
      <c r="H4" s="533"/>
      <c r="I4" s="223"/>
      <c r="J4" s="223"/>
      <c r="K4" s="924"/>
      <c r="L4" s="924"/>
      <c r="M4" s="534"/>
      <c r="N4" s="144"/>
    </row>
    <row r="5" spans="1:43" ht="25.5">
      <c r="A5" s="782">
        <v>1</v>
      </c>
      <c r="B5" s="617" t="s">
        <v>29</v>
      </c>
      <c r="C5" s="619">
        <v>5</v>
      </c>
      <c r="D5" s="621" t="s">
        <v>996</v>
      </c>
      <c r="E5" s="622" t="s">
        <v>534</v>
      </c>
      <c r="F5" s="619">
        <v>31</v>
      </c>
      <c r="G5" s="623">
        <v>32000</v>
      </c>
      <c r="H5" s="623">
        <v>32000</v>
      </c>
      <c r="I5" s="619">
        <v>32000</v>
      </c>
      <c r="J5" s="619"/>
      <c r="K5" s="622"/>
      <c r="L5" s="622"/>
      <c r="M5" s="622" t="s">
        <v>799</v>
      </c>
      <c r="N5" s="100"/>
    </row>
    <row r="6" spans="1:43" ht="12.75">
      <c r="A6" s="782">
        <v>2</v>
      </c>
      <c r="B6" s="625" t="s">
        <v>955</v>
      </c>
      <c r="C6" s="619">
        <v>5</v>
      </c>
      <c r="D6" s="627" t="s">
        <v>1001</v>
      </c>
      <c r="E6" s="622">
        <v>30</v>
      </c>
      <c r="F6" s="619">
        <v>31</v>
      </c>
      <c r="G6" s="623"/>
      <c r="H6" s="623">
        <v>29600</v>
      </c>
      <c r="I6" s="619"/>
      <c r="J6" s="619"/>
      <c r="K6" s="622"/>
      <c r="L6" s="622"/>
      <c r="M6" s="622"/>
      <c r="N6" s="192"/>
    </row>
    <row r="7" spans="1:43" ht="25.5">
      <c r="A7" s="782">
        <v>3</v>
      </c>
      <c r="B7" s="617" t="s">
        <v>340</v>
      </c>
      <c r="C7" s="621">
        <v>5</v>
      </c>
      <c r="D7" s="621" t="s">
        <v>1004</v>
      </c>
      <c r="E7" s="629" t="s">
        <v>534</v>
      </c>
      <c r="F7" s="621">
        <v>31</v>
      </c>
      <c r="G7" s="623">
        <v>210000</v>
      </c>
      <c r="H7" s="623">
        <v>17500</v>
      </c>
      <c r="I7" s="621">
        <v>17500</v>
      </c>
      <c r="J7" s="621"/>
      <c r="K7" s="629"/>
      <c r="L7" s="629"/>
      <c r="M7" s="629" t="s">
        <v>535</v>
      </c>
      <c r="N7" s="957"/>
      <c r="O7" s="509"/>
    </row>
    <row r="8" spans="1:43" ht="12.75">
      <c r="A8" s="782">
        <v>4</v>
      </c>
      <c r="B8" s="625" t="s">
        <v>897</v>
      </c>
      <c r="C8" s="619">
        <v>5</v>
      </c>
      <c r="D8" s="619" t="s">
        <v>148</v>
      </c>
      <c r="E8" s="622"/>
      <c r="F8" s="619">
        <v>31</v>
      </c>
      <c r="G8" s="623"/>
      <c r="H8" s="623">
        <v>25900</v>
      </c>
      <c r="I8" s="619">
        <v>25900</v>
      </c>
      <c r="J8" s="619"/>
      <c r="K8" s="622"/>
      <c r="L8" s="622"/>
      <c r="M8" s="622"/>
      <c r="N8" s="192"/>
    </row>
    <row r="9" spans="1:43" ht="12.75">
      <c r="A9" s="782">
        <v>5</v>
      </c>
      <c r="B9" s="784" t="s">
        <v>538</v>
      </c>
      <c r="C9" s="619">
        <v>5</v>
      </c>
      <c r="D9" s="619" t="s">
        <v>996</v>
      </c>
      <c r="E9" s="622"/>
      <c r="F9" s="619">
        <v>31</v>
      </c>
      <c r="G9" s="623"/>
      <c r="H9" s="623">
        <v>59200</v>
      </c>
      <c r="I9" s="619">
        <v>59200</v>
      </c>
      <c r="J9" s="619"/>
      <c r="K9" s="622"/>
      <c r="L9" s="622"/>
      <c r="M9" s="622"/>
      <c r="N9" s="192"/>
    </row>
    <row r="10" spans="1:43" ht="12.75">
      <c r="A10" s="959">
        <v>6</v>
      </c>
      <c r="B10" s="4" t="s">
        <v>773</v>
      </c>
      <c r="C10" s="59">
        <v>5</v>
      </c>
      <c r="D10" s="45" t="s">
        <v>1009</v>
      </c>
      <c r="E10" s="545">
        <v>180</v>
      </c>
      <c r="F10" s="223">
        <v>11</v>
      </c>
      <c r="G10" s="223"/>
      <c r="H10" s="222">
        <v>25900</v>
      </c>
      <c r="I10" s="223">
        <v>25900</v>
      </c>
      <c r="J10" s="220"/>
      <c r="K10" s="394"/>
      <c r="L10" s="394"/>
      <c r="M10" s="500" t="s">
        <v>775</v>
      </c>
      <c r="N10" s="230" t="s">
        <v>776</v>
      </c>
      <c r="O10" s="842"/>
      <c r="P10" s="842"/>
      <c r="Q10" s="842"/>
      <c r="R10" s="842"/>
      <c r="S10" s="842"/>
      <c r="T10" s="842"/>
      <c r="U10" s="842"/>
      <c r="V10" s="842"/>
      <c r="W10" s="842"/>
      <c r="X10" s="842"/>
      <c r="Y10" s="842"/>
      <c r="Z10" s="842"/>
      <c r="AA10" s="842"/>
      <c r="AB10" s="842"/>
    </row>
    <row r="11" spans="1:43" ht="12.75">
      <c r="A11" s="782">
        <v>7</v>
      </c>
      <c r="B11" s="876" t="s">
        <v>902</v>
      </c>
      <c r="C11" s="825">
        <v>5</v>
      </c>
      <c r="D11" s="838" t="s">
        <v>996</v>
      </c>
      <c r="E11" s="828">
        <v>31</v>
      </c>
      <c r="F11" s="825">
        <v>31</v>
      </c>
      <c r="G11" s="827"/>
      <c r="H11" s="841">
        <v>29600</v>
      </c>
      <c r="I11" s="621">
        <v>79000</v>
      </c>
      <c r="J11" s="621"/>
      <c r="K11" s="629"/>
      <c r="L11" s="629"/>
      <c r="M11" s="930"/>
      <c r="N11" s="463"/>
      <c r="O11" s="509"/>
    </row>
    <row r="12" spans="1:43" ht="12.75">
      <c r="A12" s="782">
        <v>8</v>
      </c>
      <c r="B12" s="617" t="s">
        <v>574</v>
      </c>
      <c r="C12" s="619">
        <v>5</v>
      </c>
      <c r="D12" s="621" t="s">
        <v>996</v>
      </c>
      <c r="E12" s="622">
        <v>180</v>
      </c>
      <c r="F12" s="619">
        <v>31</v>
      </c>
      <c r="G12" s="623">
        <v>155400</v>
      </c>
      <c r="H12" s="623">
        <v>53900</v>
      </c>
      <c r="I12" s="619">
        <v>53900</v>
      </c>
      <c r="J12" s="619"/>
      <c r="K12" s="622"/>
      <c r="L12" s="622"/>
      <c r="M12" s="804" t="s">
        <v>331</v>
      </c>
      <c r="N12" s="144"/>
      <c r="O12" s="1" t="s">
        <v>199</v>
      </c>
    </row>
    <row r="13" spans="1:43" ht="12.75">
      <c r="A13" s="782">
        <v>9</v>
      </c>
      <c r="B13" s="617" t="s">
        <v>904</v>
      </c>
      <c r="C13" s="619">
        <v>5</v>
      </c>
      <c r="D13" s="619" t="s">
        <v>1011</v>
      </c>
      <c r="E13" s="622">
        <v>180</v>
      </c>
      <c r="F13" s="619">
        <v>31</v>
      </c>
      <c r="G13" s="623"/>
      <c r="H13" s="623">
        <v>25900</v>
      </c>
      <c r="I13" s="619">
        <v>25900</v>
      </c>
      <c r="J13" s="619"/>
      <c r="K13" s="622"/>
      <c r="L13" s="622"/>
      <c r="M13" s="804"/>
      <c r="N13" s="144"/>
    </row>
    <row r="14" spans="1:43" ht="12.75">
      <c r="A14" s="782">
        <v>10</v>
      </c>
      <c r="B14" s="617" t="s">
        <v>495</v>
      </c>
      <c r="C14" s="619">
        <v>5</v>
      </c>
      <c r="D14" s="619" t="s">
        <v>1012</v>
      </c>
      <c r="E14" s="622"/>
      <c r="F14" s="619"/>
      <c r="G14" s="623"/>
      <c r="H14" s="623">
        <v>70750</v>
      </c>
      <c r="I14" s="619">
        <v>70750</v>
      </c>
      <c r="J14" s="619"/>
      <c r="K14" s="622"/>
      <c r="L14" s="622"/>
      <c r="M14" s="804" t="s">
        <v>1013</v>
      </c>
      <c r="N14" s="192"/>
    </row>
    <row r="15" spans="1:43" ht="12.75">
      <c r="A15" s="782">
        <v>11</v>
      </c>
      <c r="B15" s="1004"/>
      <c r="C15" s="1005"/>
      <c r="D15" s="1005"/>
      <c r="E15" s="882"/>
      <c r="F15" s="1005"/>
      <c r="G15" s="1006"/>
      <c r="H15" s="1006"/>
      <c r="I15" s="1005"/>
      <c r="J15" s="1005"/>
      <c r="K15" s="882"/>
      <c r="L15" s="882"/>
      <c r="M15" s="1007"/>
      <c r="N15" s="260"/>
      <c r="O15" s="681"/>
      <c r="P15" s="681"/>
      <c r="Q15" s="681"/>
      <c r="R15" s="681"/>
      <c r="S15" s="681"/>
      <c r="T15" s="681"/>
      <c r="U15" s="681"/>
      <c r="V15" s="681"/>
      <c r="W15" s="681"/>
      <c r="X15" s="681"/>
      <c r="Y15" s="681"/>
      <c r="Z15" s="681"/>
      <c r="AA15" s="681"/>
      <c r="AB15" s="681"/>
      <c r="AC15" s="681"/>
      <c r="AD15" s="681"/>
      <c r="AE15" s="681"/>
      <c r="AF15" s="681"/>
      <c r="AG15" s="681"/>
      <c r="AH15" s="681"/>
      <c r="AI15" s="681"/>
      <c r="AJ15" s="681"/>
      <c r="AK15" s="681"/>
      <c r="AL15" s="681"/>
      <c r="AM15" s="681"/>
      <c r="AN15" s="681"/>
      <c r="AO15" s="681"/>
      <c r="AP15" s="681"/>
      <c r="AQ15" s="681"/>
    </row>
    <row r="16" spans="1:43" ht="25.5">
      <c r="A16" s="782">
        <v>12</v>
      </c>
      <c r="B16" s="617" t="s">
        <v>23</v>
      </c>
      <c r="C16" s="619">
        <v>5</v>
      </c>
      <c r="D16" s="621" t="s">
        <v>996</v>
      </c>
      <c r="E16" s="622" t="s">
        <v>534</v>
      </c>
      <c r="F16" s="619">
        <v>31</v>
      </c>
      <c r="G16" s="623">
        <v>33000</v>
      </c>
      <c r="H16" s="623">
        <v>33000</v>
      </c>
      <c r="I16" s="619">
        <v>33000</v>
      </c>
      <c r="J16" s="619"/>
      <c r="K16" s="622"/>
      <c r="L16" s="622"/>
      <c r="M16" s="622"/>
      <c r="N16" s="260" t="s">
        <v>581</v>
      </c>
    </row>
    <row r="17" spans="1:30" ht="12.75">
      <c r="A17" s="782">
        <v>13</v>
      </c>
      <c r="B17" s="453"/>
      <c r="C17" s="251"/>
      <c r="D17" s="453"/>
      <c r="E17" s="882"/>
      <c r="F17" s="251"/>
      <c r="G17" s="251"/>
      <c r="H17" s="251"/>
      <c r="I17" s="251"/>
      <c r="J17" s="251"/>
      <c r="K17" s="673"/>
      <c r="L17" s="673"/>
      <c r="M17" s="673"/>
      <c r="N17" s="144"/>
    </row>
    <row r="18" spans="1:30" ht="12.75">
      <c r="A18" s="782">
        <v>14</v>
      </c>
      <c r="B18" s="481" t="s">
        <v>956</v>
      </c>
      <c r="C18" s="454">
        <v>5</v>
      </c>
      <c r="D18" s="477" t="s">
        <v>1018</v>
      </c>
      <c r="E18" s="543"/>
      <c r="F18" s="478"/>
      <c r="G18" s="478"/>
      <c r="H18" s="478">
        <v>25000</v>
      </c>
      <c r="I18" s="478"/>
      <c r="J18" s="498"/>
      <c r="K18" s="520"/>
      <c r="L18" s="520"/>
      <c r="M18" s="503" t="s">
        <v>275</v>
      </c>
      <c r="N18" s="463"/>
    </row>
    <row r="19" spans="1:30" ht="12.75">
      <c r="A19" s="782">
        <v>15</v>
      </c>
      <c r="B19" s="328" t="s">
        <v>909</v>
      </c>
      <c r="C19" s="59"/>
      <c r="D19" s="45"/>
      <c r="E19" s="545"/>
      <c r="F19" s="223"/>
      <c r="G19" s="223"/>
      <c r="H19" s="222"/>
      <c r="I19" s="223"/>
      <c r="J19" s="220"/>
      <c r="K19" s="235"/>
      <c r="L19" s="235"/>
      <c r="M19" s="235"/>
      <c r="N19" s="230"/>
    </row>
    <row r="20" spans="1:30" ht="12.75">
      <c r="A20" s="782">
        <v>16</v>
      </c>
      <c r="B20" s="253"/>
      <c r="C20" s="59"/>
      <c r="D20" s="45"/>
      <c r="E20" s="545"/>
      <c r="F20" s="223"/>
      <c r="G20" s="223"/>
      <c r="H20" s="273"/>
      <c r="I20" s="233"/>
      <c r="J20" s="233"/>
      <c r="K20" s="230"/>
      <c r="L20" s="230"/>
      <c r="M20" s="230"/>
      <c r="N20" s="100"/>
    </row>
    <row r="21" spans="1:30" ht="12.75">
      <c r="A21" s="782">
        <v>17</v>
      </c>
      <c r="B21" s="254" t="s">
        <v>963</v>
      </c>
      <c r="C21" s="454"/>
      <c r="D21" s="455"/>
      <c r="E21" s="543"/>
      <c r="F21" s="458"/>
      <c r="G21" s="458"/>
      <c r="H21" s="458"/>
      <c r="I21" s="829"/>
      <c r="J21" s="548"/>
      <c r="K21" s="503"/>
      <c r="L21" s="503"/>
      <c r="M21" s="503"/>
      <c r="N21" s="779"/>
    </row>
    <row r="22" spans="1:30" ht="12.75">
      <c r="A22" s="269"/>
      <c r="B22" s="254" t="s">
        <v>966</v>
      </c>
      <c r="C22" s="59"/>
      <c r="D22" s="251"/>
      <c r="E22" s="550"/>
      <c r="F22" s="401"/>
      <c r="G22" s="402"/>
      <c r="H22" s="222"/>
      <c r="I22" s="551"/>
      <c r="J22" s="395"/>
      <c r="K22" s="673"/>
      <c r="L22" s="673"/>
      <c r="M22" s="309"/>
      <c r="N22" s="682"/>
    </row>
    <row r="23" spans="1:30" ht="12.75">
      <c r="A23" s="114"/>
      <c r="B23" s="236" t="s">
        <v>177</v>
      </c>
      <c r="C23" s="6">
        <f>SUM(C5:C22)</f>
        <v>60</v>
      </c>
      <c r="D23" s="109"/>
      <c r="E23" s="552"/>
      <c r="F23" s="237"/>
      <c r="G23" s="237">
        <f t="shared" ref="G23:H23" si="0">SUM(G4:G22)</f>
        <v>430400</v>
      </c>
      <c r="H23" s="553">
        <f t="shared" si="0"/>
        <v>428250</v>
      </c>
      <c r="I23" s="554">
        <f>SUM(I5:I22)</f>
        <v>423050</v>
      </c>
      <c r="J23" s="555">
        <f t="shared" ref="J23:K23" si="1">SUM(J4:J22)</f>
        <v>0</v>
      </c>
      <c r="K23" s="945">
        <f t="shared" si="1"/>
        <v>0</v>
      </c>
      <c r="L23" s="945">
        <f>SUM(L4:L22)</f>
        <v>0</v>
      </c>
      <c r="M23" s="988"/>
      <c r="N23" s="696">
        <f>M23/G23*100</f>
        <v>0</v>
      </c>
    </row>
    <row r="24" spans="1:30" ht="12.75">
      <c r="A24" s="14"/>
      <c r="B24" s="896" t="s">
        <v>970</v>
      </c>
      <c r="C24" s="697"/>
      <c r="D24" s="185"/>
      <c r="E24" s="557"/>
      <c r="F24" s="558"/>
      <c r="G24" s="558"/>
      <c r="H24" s="265"/>
      <c r="I24" s="265"/>
      <c r="J24" s="265"/>
      <c r="K24" s="743"/>
      <c r="L24" s="743"/>
      <c r="M24" s="559"/>
      <c r="N24" s="14"/>
    </row>
    <row r="25" spans="1:30" ht="12.75">
      <c r="A25" s="33"/>
      <c r="B25" s="1015"/>
      <c r="C25" s="1016"/>
      <c r="D25" s="926"/>
      <c r="E25" s="1017"/>
      <c r="F25" s="926"/>
      <c r="G25" s="1018"/>
      <c r="H25" s="1018"/>
      <c r="I25" s="1021"/>
      <c r="J25" s="1021"/>
      <c r="K25" s="1022"/>
      <c r="L25" s="1022"/>
      <c r="M25" s="1023"/>
      <c r="N25" s="33"/>
      <c r="AC25" s="14"/>
    </row>
    <row r="26" spans="1:30" ht="12.75">
      <c r="A26" s="33"/>
      <c r="B26" s="1015"/>
      <c r="C26" s="1016"/>
      <c r="D26" s="926"/>
      <c r="E26" s="1017"/>
      <c r="F26" s="926"/>
      <c r="G26" s="1018"/>
      <c r="H26" s="1018"/>
      <c r="I26" s="1021"/>
      <c r="J26" s="1021"/>
      <c r="K26" s="1022"/>
      <c r="L26" s="1022"/>
      <c r="M26" s="1023"/>
      <c r="N26" s="33"/>
      <c r="AC26" s="14"/>
    </row>
    <row r="27" spans="1:30" ht="12.75">
      <c r="A27" s="560"/>
      <c r="B27" s="561"/>
      <c r="C27" s="562"/>
      <c r="D27" s="561"/>
      <c r="E27" s="563"/>
      <c r="F27" s="561"/>
      <c r="G27" s="565"/>
      <c r="H27" s="565"/>
      <c r="I27" s="566"/>
      <c r="J27" s="566"/>
      <c r="K27" s="950"/>
      <c r="L27" s="950"/>
      <c r="M27" s="567"/>
      <c r="N27" s="33"/>
      <c r="AC27" s="14"/>
    </row>
    <row r="28" spans="1:30" ht="12.75">
      <c r="A28" s="568"/>
      <c r="B28" s="569"/>
      <c r="C28" s="338"/>
      <c r="D28" s="570"/>
      <c r="E28" s="571"/>
      <c r="F28" s="572"/>
      <c r="G28" s="572"/>
      <c r="H28" s="573"/>
      <c r="I28" s="574"/>
      <c r="J28" s="574"/>
      <c r="K28" s="951"/>
      <c r="L28" s="951"/>
      <c r="M28" s="575"/>
      <c r="N28" s="33"/>
      <c r="AC28" s="33"/>
    </row>
    <row r="29" spans="1:30" ht="12.75">
      <c r="A29" s="568"/>
      <c r="B29" s="576"/>
      <c r="C29" s="340"/>
      <c r="D29" s="577"/>
      <c r="E29" s="578"/>
      <c r="F29" s="319"/>
      <c r="G29" s="319"/>
      <c r="H29" s="320"/>
      <c r="I29" s="320"/>
      <c r="J29" s="320"/>
      <c r="K29" s="952"/>
      <c r="L29" s="952"/>
      <c r="M29" s="579"/>
      <c r="N29" s="33"/>
      <c r="AC29" s="14"/>
    </row>
    <row r="30" spans="1:30" ht="12.75">
      <c r="A30" s="580"/>
      <c r="B30" s="581"/>
      <c r="C30" s="260"/>
      <c r="D30" s="260"/>
      <c r="E30" s="578"/>
      <c r="F30" s="582"/>
      <c r="G30" s="572"/>
      <c r="H30" s="270"/>
      <c r="I30" s="583"/>
      <c r="J30" s="584"/>
      <c r="K30" s="953"/>
      <c r="L30" s="953"/>
      <c r="M30" s="585"/>
      <c r="N30" s="303"/>
      <c r="AC30" s="324"/>
    </row>
    <row r="31" spans="1:30" ht="12.75">
      <c r="A31" s="568"/>
      <c r="B31" s="586"/>
      <c r="C31" s="340"/>
      <c r="D31" s="577"/>
      <c r="E31" s="587"/>
      <c r="F31" s="582"/>
      <c r="G31" s="582"/>
      <c r="H31" s="237"/>
      <c r="I31" s="582"/>
      <c r="J31" s="582"/>
      <c r="K31" s="954"/>
      <c r="L31" s="954"/>
      <c r="M31" s="588"/>
      <c r="N31" s="33"/>
      <c r="AC31" s="539"/>
      <c r="AD31" s="509"/>
    </row>
    <row r="32" spans="1:30" ht="12.75">
      <c r="A32" s="589"/>
      <c r="B32" s="590"/>
      <c r="C32" s="591"/>
      <c r="D32" s="590"/>
      <c r="E32" s="592"/>
      <c r="F32" s="590"/>
      <c r="G32" s="590"/>
      <c r="H32" s="590"/>
      <c r="I32" s="591"/>
      <c r="J32" s="590"/>
      <c r="K32" s="955"/>
      <c r="L32" s="955"/>
      <c r="M32" s="593"/>
      <c r="AC32" s="324"/>
    </row>
    <row r="33" spans="1:43" ht="12.75">
      <c r="A33" s="2"/>
      <c r="B33" s="4"/>
      <c r="C33" s="6"/>
      <c r="D33" s="8"/>
      <c r="E33" s="532"/>
      <c r="F33" s="220"/>
      <c r="G33" s="220"/>
      <c r="H33" s="6"/>
      <c r="I33" s="6"/>
      <c r="J33" s="6"/>
      <c r="K33" s="618"/>
      <c r="L33" s="618"/>
      <c r="M33" s="594"/>
      <c r="N33" s="14"/>
      <c r="AC33" s="324"/>
    </row>
    <row r="34" spans="1:43" ht="63.75">
      <c r="A34" s="595" t="s">
        <v>5</v>
      </c>
      <c r="B34" s="596" t="s">
        <v>74</v>
      </c>
      <c r="C34" s="597" t="s">
        <v>159</v>
      </c>
      <c r="D34" s="598" t="s">
        <v>10</v>
      </c>
      <c r="E34" s="599" t="s">
        <v>243</v>
      </c>
      <c r="F34" s="600" t="s">
        <v>244</v>
      </c>
      <c r="G34" s="600" t="s">
        <v>245</v>
      </c>
      <c r="H34" s="601" t="s">
        <v>246</v>
      </c>
      <c r="I34" s="597" t="s">
        <v>532</v>
      </c>
      <c r="J34" s="602" t="s">
        <v>13</v>
      </c>
      <c r="K34" s="923" t="s">
        <v>891</v>
      </c>
      <c r="L34" s="923" t="s">
        <v>892</v>
      </c>
      <c r="M34" s="603" t="s">
        <v>162</v>
      </c>
      <c r="N34" s="14"/>
      <c r="AC34" s="176"/>
      <c r="AD34" s="842"/>
      <c r="AE34" s="842"/>
      <c r="AF34" s="842"/>
      <c r="AG34" s="842"/>
      <c r="AH34" s="842"/>
      <c r="AI34" s="842"/>
      <c r="AJ34" s="842"/>
      <c r="AK34" s="842"/>
      <c r="AL34" s="842"/>
      <c r="AM34" s="842"/>
      <c r="AN34" s="842"/>
      <c r="AO34" s="842"/>
      <c r="AP34" s="842"/>
      <c r="AQ34" s="842"/>
    </row>
    <row r="35" spans="1:43" ht="25.5">
      <c r="A35" s="269">
        <v>1</v>
      </c>
      <c r="B35" s="443" t="s">
        <v>135</v>
      </c>
      <c r="C35" s="144">
        <v>5</v>
      </c>
      <c r="D35" s="715" t="s">
        <v>996</v>
      </c>
      <c r="E35" s="230" t="s">
        <v>148</v>
      </c>
      <c r="F35" s="144">
        <v>31</v>
      </c>
      <c r="G35" s="608"/>
      <c r="H35" s="608">
        <v>32000</v>
      </c>
      <c r="I35" s="608">
        <v>32000</v>
      </c>
      <c r="J35" s="608"/>
      <c r="K35" s="503"/>
      <c r="L35" s="503"/>
      <c r="M35" s="503"/>
      <c r="N35" s="992"/>
      <c r="AC35" s="451"/>
      <c r="AD35" s="509"/>
    </row>
    <row r="36" spans="1:43" ht="12.75">
      <c r="A36" s="269">
        <v>2</v>
      </c>
      <c r="B36" s="443" t="s">
        <v>773</v>
      </c>
      <c r="C36" s="144">
        <v>5</v>
      </c>
      <c r="D36" s="203" t="s">
        <v>1065</v>
      </c>
      <c r="E36" s="230">
        <v>180</v>
      </c>
      <c r="F36" s="608">
        <v>11</v>
      </c>
      <c r="G36" s="608"/>
      <c r="H36" s="608">
        <v>24500</v>
      </c>
      <c r="I36" s="608">
        <v>24500</v>
      </c>
      <c r="J36" s="609"/>
      <c r="K36" s="503"/>
      <c r="L36" s="503"/>
      <c r="M36" s="503" t="s">
        <v>768</v>
      </c>
      <c r="N36" s="100"/>
      <c r="AC36" s="33" t="s">
        <v>664</v>
      </c>
      <c r="AD36" s="1" t="s">
        <v>199</v>
      </c>
    </row>
    <row r="37" spans="1:43" ht="12.75">
      <c r="A37" s="269">
        <v>3</v>
      </c>
      <c r="B37" s="443" t="s">
        <v>1008</v>
      </c>
      <c r="C37" s="178">
        <v>5</v>
      </c>
      <c r="D37" s="171" t="s">
        <v>996</v>
      </c>
      <c r="E37" s="295">
        <v>31</v>
      </c>
      <c r="F37" s="178">
        <v>31</v>
      </c>
      <c r="G37" s="865">
        <v>20600</v>
      </c>
      <c r="H37" s="865">
        <v>20600</v>
      </c>
      <c r="I37" s="608">
        <v>29200</v>
      </c>
      <c r="J37" s="609"/>
      <c r="K37" s="503"/>
      <c r="L37" s="503"/>
      <c r="M37" s="503"/>
      <c r="N37" s="100"/>
      <c r="AC37" s="33"/>
    </row>
    <row r="38" spans="1:43" ht="25.5">
      <c r="A38" s="269">
        <v>4</v>
      </c>
      <c r="B38" s="443" t="s">
        <v>23</v>
      </c>
      <c r="C38" s="144">
        <v>5</v>
      </c>
      <c r="D38" s="715" t="s">
        <v>996</v>
      </c>
      <c r="E38" s="230" t="s">
        <v>534</v>
      </c>
      <c r="F38" s="144">
        <v>22</v>
      </c>
      <c r="G38" s="538">
        <v>363000</v>
      </c>
      <c r="H38" s="538">
        <v>33000</v>
      </c>
      <c r="I38" s="608">
        <v>33000</v>
      </c>
      <c r="J38" s="609"/>
      <c r="K38" s="503"/>
      <c r="L38" s="503"/>
      <c r="M38" s="503" t="s">
        <v>535</v>
      </c>
      <c r="N38" s="144" t="s">
        <v>581</v>
      </c>
      <c r="AC38" s="303"/>
    </row>
    <row r="39" spans="1:43" ht="12.75">
      <c r="A39" s="269">
        <v>5</v>
      </c>
      <c r="B39" s="893" t="s">
        <v>574</v>
      </c>
      <c r="C39" s="473">
        <v>5</v>
      </c>
      <c r="D39" s="725" t="s">
        <v>996</v>
      </c>
      <c r="E39" s="230"/>
      <c r="F39" s="144"/>
      <c r="G39" s="608"/>
      <c r="H39" s="608">
        <v>49500</v>
      </c>
      <c r="I39" s="608">
        <v>49500</v>
      </c>
      <c r="J39" s="609"/>
      <c r="K39" s="503"/>
      <c r="L39" s="503"/>
      <c r="M39" s="503"/>
      <c r="N39" s="144"/>
      <c r="AC39" s="33" t="s">
        <v>875</v>
      </c>
    </row>
    <row r="40" spans="1:43" ht="12.75">
      <c r="A40" s="269">
        <v>6</v>
      </c>
      <c r="B40" s="893" t="s">
        <v>1071</v>
      </c>
      <c r="C40" s="144">
        <v>5</v>
      </c>
      <c r="D40" s="144" t="s">
        <v>1072</v>
      </c>
      <c r="E40" s="230">
        <v>30</v>
      </c>
      <c r="F40" s="144"/>
      <c r="G40" s="608"/>
      <c r="H40" s="608">
        <v>25000</v>
      </c>
      <c r="I40" s="608">
        <v>25000</v>
      </c>
      <c r="J40" s="609"/>
      <c r="K40" s="503">
        <v>8000</v>
      </c>
      <c r="L40" s="503">
        <v>8000</v>
      </c>
      <c r="M40" s="503" t="s">
        <v>118</v>
      </c>
      <c r="N40" s="178" t="s">
        <v>938</v>
      </c>
      <c r="AC40" s="341" t="s">
        <v>581</v>
      </c>
    </row>
    <row r="41" spans="1:43" ht="12.75">
      <c r="A41" s="269">
        <v>7</v>
      </c>
      <c r="B41" s="443" t="s">
        <v>1073</v>
      </c>
      <c r="C41" s="144">
        <v>5</v>
      </c>
      <c r="D41" s="203" t="s">
        <v>996</v>
      </c>
      <c r="E41" s="230">
        <v>90</v>
      </c>
      <c r="F41" s="144">
        <v>31</v>
      </c>
      <c r="G41" s="608"/>
      <c r="H41" s="608">
        <v>28000</v>
      </c>
      <c r="I41" s="608">
        <v>28000</v>
      </c>
      <c r="J41" s="609"/>
      <c r="K41" s="503"/>
      <c r="L41" s="503"/>
      <c r="M41" s="503"/>
      <c r="N41" s="992"/>
      <c r="AC41" s="33"/>
    </row>
    <row r="42" spans="1:43" ht="12.75">
      <c r="A42" s="269">
        <v>8</v>
      </c>
      <c r="B42" s="443" t="s">
        <v>1074</v>
      </c>
      <c r="C42" s="463">
        <v>5</v>
      </c>
      <c r="D42" s="715" t="s">
        <v>991</v>
      </c>
      <c r="E42" s="503">
        <v>60</v>
      </c>
      <c r="F42" s="463"/>
      <c r="G42" s="861"/>
      <c r="H42" s="862">
        <v>35000</v>
      </c>
      <c r="I42" s="862">
        <v>35000</v>
      </c>
      <c r="J42" s="861"/>
      <c r="K42" s="503"/>
      <c r="L42" s="503"/>
      <c r="M42" s="503" t="s">
        <v>903</v>
      </c>
      <c r="N42" s="992"/>
      <c r="AC42" s="501" t="s">
        <v>148</v>
      </c>
    </row>
    <row r="43" spans="1:43" ht="12.75">
      <c r="A43" s="269">
        <v>9</v>
      </c>
      <c r="B43" s="793" t="s">
        <v>1075</v>
      </c>
      <c r="C43" s="144">
        <v>5</v>
      </c>
      <c r="D43" s="203" t="s">
        <v>1076</v>
      </c>
      <c r="E43" s="230">
        <v>30</v>
      </c>
      <c r="F43" s="144">
        <v>27</v>
      </c>
      <c r="G43" s="608">
        <v>35000</v>
      </c>
      <c r="H43" s="865">
        <v>35000</v>
      </c>
      <c r="I43" s="608">
        <v>35000</v>
      </c>
      <c r="J43" s="609"/>
      <c r="K43" s="503"/>
      <c r="L43" s="503"/>
      <c r="M43" s="503"/>
      <c r="N43" s="144"/>
      <c r="AC43" s="230" t="s">
        <v>776</v>
      </c>
    </row>
    <row r="44" spans="1:43" ht="12.75">
      <c r="A44" s="269">
        <v>10</v>
      </c>
      <c r="B44" s="893" t="s">
        <v>1077</v>
      </c>
      <c r="C44" s="260">
        <v>5</v>
      </c>
      <c r="D44" s="645" t="s">
        <v>1078</v>
      </c>
      <c r="E44" s="309"/>
      <c r="F44" s="260"/>
      <c r="G44" s="695"/>
      <c r="H44" s="694">
        <v>28000</v>
      </c>
      <c r="I44" s="694"/>
      <c r="J44" s="695"/>
      <c r="K44" s="309"/>
      <c r="L44" s="309"/>
      <c r="M44" s="309"/>
      <c r="N44" s="995" t="s">
        <v>1079</v>
      </c>
      <c r="O44" s="681"/>
      <c r="P44" s="681"/>
      <c r="Q44" s="681"/>
      <c r="R44" s="681"/>
      <c r="S44" s="681"/>
      <c r="T44" s="681"/>
      <c r="U44" s="681"/>
      <c r="V44" s="681"/>
      <c r="W44" s="681"/>
      <c r="X44" s="681"/>
      <c r="Y44" s="681"/>
      <c r="Z44" s="681"/>
      <c r="AA44" s="681"/>
      <c r="AB44" s="681"/>
      <c r="AC44" s="265"/>
      <c r="AD44" s="681"/>
      <c r="AE44" s="681"/>
      <c r="AF44" s="681"/>
      <c r="AG44" s="681"/>
      <c r="AH44" s="681"/>
      <c r="AI44" s="681"/>
      <c r="AJ44" s="681"/>
      <c r="AK44" s="681"/>
      <c r="AL44" s="681"/>
      <c r="AM44" s="681"/>
      <c r="AN44" s="681"/>
      <c r="AO44" s="681"/>
      <c r="AP44" s="681"/>
      <c r="AQ44" s="681"/>
    </row>
    <row r="45" spans="1:43" ht="12.75">
      <c r="A45" s="269">
        <v>11</v>
      </c>
      <c r="B45" s="453" t="s">
        <v>955</v>
      </c>
      <c r="C45" s="454">
        <v>5</v>
      </c>
      <c r="D45" s="477" t="s">
        <v>962</v>
      </c>
      <c r="E45" s="543">
        <v>60</v>
      </c>
      <c r="F45" s="478"/>
      <c r="G45" s="478"/>
      <c r="H45" s="478">
        <v>28000</v>
      </c>
      <c r="I45" s="478"/>
      <c r="J45" s="498"/>
      <c r="K45" s="983"/>
      <c r="L45" s="983"/>
      <c r="M45" s="487"/>
      <c r="N45" s="178" t="s">
        <v>903</v>
      </c>
      <c r="AC45" s="451"/>
    </row>
    <row r="46" spans="1:43" ht="12.75">
      <c r="A46" s="269">
        <v>12</v>
      </c>
      <c r="B46" s="893" t="s">
        <v>998</v>
      </c>
      <c r="C46" s="260">
        <v>5</v>
      </c>
      <c r="D46" s="645" t="s">
        <v>999</v>
      </c>
      <c r="E46" s="309">
        <v>30</v>
      </c>
      <c r="F46" s="694"/>
      <c r="G46" s="694"/>
      <c r="H46" s="694">
        <v>20000</v>
      </c>
      <c r="I46" s="694"/>
      <c r="J46" s="695"/>
      <c r="K46" s="309"/>
      <c r="L46" s="309"/>
      <c r="M46" s="309" t="s">
        <v>1000</v>
      </c>
      <c r="N46" s="338"/>
      <c r="AC46" s="682" t="s">
        <v>590</v>
      </c>
    </row>
    <row r="47" spans="1:43" ht="12.75">
      <c r="A47" s="269">
        <v>13</v>
      </c>
      <c r="B47" s="893" t="s">
        <v>1081</v>
      </c>
      <c r="C47" s="260">
        <v>5</v>
      </c>
      <c r="D47" s="645" t="s">
        <v>986</v>
      </c>
      <c r="E47" s="309"/>
      <c r="F47" s="694"/>
      <c r="G47" s="694"/>
      <c r="H47" s="694">
        <v>20000</v>
      </c>
      <c r="I47" s="694"/>
      <c r="J47" s="695"/>
      <c r="K47" s="309"/>
      <c r="L47" s="309"/>
      <c r="M47" s="309"/>
      <c r="N47" s="338"/>
      <c r="O47" s="681"/>
      <c r="P47" s="681"/>
      <c r="Q47" s="681"/>
      <c r="R47" s="681"/>
      <c r="S47" s="681"/>
      <c r="T47" s="681"/>
      <c r="U47" s="681"/>
      <c r="V47" s="681"/>
      <c r="W47" s="681"/>
      <c r="X47" s="681"/>
      <c r="Y47" s="681"/>
      <c r="Z47" s="681"/>
      <c r="AA47" s="681"/>
      <c r="AB47" s="681"/>
      <c r="AC47" s="1045" t="e">
        <f>AB47/X47*100</f>
        <v>#DIV/0!</v>
      </c>
      <c r="AD47" s="681"/>
      <c r="AE47" s="681"/>
      <c r="AF47" s="681"/>
      <c r="AG47" s="681"/>
      <c r="AH47" s="681"/>
      <c r="AI47" s="681"/>
      <c r="AJ47" s="681"/>
      <c r="AK47" s="681"/>
      <c r="AL47" s="681"/>
      <c r="AM47" s="681"/>
      <c r="AN47" s="681"/>
      <c r="AO47" s="681"/>
      <c r="AP47" s="681"/>
      <c r="AQ47" s="681"/>
    </row>
    <row r="48" spans="1:43" ht="12.75">
      <c r="A48" s="269">
        <v>14</v>
      </c>
      <c r="B48" s="443" t="s">
        <v>1084</v>
      </c>
      <c r="C48" s="144">
        <v>5</v>
      </c>
      <c r="D48" s="203" t="s">
        <v>1085</v>
      </c>
      <c r="E48" s="230"/>
      <c r="F48" s="608"/>
      <c r="G48" s="608"/>
      <c r="H48" s="608">
        <v>7000</v>
      </c>
      <c r="I48" s="848">
        <v>7000</v>
      </c>
      <c r="J48" s="609"/>
      <c r="K48" s="503">
        <v>1800</v>
      </c>
      <c r="L48" s="503">
        <v>1800</v>
      </c>
      <c r="M48" s="503"/>
      <c r="N48" s="682"/>
      <c r="AC48" s="14"/>
    </row>
    <row r="49" spans="1:29" ht="12.75">
      <c r="A49" s="2"/>
      <c r="B49" s="236" t="s">
        <v>177</v>
      </c>
      <c r="C49" s="6">
        <f>SUM(C35:C48)</f>
        <v>70</v>
      </c>
      <c r="D49" s="8"/>
      <c r="E49" s="618">
        <f>SUM(E35:E48)</f>
        <v>511</v>
      </c>
      <c r="F49" s="620"/>
      <c r="G49" s="620">
        <f t="shared" ref="G49:L49" si="2">SUM(G35:G48)</f>
        <v>418600</v>
      </c>
      <c r="H49" s="624">
        <f t="shared" si="2"/>
        <v>385600</v>
      </c>
      <c r="I49" s="626">
        <f t="shared" si="2"/>
        <v>298200</v>
      </c>
      <c r="J49" s="620">
        <f t="shared" si="2"/>
        <v>0</v>
      </c>
      <c r="K49" s="1002">
        <f t="shared" si="2"/>
        <v>9800</v>
      </c>
      <c r="L49" s="1002">
        <f t="shared" si="2"/>
        <v>9800</v>
      </c>
      <c r="M49" s="809"/>
      <c r="N49" s="696">
        <f>M49/G49*100</f>
        <v>0</v>
      </c>
      <c r="AC49" s="33"/>
    </row>
    <row r="50" spans="1:29" ht="12.75">
      <c r="A50" s="14"/>
      <c r="B50" s="206"/>
      <c r="C50" s="198"/>
      <c r="D50" s="185"/>
      <c r="E50" s="557"/>
      <c r="F50" s="209"/>
      <c r="G50" s="209"/>
      <c r="H50" s="14"/>
      <c r="I50" s="14"/>
      <c r="J50" s="14"/>
      <c r="K50" s="743"/>
      <c r="L50" s="743"/>
      <c r="M50" s="559"/>
      <c r="N50" s="14"/>
      <c r="AC50" s="33"/>
    </row>
    <row r="51" spans="1:29" ht="63.75">
      <c r="A51" s="683" t="s">
        <v>5</v>
      </c>
      <c r="B51" s="931" t="s">
        <v>281</v>
      </c>
      <c r="C51" s="685" t="s">
        <v>159</v>
      </c>
      <c r="D51" s="686" t="s">
        <v>10</v>
      </c>
      <c r="E51" s="687" t="s">
        <v>243</v>
      </c>
      <c r="F51" s="688" t="s">
        <v>244</v>
      </c>
      <c r="G51" s="688" t="s">
        <v>245</v>
      </c>
      <c r="H51" s="689" t="s">
        <v>246</v>
      </c>
      <c r="I51" s="685" t="s">
        <v>532</v>
      </c>
      <c r="J51" s="690" t="s">
        <v>13</v>
      </c>
      <c r="K51" s="923" t="s">
        <v>891</v>
      </c>
      <c r="L51" s="923" t="s">
        <v>892</v>
      </c>
      <c r="M51" s="691" t="s">
        <v>162</v>
      </c>
      <c r="N51" s="14"/>
      <c r="AC51" s="33"/>
    </row>
    <row r="52" spans="1:29" ht="12.75">
      <c r="A52" s="269">
        <v>1</v>
      </c>
      <c r="B52" s="639" t="s">
        <v>135</v>
      </c>
      <c r="C52" s="260">
        <v>5</v>
      </c>
      <c r="D52" s="645" t="s">
        <v>996</v>
      </c>
      <c r="E52" s="642"/>
      <c r="F52" s="270">
        <v>30</v>
      </c>
      <c r="G52" s="150"/>
      <c r="H52" s="270">
        <v>22000</v>
      </c>
      <c r="I52" s="270">
        <v>22000</v>
      </c>
      <c r="J52" s="237"/>
      <c r="K52" s="933"/>
      <c r="L52" s="933"/>
      <c r="M52" s="309" t="s">
        <v>148</v>
      </c>
      <c r="N52" s="779"/>
      <c r="AC52" s="303"/>
    </row>
    <row r="53" spans="1:29" ht="12.75">
      <c r="A53" s="269">
        <v>2</v>
      </c>
      <c r="B53" s="644" t="s">
        <v>23</v>
      </c>
      <c r="C53" s="260">
        <v>5</v>
      </c>
      <c r="D53" s="645" t="s">
        <v>996</v>
      </c>
      <c r="E53" s="642"/>
      <c r="F53" s="270">
        <v>30</v>
      </c>
      <c r="G53" s="150"/>
      <c r="H53" s="270">
        <v>24000</v>
      </c>
      <c r="I53" s="270">
        <v>24000</v>
      </c>
      <c r="J53" s="270"/>
      <c r="K53" s="726"/>
      <c r="L53" s="726"/>
      <c r="M53" s="726" t="s">
        <v>148</v>
      </c>
      <c r="N53" s="100"/>
      <c r="AC53" s="33"/>
    </row>
    <row r="54" spans="1:29" ht="12.75">
      <c r="A54" s="269">
        <v>3</v>
      </c>
      <c r="B54" s="970" t="s">
        <v>1088</v>
      </c>
      <c r="C54" s="973">
        <v>5</v>
      </c>
      <c r="D54" s="975" t="s">
        <v>996</v>
      </c>
      <c r="E54" s="652"/>
      <c r="F54" s="653"/>
      <c r="G54" s="653"/>
      <c r="H54" s="270">
        <v>28000</v>
      </c>
      <c r="I54" s="654"/>
      <c r="J54" s="759" t="s">
        <v>275</v>
      </c>
      <c r="K54" s="978"/>
      <c r="L54" s="978"/>
      <c r="M54" s="978"/>
      <c r="N54" s="100"/>
    </row>
    <row r="55" spans="1:29" ht="12.75">
      <c r="A55" s="269">
        <v>4</v>
      </c>
      <c r="B55" s="644" t="s">
        <v>998</v>
      </c>
      <c r="C55" s="260">
        <v>10</v>
      </c>
      <c r="D55" s="645" t="s">
        <v>999</v>
      </c>
      <c r="E55" s="309">
        <v>30</v>
      </c>
      <c r="F55" s="237"/>
      <c r="G55" s="270"/>
      <c r="H55" s="270">
        <v>40000</v>
      </c>
      <c r="I55" s="237"/>
      <c r="J55" s="237"/>
      <c r="K55" s="934"/>
      <c r="L55" s="934"/>
      <c r="M55" s="934" t="s">
        <v>1000</v>
      </c>
      <c r="N55" s="100"/>
      <c r="AC55" s="14"/>
    </row>
    <row r="56" spans="1:29" ht="12.75">
      <c r="A56" s="269">
        <v>5</v>
      </c>
      <c r="B56" s="775" t="s">
        <v>1019</v>
      </c>
      <c r="C56" s="260">
        <v>5</v>
      </c>
      <c r="D56" s="645" t="s">
        <v>996</v>
      </c>
      <c r="E56" s="587">
        <v>180</v>
      </c>
      <c r="F56" s="270"/>
      <c r="G56" s="270"/>
      <c r="H56" s="270">
        <v>23800</v>
      </c>
      <c r="I56" s="260">
        <v>23800</v>
      </c>
      <c r="J56" s="260"/>
      <c r="K56" s="934"/>
      <c r="L56" s="934"/>
      <c r="M56" s="934"/>
      <c r="N56" s="100"/>
      <c r="AC56" s="14"/>
    </row>
    <row r="57" spans="1:29" ht="12.75">
      <c r="A57" s="269">
        <v>6</v>
      </c>
      <c r="B57" s="639" t="s">
        <v>1089</v>
      </c>
      <c r="C57" s="309">
        <v>5</v>
      </c>
      <c r="D57" s="982" t="s">
        <v>996</v>
      </c>
      <c r="E57" s="587"/>
      <c r="F57" s="658"/>
      <c r="G57" s="659"/>
      <c r="H57" s="660">
        <v>23000</v>
      </c>
      <c r="I57" s="642"/>
      <c r="J57" s="309" t="s">
        <v>275</v>
      </c>
      <c r="K57" s="309"/>
      <c r="L57" s="309"/>
      <c r="M57" s="309"/>
      <c r="N57" s="100"/>
      <c r="AC57" s="491"/>
    </row>
    <row r="58" spans="1:29" ht="12.75">
      <c r="A58" s="269">
        <v>7</v>
      </c>
      <c r="B58" s="639" t="s">
        <v>1090</v>
      </c>
      <c r="C58" s="309">
        <v>5</v>
      </c>
      <c r="D58" s="982" t="s">
        <v>1036</v>
      </c>
      <c r="E58" s="587"/>
      <c r="F58" s="658"/>
      <c r="G58" s="659"/>
      <c r="H58" s="660">
        <v>20000</v>
      </c>
      <c r="I58" s="642"/>
      <c r="J58" s="642"/>
      <c r="K58" s="309"/>
      <c r="L58" s="309"/>
      <c r="M58" s="309"/>
      <c r="N58" s="100"/>
      <c r="AC58" s="14"/>
    </row>
    <row r="59" spans="1:29" ht="12.75">
      <c r="A59" s="269">
        <v>8</v>
      </c>
      <c r="B59" s="639" t="s">
        <v>1092</v>
      </c>
      <c r="C59" s="309">
        <v>5</v>
      </c>
      <c r="D59" s="982" t="s">
        <v>986</v>
      </c>
      <c r="E59" s="587"/>
      <c r="F59" s="658"/>
      <c r="G59" s="659"/>
      <c r="H59" s="660">
        <v>20000</v>
      </c>
      <c r="I59" s="642"/>
      <c r="J59" s="642"/>
      <c r="K59" s="309"/>
      <c r="L59" s="309"/>
      <c r="M59" s="309"/>
      <c r="N59" s="100"/>
      <c r="AC59" s="14"/>
    </row>
    <row r="60" spans="1:29" ht="12.75">
      <c r="A60" s="269">
        <v>9</v>
      </c>
      <c r="B60" s="639" t="s">
        <v>1093</v>
      </c>
      <c r="C60" s="309">
        <v>5</v>
      </c>
      <c r="D60" s="982" t="s">
        <v>1094</v>
      </c>
      <c r="E60" s="587"/>
      <c r="F60" s="658"/>
      <c r="G60" s="659"/>
      <c r="H60" s="660">
        <v>15000</v>
      </c>
      <c r="I60" s="309">
        <v>15000</v>
      </c>
      <c r="J60" s="642"/>
      <c r="K60" s="309">
        <v>7000</v>
      </c>
      <c r="L60" s="309">
        <v>7000</v>
      </c>
      <c r="M60" s="309"/>
      <c r="N60" s="100"/>
      <c r="AC60" s="33" t="s">
        <v>581</v>
      </c>
    </row>
    <row r="61" spans="1:29" ht="12.75">
      <c r="A61" s="269">
        <v>10</v>
      </c>
      <c r="B61" s="639" t="s">
        <v>1095</v>
      </c>
      <c r="C61" s="309">
        <v>5</v>
      </c>
      <c r="D61" s="982" t="s">
        <v>1096</v>
      </c>
      <c r="E61" s="587"/>
      <c r="F61" s="658"/>
      <c r="G61" s="659"/>
      <c r="H61" s="660">
        <v>18000</v>
      </c>
      <c r="I61" s="309"/>
      <c r="J61" s="642"/>
      <c r="K61" s="309"/>
      <c r="L61" s="309"/>
      <c r="M61" s="309"/>
      <c r="N61" s="100"/>
      <c r="AC61" s="33"/>
    </row>
    <row r="62" spans="1:29" ht="12.75">
      <c r="A62" s="269">
        <v>11</v>
      </c>
      <c r="B62" s="1060" t="s">
        <v>1097</v>
      </c>
      <c r="C62" s="1013">
        <v>5</v>
      </c>
      <c r="D62" s="1014" t="s">
        <v>1072</v>
      </c>
      <c r="E62" s="587"/>
      <c r="F62" s="658"/>
      <c r="G62" s="659"/>
      <c r="H62" s="660">
        <v>25000</v>
      </c>
      <c r="I62" s="309">
        <v>25000</v>
      </c>
      <c r="J62" s="642"/>
      <c r="K62" s="309"/>
      <c r="L62" s="309"/>
      <c r="M62" s="309"/>
      <c r="N62" s="100"/>
      <c r="AC62" s="792"/>
    </row>
    <row r="63" spans="1:29" ht="12.75">
      <c r="A63" s="269">
        <v>12</v>
      </c>
      <c r="B63" s="639"/>
      <c r="C63" s="309"/>
      <c r="D63" s="657"/>
      <c r="E63" s="587"/>
      <c r="F63" s="658"/>
      <c r="G63" s="659"/>
      <c r="H63" s="660"/>
      <c r="I63" s="309"/>
      <c r="J63" s="642"/>
      <c r="K63" s="309"/>
      <c r="L63" s="309"/>
      <c r="M63" s="309"/>
      <c r="N63" s="100"/>
      <c r="AC63" s="491"/>
    </row>
    <row r="64" spans="1:29" ht="12.75">
      <c r="A64" s="114"/>
      <c r="B64" s="236" t="s">
        <v>177</v>
      </c>
      <c r="C64" s="6">
        <f>SUM(C52:C63)</f>
        <v>60</v>
      </c>
      <c r="D64" s="8"/>
      <c r="E64" s="532">
        <f>SUM(E50:E63)</f>
        <v>210</v>
      </c>
      <c r="F64" s="620"/>
      <c r="G64" s="620">
        <f>SUM(G50:G63)</f>
        <v>0</v>
      </c>
      <c r="H64" s="624">
        <f t="shared" ref="H64:L64" si="3">SUM(H52:H63)</f>
        <v>258800</v>
      </c>
      <c r="I64" s="626">
        <f t="shared" si="3"/>
        <v>109800</v>
      </c>
      <c r="J64" s="620">
        <f t="shared" si="3"/>
        <v>0</v>
      </c>
      <c r="K64" s="987">
        <f t="shared" si="3"/>
        <v>7000</v>
      </c>
      <c r="L64" s="987">
        <f t="shared" si="3"/>
        <v>7000</v>
      </c>
      <c r="M64" s="809"/>
      <c r="N64" s="265"/>
      <c r="O64" s="681"/>
      <c r="AC64" s="491"/>
    </row>
    <row r="65" spans="1:29" ht="12.75">
      <c r="A65" s="114"/>
      <c r="B65" s="940"/>
      <c r="C65" s="734"/>
      <c r="D65" s="731"/>
      <c r="E65" s="732"/>
      <c r="F65" s="733"/>
      <c r="G65" s="737"/>
      <c r="H65" s="703"/>
      <c r="I65" s="704"/>
      <c r="J65" s="704"/>
      <c r="K65" s="734"/>
      <c r="L65" s="734"/>
      <c r="M65" s="734"/>
      <c r="N65" s="265"/>
      <c r="O65" s="681"/>
      <c r="AC65" s="491"/>
    </row>
    <row r="66" spans="1:29" ht="12.75">
      <c r="A66" s="114"/>
      <c r="B66" s="940"/>
      <c r="C66" s="734"/>
      <c r="D66" s="731"/>
      <c r="E66" s="732"/>
      <c r="F66" s="733"/>
      <c r="G66" s="737"/>
      <c r="H66" s="703"/>
      <c r="I66" s="704"/>
      <c r="J66" s="704"/>
      <c r="K66" s="734"/>
      <c r="L66" s="734"/>
      <c r="M66" s="734"/>
      <c r="N66" s="265"/>
      <c r="O66" s="681"/>
      <c r="AC66" s="491"/>
    </row>
    <row r="67" spans="1:29" ht="12.75">
      <c r="A67" s="114"/>
      <c r="B67" s="940"/>
      <c r="C67" s="734"/>
      <c r="D67" s="731"/>
      <c r="E67" s="732"/>
      <c r="F67" s="733"/>
      <c r="G67" s="737"/>
      <c r="H67" s="703"/>
      <c r="I67" s="704"/>
      <c r="J67" s="704"/>
      <c r="K67" s="734"/>
      <c r="L67" s="734"/>
      <c r="M67" s="734"/>
      <c r="N67" s="265"/>
      <c r="O67" s="681"/>
      <c r="AC67" s="491"/>
    </row>
    <row r="68" spans="1:29" ht="63.75">
      <c r="A68" s="683" t="s">
        <v>5</v>
      </c>
      <c r="B68" s="1065" t="s">
        <v>913</v>
      </c>
      <c r="C68" s="942" t="s">
        <v>159</v>
      </c>
      <c r="D68" s="943" t="s">
        <v>10</v>
      </c>
      <c r="E68" s="944" t="s">
        <v>243</v>
      </c>
      <c r="F68" s="946" t="s">
        <v>244</v>
      </c>
      <c r="G68" s="946" t="s">
        <v>245</v>
      </c>
      <c r="H68" s="947" t="s">
        <v>246</v>
      </c>
      <c r="I68" s="525" t="s">
        <v>532</v>
      </c>
      <c r="J68" s="948" t="s">
        <v>13</v>
      </c>
      <c r="K68" s="923" t="s">
        <v>891</v>
      </c>
      <c r="L68" s="923" t="s">
        <v>892</v>
      </c>
      <c r="M68" s="949" t="s">
        <v>162</v>
      </c>
      <c r="N68" s="14"/>
      <c r="AC68" s="33"/>
    </row>
    <row r="69" spans="1:29" ht="12.75">
      <c r="A69" s="139">
        <v>1</v>
      </c>
      <c r="B69" s="796" t="s">
        <v>1023</v>
      </c>
      <c r="C69" s="144"/>
      <c r="D69" s="757" t="s">
        <v>996</v>
      </c>
      <c r="E69" s="693"/>
      <c r="F69" s="103"/>
      <c r="G69" s="608"/>
      <c r="H69" s="694">
        <v>14000</v>
      </c>
      <c r="I69" s="144"/>
      <c r="J69" s="144" t="s">
        <v>275</v>
      </c>
      <c r="K69" s="230"/>
      <c r="L69" s="230"/>
      <c r="M69" s="230"/>
      <c r="N69" s="144"/>
      <c r="O69" s="499"/>
      <c r="AC69" s="867"/>
    </row>
    <row r="70" spans="1:29" ht="12.75">
      <c r="A70" s="139">
        <v>2</v>
      </c>
      <c r="B70" s="805" t="s">
        <v>450</v>
      </c>
      <c r="C70" s="144">
        <v>5</v>
      </c>
      <c r="D70" s="463" t="s">
        <v>962</v>
      </c>
      <c r="E70" s="693">
        <v>60</v>
      </c>
      <c r="F70" s="103"/>
      <c r="G70" s="608"/>
      <c r="H70" s="694">
        <v>16000</v>
      </c>
      <c r="I70" s="144"/>
      <c r="J70" s="144"/>
      <c r="K70" s="230"/>
      <c r="L70" s="230"/>
      <c r="M70" s="230"/>
      <c r="N70" s="144" t="s">
        <v>903</v>
      </c>
      <c r="O70" s="499"/>
      <c r="AC70" s="792"/>
    </row>
    <row r="71" spans="1:29" ht="12.75">
      <c r="A71" s="134">
        <v>3</v>
      </c>
      <c r="B71" s="908" t="s">
        <v>1102</v>
      </c>
      <c r="C71" s="144">
        <v>5</v>
      </c>
      <c r="D71" s="144" t="s">
        <v>987</v>
      </c>
      <c r="E71" s="693"/>
      <c r="F71" s="103">
        <v>31</v>
      </c>
      <c r="G71" s="608"/>
      <c r="H71" s="694">
        <v>17500</v>
      </c>
      <c r="I71" s="144"/>
      <c r="J71" s="144" t="s">
        <v>275</v>
      </c>
      <c r="K71" s="295"/>
      <c r="L71" s="295"/>
      <c r="M71" s="295" t="s">
        <v>619</v>
      </c>
      <c r="N71" s="144" t="s">
        <v>988</v>
      </c>
      <c r="O71" s="33"/>
      <c r="AC71" s="898"/>
    </row>
    <row r="72" spans="1:29" ht="12.75">
      <c r="A72" s="139">
        <v>4</v>
      </c>
      <c r="B72" s="805" t="s">
        <v>927</v>
      </c>
      <c r="C72" s="144">
        <v>5</v>
      </c>
      <c r="D72" s="144" t="s">
        <v>926</v>
      </c>
      <c r="E72" s="693">
        <v>180</v>
      </c>
      <c r="F72" s="103">
        <v>31</v>
      </c>
      <c r="G72" s="608"/>
      <c r="H72" s="694">
        <v>14000</v>
      </c>
      <c r="I72" s="144">
        <v>14000</v>
      </c>
      <c r="J72" s="100"/>
      <c r="K72" s="520"/>
      <c r="L72" s="520"/>
      <c r="M72" s="520" t="s">
        <v>675</v>
      </c>
      <c r="N72" s="144" t="s">
        <v>768</v>
      </c>
      <c r="O72" s="499"/>
      <c r="AC72" s="496"/>
    </row>
    <row r="73" spans="1:29" ht="12.75">
      <c r="A73" s="139">
        <v>5</v>
      </c>
      <c r="B73" s="692" t="s">
        <v>1103</v>
      </c>
      <c r="C73" s="144">
        <v>5</v>
      </c>
      <c r="D73" s="144" t="s">
        <v>1104</v>
      </c>
      <c r="E73" s="693"/>
      <c r="F73" s="103"/>
      <c r="G73" s="608"/>
      <c r="H73" s="694">
        <v>12000</v>
      </c>
      <c r="I73" s="144">
        <v>12000</v>
      </c>
      <c r="J73" s="100"/>
      <c r="K73" s="230"/>
      <c r="L73" s="230"/>
      <c r="M73" s="230"/>
      <c r="N73" s="100"/>
      <c r="O73" s="499"/>
      <c r="AC73" s="682"/>
    </row>
    <row r="74" spans="1:29" ht="12.75">
      <c r="A74" s="139">
        <v>6</v>
      </c>
      <c r="B74" s="908" t="s">
        <v>461</v>
      </c>
      <c r="C74" s="144">
        <v>5</v>
      </c>
      <c r="D74" s="144" t="s">
        <v>1061</v>
      </c>
      <c r="E74" s="693">
        <v>365</v>
      </c>
      <c r="F74" s="103">
        <v>31</v>
      </c>
      <c r="G74" s="608">
        <v>14000</v>
      </c>
      <c r="H74" s="694">
        <v>14000</v>
      </c>
      <c r="I74" s="144"/>
      <c r="J74" s="100"/>
      <c r="K74" s="230"/>
      <c r="L74" s="230"/>
      <c r="M74" s="230" t="s">
        <v>784</v>
      </c>
      <c r="N74" s="144"/>
      <c r="O74" s="499"/>
      <c r="AC74" s="696" t="e">
        <f>AB74/X74*100</f>
        <v>#DIV/0!</v>
      </c>
    </row>
    <row r="75" spans="1:29" ht="12.75">
      <c r="A75" s="139">
        <v>7</v>
      </c>
      <c r="B75" s="692" t="s">
        <v>773</v>
      </c>
      <c r="C75" s="144">
        <v>5</v>
      </c>
      <c r="D75" s="144" t="s">
        <v>1065</v>
      </c>
      <c r="E75" s="693">
        <v>180</v>
      </c>
      <c r="F75" s="258">
        <v>31</v>
      </c>
      <c r="G75" s="609"/>
      <c r="H75" s="608">
        <v>14000</v>
      </c>
      <c r="I75" s="144">
        <v>14000</v>
      </c>
      <c r="J75" s="100"/>
      <c r="K75" s="230"/>
      <c r="L75" s="230"/>
      <c r="M75" s="230" t="s">
        <v>775</v>
      </c>
      <c r="N75" s="144" t="s">
        <v>823</v>
      </c>
      <c r="O75" s="499"/>
      <c r="AC75" s="14"/>
    </row>
    <row r="76" spans="1:29" ht="25.5">
      <c r="A76" s="139">
        <v>8</v>
      </c>
      <c r="B76" s="805" t="s">
        <v>134</v>
      </c>
      <c r="C76" s="144">
        <v>5</v>
      </c>
      <c r="D76" s="715" t="s">
        <v>996</v>
      </c>
      <c r="E76" s="693" t="s">
        <v>534</v>
      </c>
      <c r="F76" s="144">
        <v>31</v>
      </c>
      <c r="G76" s="538">
        <v>363000</v>
      </c>
      <c r="H76" s="538">
        <v>33000</v>
      </c>
      <c r="I76" s="144">
        <v>33000</v>
      </c>
      <c r="J76" s="100"/>
      <c r="K76" s="230"/>
      <c r="L76" s="230"/>
      <c r="M76" s="230" t="s">
        <v>535</v>
      </c>
      <c r="N76" s="144" t="s">
        <v>581</v>
      </c>
      <c r="O76" s="499"/>
      <c r="AC76" s="14"/>
    </row>
    <row r="77" spans="1:29" ht="12.75">
      <c r="A77" s="139">
        <v>9</v>
      </c>
      <c r="B77" s="908" t="s">
        <v>1105</v>
      </c>
      <c r="C77" s="144"/>
      <c r="D77" s="230" t="s">
        <v>1106</v>
      </c>
      <c r="E77" s="587"/>
      <c r="F77" s="270"/>
      <c r="G77" s="700"/>
      <c r="H77" s="533">
        <v>13000</v>
      </c>
      <c r="I77" s="59"/>
      <c r="J77" s="144"/>
      <c r="K77" s="309"/>
      <c r="L77" s="309"/>
      <c r="M77" s="309"/>
      <c r="N77" s="144"/>
      <c r="O77" s="499"/>
      <c r="AC77" s="451"/>
    </row>
    <row r="78" spans="1:29" ht="12.75">
      <c r="A78" s="134">
        <v>10</v>
      </c>
      <c r="B78" s="308" t="s">
        <v>1108</v>
      </c>
      <c r="C78" s="59">
        <v>10</v>
      </c>
      <c r="D78" s="477" t="s">
        <v>1109</v>
      </c>
      <c r="E78" s="537"/>
      <c r="F78" s="223"/>
      <c r="G78" s="533"/>
      <c r="H78" s="533"/>
      <c r="I78" s="270"/>
      <c r="J78" s="220"/>
      <c r="K78" s="537"/>
      <c r="L78" s="537"/>
      <c r="M78" s="888" t="s">
        <v>118</v>
      </c>
      <c r="N78" s="682"/>
      <c r="O78" s="499"/>
      <c r="AC78" s="14"/>
    </row>
    <row r="79" spans="1:29" ht="12.75">
      <c r="A79" s="134">
        <v>11</v>
      </c>
      <c r="B79" s="236" t="s">
        <v>1059</v>
      </c>
      <c r="C79" s="144">
        <v>5</v>
      </c>
      <c r="D79" s="45" t="s">
        <v>996</v>
      </c>
      <c r="E79" s="537"/>
      <c r="F79" s="223"/>
      <c r="G79" s="533">
        <v>19075</v>
      </c>
      <c r="H79" s="1067">
        <v>19075</v>
      </c>
      <c r="I79" s="778"/>
      <c r="J79" s="498"/>
      <c r="K79" s="520"/>
      <c r="L79" s="520"/>
      <c r="M79" s="917"/>
      <c r="N79" s="810"/>
      <c r="O79" s="499"/>
      <c r="AC79" s="14"/>
    </row>
    <row r="80" spans="1:29" ht="12.75">
      <c r="A80" s="134">
        <v>12</v>
      </c>
      <c r="B80" s="497" t="s">
        <v>1112</v>
      </c>
      <c r="C80" s="144">
        <v>5</v>
      </c>
      <c r="D80" s="45" t="s">
        <v>1094</v>
      </c>
      <c r="E80" s="618"/>
      <c r="F80" s="220"/>
      <c r="G80" s="620"/>
      <c r="H80" s="538">
        <v>15000</v>
      </c>
      <c r="I80" s="778">
        <v>15000</v>
      </c>
      <c r="J80" s="498"/>
      <c r="K80" s="1000"/>
      <c r="L80" s="1000"/>
      <c r="M80" s="878"/>
      <c r="N80" s="696"/>
      <c r="O80" s="499"/>
      <c r="AC80" s="14"/>
    </row>
    <row r="81" spans="1:43" ht="12.75">
      <c r="A81" s="134">
        <v>13</v>
      </c>
      <c r="B81" s="308" t="s">
        <v>1113</v>
      </c>
      <c r="C81" s="806">
        <v>5</v>
      </c>
      <c r="D81" s="45" t="s">
        <v>996</v>
      </c>
      <c r="E81" s="537"/>
      <c r="F81" s="223"/>
      <c r="G81" s="620"/>
      <c r="H81" s="538">
        <v>16000</v>
      </c>
      <c r="I81" s="778">
        <v>16000</v>
      </c>
      <c r="J81" s="498"/>
      <c r="K81" s="520"/>
      <c r="L81" s="520"/>
      <c r="M81" s="917"/>
      <c r="N81" s="810"/>
      <c r="O81" s="499"/>
      <c r="AC81" s="14"/>
    </row>
    <row r="82" spans="1:43" ht="12.75">
      <c r="A82" s="134">
        <v>14</v>
      </c>
      <c r="B82" s="497" t="s">
        <v>978</v>
      </c>
      <c r="C82" s="806">
        <v>5</v>
      </c>
      <c r="D82" s="45" t="s">
        <v>996</v>
      </c>
      <c r="E82" s="537"/>
      <c r="F82" s="223"/>
      <c r="G82" s="533"/>
      <c r="H82" s="538">
        <v>16000</v>
      </c>
      <c r="I82" s="778"/>
      <c r="J82" s="880"/>
      <c r="K82" s="878"/>
      <c r="L82" s="878"/>
      <c r="M82" s="878"/>
      <c r="N82" s="810"/>
      <c r="O82" s="499"/>
      <c r="AC82" s="14"/>
    </row>
    <row r="83" spans="1:43" ht="12.75">
      <c r="A83" s="134">
        <v>15</v>
      </c>
      <c r="B83" s="1069" t="s">
        <v>1114</v>
      </c>
      <c r="C83" s="806">
        <v>5</v>
      </c>
      <c r="D83" s="45" t="s">
        <v>1115</v>
      </c>
      <c r="E83" s="618"/>
      <c r="F83" s="220"/>
      <c r="G83" s="620"/>
      <c r="H83" s="660">
        <v>20000</v>
      </c>
      <c r="I83" s="309">
        <v>20000</v>
      </c>
      <c r="J83" s="233"/>
      <c r="K83" s="309">
        <v>1500</v>
      </c>
      <c r="L83" s="309">
        <v>1500</v>
      </c>
      <c r="M83" s="594"/>
      <c r="N83" s="696"/>
      <c r="O83" s="499"/>
      <c r="AC83" s="14"/>
    </row>
    <row r="84" spans="1:43" ht="12.75">
      <c r="A84" s="144"/>
      <c r="B84" s="323"/>
      <c r="C84" s="769"/>
      <c r="D84" s="8"/>
      <c r="E84" s="618"/>
      <c r="F84" s="220"/>
      <c r="G84" s="620"/>
      <c r="H84" s="609"/>
      <c r="I84" s="233"/>
      <c r="J84" s="233"/>
      <c r="K84" s="233"/>
      <c r="L84" s="233"/>
      <c r="M84" s="594"/>
      <c r="N84" s="696"/>
      <c r="O84" s="499"/>
      <c r="AC84" s="14"/>
    </row>
    <row r="85" spans="1:43" ht="12.75">
      <c r="A85" s="144"/>
      <c r="B85" s="323"/>
      <c r="C85" s="769"/>
      <c r="D85" s="8"/>
      <c r="E85" s="618"/>
      <c r="F85" s="220"/>
      <c r="G85" s="620"/>
      <c r="H85" s="609"/>
      <c r="I85" s="233"/>
      <c r="J85" s="233"/>
      <c r="K85" s="233"/>
      <c r="L85" s="233"/>
      <c r="M85" s="594"/>
      <c r="N85" s="696"/>
      <c r="O85" s="499"/>
      <c r="AC85" s="14"/>
    </row>
    <row r="86" spans="1:43" ht="12.75">
      <c r="A86" s="144"/>
      <c r="B86" s="323" t="s">
        <v>177</v>
      </c>
      <c r="C86" s="161">
        <f>SUM(C69:C83)</f>
        <v>70</v>
      </c>
      <c r="D86" s="109"/>
      <c r="E86" s="552">
        <f>SUM(E56:E82)</f>
        <v>1175</v>
      </c>
      <c r="F86" s="233"/>
      <c r="G86" s="609">
        <f>SUM(G69:G82)</f>
        <v>396075</v>
      </c>
      <c r="H86" s="1019">
        <f t="shared" ref="H86:L86" si="4">SUM(H69:H83)</f>
        <v>233575</v>
      </c>
      <c r="I86" s="1056">
        <f t="shared" si="4"/>
        <v>124000</v>
      </c>
      <c r="J86" s="233">
        <f t="shared" si="4"/>
        <v>0</v>
      </c>
      <c r="K86" s="238">
        <f t="shared" si="4"/>
        <v>1500</v>
      </c>
      <c r="L86" s="238">
        <f t="shared" si="4"/>
        <v>1500</v>
      </c>
      <c r="M86" s="988"/>
      <c r="N86" s="696">
        <f>M86/G86*100</f>
        <v>0</v>
      </c>
      <c r="O86" s="499"/>
      <c r="AC86" s="14"/>
    </row>
    <row r="87" spans="1:43" ht="12.75">
      <c r="A87" s="260"/>
      <c r="C87" s="309"/>
      <c r="D87" s="982"/>
      <c r="E87" s="587"/>
      <c r="F87" s="658"/>
      <c r="G87" s="659"/>
      <c r="M87" s="309"/>
      <c r="N87" s="150"/>
      <c r="O87" s="681"/>
      <c r="AC87" s="14"/>
    </row>
    <row r="88" spans="1:43" ht="12.75">
      <c r="A88" s="341"/>
      <c r="B88" s="905"/>
      <c r="C88" s="734"/>
      <c r="D88" s="1071"/>
      <c r="E88" s="732"/>
      <c r="F88" s="733"/>
      <c r="G88" s="737"/>
      <c r="H88" s="703"/>
      <c r="I88" s="704"/>
      <c r="J88" s="209"/>
      <c r="K88" s="734"/>
      <c r="L88" s="734"/>
      <c r="M88" s="734"/>
      <c r="N88" s="265"/>
      <c r="O88" s="681"/>
      <c r="AC88" s="14"/>
    </row>
    <row r="89" spans="1:43" ht="12.75">
      <c r="A89" s="341"/>
      <c r="B89" s="905"/>
      <c r="C89" s="734"/>
      <c r="D89" s="1071"/>
      <c r="E89" s="732"/>
      <c r="F89" s="733"/>
      <c r="G89" s="737"/>
      <c r="H89" s="703"/>
      <c r="I89" s="704"/>
      <c r="J89" s="209"/>
      <c r="K89" s="734"/>
      <c r="L89" s="734"/>
      <c r="M89" s="734"/>
      <c r="N89" s="265"/>
      <c r="O89" s="681"/>
      <c r="AC89" s="14"/>
    </row>
    <row r="90" spans="1:43" ht="63.75">
      <c r="A90" s="595" t="s">
        <v>5</v>
      </c>
      <c r="B90" s="1072" t="s">
        <v>934</v>
      </c>
      <c r="C90" s="942" t="s">
        <v>159</v>
      </c>
      <c r="D90" s="943" t="s">
        <v>10</v>
      </c>
      <c r="E90" s="944" t="s">
        <v>243</v>
      </c>
      <c r="F90" s="946" t="s">
        <v>244</v>
      </c>
      <c r="G90" s="946" t="s">
        <v>245</v>
      </c>
      <c r="H90" s="947" t="s">
        <v>246</v>
      </c>
      <c r="I90" s="525" t="s">
        <v>532</v>
      </c>
      <c r="J90" s="948" t="s">
        <v>13</v>
      </c>
      <c r="K90" s="923" t="s">
        <v>891</v>
      </c>
      <c r="L90" s="923" t="s">
        <v>892</v>
      </c>
      <c r="M90" s="949" t="s">
        <v>162</v>
      </c>
      <c r="N90" s="100"/>
      <c r="AC90" s="14"/>
    </row>
    <row r="91" spans="1:43" ht="12.75">
      <c r="A91" s="139">
        <v>1</v>
      </c>
      <c r="B91" s="908" t="s">
        <v>134</v>
      </c>
      <c r="C91" s="260">
        <v>5</v>
      </c>
      <c r="D91" s="645" t="s">
        <v>996</v>
      </c>
      <c r="E91" s="642"/>
      <c r="F91" s="270">
        <v>31</v>
      </c>
      <c r="G91" s="260">
        <v>14000</v>
      </c>
      <c r="H91" s="270">
        <v>14000</v>
      </c>
      <c r="I91" s="270">
        <v>14000</v>
      </c>
      <c r="J91" s="237"/>
      <c r="K91" s="933"/>
      <c r="L91" s="933"/>
      <c r="M91" s="933"/>
      <c r="N91" s="100"/>
      <c r="AC91" s="14"/>
    </row>
    <row r="92" spans="1:43" ht="12.75">
      <c r="A92" s="139">
        <v>2</v>
      </c>
      <c r="B92" s="1073" t="s">
        <v>1015</v>
      </c>
      <c r="C92" s="260">
        <v>5</v>
      </c>
      <c r="D92" s="645" t="s">
        <v>1120</v>
      </c>
      <c r="E92" s="642"/>
      <c r="F92" s="237"/>
      <c r="G92" s="150"/>
      <c r="H92" s="270">
        <v>16000</v>
      </c>
      <c r="I92" s="270">
        <v>16000</v>
      </c>
      <c r="J92" s="237"/>
      <c r="K92" s="934"/>
      <c r="L92" s="934"/>
      <c r="M92" s="934"/>
      <c r="N92" s="100"/>
      <c r="AC92" s="14"/>
    </row>
    <row r="93" spans="1:43" ht="12.75">
      <c r="A93" s="134">
        <v>3</v>
      </c>
      <c r="B93" s="1074" t="s">
        <v>1123</v>
      </c>
      <c r="C93" s="973">
        <v>5</v>
      </c>
      <c r="D93" s="975" t="s">
        <v>1124</v>
      </c>
      <c r="E93" s="652"/>
      <c r="F93" s="653"/>
      <c r="G93" s="653"/>
      <c r="H93" s="270">
        <v>20000</v>
      </c>
      <c r="I93" s="1075"/>
      <c r="J93" s="653"/>
      <c r="K93" s="978"/>
      <c r="L93" s="978"/>
      <c r="M93" s="978"/>
      <c r="N93" s="150"/>
      <c r="O93" s="681"/>
      <c r="P93" s="681"/>
      <c r="Q93" s="681"/>
      <c r="R93" s="681"/>
      <c r="S93" s="681"/>
      <c r="T93" s="681"/>
      <c r="U93" s="681"/>
      <c r="V93" s="681"/>
      <c r="W93" s="681"/>
      <c r="X93" s="681"/>
      <c r="Y93" s="681"/>
      <c r="Z93" s="681"/>
      <c r="AA93" s="681"/>
      <c r="AB93" s="681"/>
      <c r="AC93" s="265"/>
      <c r="AD93" s="681"/>
      <c r="AE93" s="681"/>
      <c r="AF93" s="681"/>
      <c r="AG93" s="681"/>
      <c r="AH93" s="681"/>
      <c r="AI93" s="681"/>
      <c r="AJ93" s="681"/>
      <c r="AK93" s="681"/>
      <c r="AL93" s="681"/>
      <c r="AM93" s="681"/>
      <c r="AN93" s="681"/>
      <c r="AO93" s="681"/>
      <c r="AP93" s="681"/>
      <c r="AQ93" s="681"/>
    </row>
    <row r="94" spans="1:43" ht="12.75">
      <c r="A94" s="139">
        <v>4</v>
      </c>
      <c r="B94" s="1073" t="s">
        <v>1112</v>
      </c>
      <c r="C94" s="260">
        <v>5</v>
      </c>
      <c r="D94" s="260" t="s">
        <v>1094</v>
      </c>
      <c r="E94" s="642"/>
      <c r="F94" s="237"/>
      <c r="G94" s="270"/>
      <c r="H94" s="270">
        <v>15000</v>
      </c>
      <c r="I94" s="270">
        <v>15000</v>
      </c>
      <c r="J94" s="270"/>
      <c r="K94" s="934"/>
      <c r="L94" s="934"/>
      <c r="M94" s="934"/>
      <c r="N94" s="100"/>
      <c r="AC94" s="265"/>
      <c r="AD94" s="681"/>
    </row>
    <row r="95" spans="1:43" ht="12.75">
      <c r="A95" s="139">
        <v>5</v>
      </c>
      <c r="B95" s="805" t="s">
        <v>1126</v>
      </c>
      <c r="C95" s="260">
        <v>5</v>
      </c>
      <c r="D95" s="645" t="s">
        <v>1127</v>
      </c>
      <c r="E95" s="587"/>
      <c r="F95" s="270"/>
      <c r="G95" s="270"/>
      <c r="H95" s="237"/>
      <c r="I95" s="150"/>
      <c r="J95" s="150"/>
      <c r="K95" s="934"/>
      <c r="L95" s="934"/>
      <c r="M95" s="934"/>
      <c r="N95" s="100"/>
      <c r="AC95" s="14"/>
    </row>
    <row r="96" spans="1:43" ht="12.75">
      <c r="A96" s="139">
        <v>6</v>
      </c>
      <c r="B96" s="908" t="s">
        <v>1129</v>
      </c>
      <c r="C96" s="309"/>
      <c r="D96" s="982" t="s">
        <v>996</v>
      </c>
      <c r="E96" s="587"/>
      <c r="F96" s="658"/>
      <c r="G96" s="659"/>
      <c r="H96" s="660">
        <v>16000</v>
      </c>
      <c r="I96" s="309"/>
      <c r="J96" s="642"/>
      <c r="K96" s="309"/>
      <c r="L96" s="309"/>
      <c r="M96" s="309"/>
      <c r="N96" s="260"/>
      <c r="O96" s="681"/>
      <c r="P96" s="681"/>
      <c r="Q96" s="681"/>
      <c r="R96" s="681"/>
      <c r="S96" s="681"/>
      <c r="T96" s="681"/>
      <c r="U96" s="681"/>
      <c r="V96" s="681"/>
      <c r="W96" s="681"/>
      <c r="X96" s="681"/>
      <c r="Y96" s="681"/>
      <c r="Z96" s="681"/>
      <c r="AA96" s="681"/>
      <c r="AB96" s="681"/>
      <c r="AC96" s="341" t="s">
        <v>779</v>
      </c>
      <c r="AD96" s="1083"/>
      <c r="AE96" s="681"/>
      <c r="AF96" s="681"/>
      <c r="AG96" s="681"/>
      <c r="AH96" s="681"/>
      <c r="AI96" s="681"/>
      <c r="AJ96" s="681"/>
      <c r="AK96" s="681"/>
      <c r="AL96" s="681"/>
      <c r="AM96" s="681"/>
      <c r="AN96" s="681"/>
      <c r="AO96" s="681"/>
      <c r="AP96" s="681"/>
      <c r="AQ96" s="681"/>
    </row>
    <row r="97" spans="1:30" ht="12.75">
      <c r="A97" s="139">
        <v>7</v>
      </c>
      <c r="B97" s="908" t="s">
        <v>1132</v>
      </c>
      <c r="C97" s="309">
        <v>5</v>
      </c>
      <c r="D97" s="982" t="s">
        <v>1133</v>
      </c>
      <c r="E97" s="587">
        <v>30</v>
      </c>
      <c r="F97" s="658"/>
      <c r="G97" s="659"/>
      <c r="H97" s="660">
        <v>22000</v>
      </c>
      <c r="I97" s="642"/>
      <c r="J97" s="642"/>
      <c r="K97" s="309"/>
      <c r="L97" s="309"/>
      <c r="M97" s="309" t="s">
        <v>1000</v>
      </c>
      <c r="N97" s="100"/>
      <c r="AC97" s="33"/>
      <c r="AD97" s="499"/>
    </row>
    <row r="98" spans="1:30" ht="12.75">
      <c r="A98" s="139">
        <v>8</v>
      </c>
      <c r="B98" s="908" t="s">
        <v>29</v>
      </c>
      <c r="C98" s="309">
        <v>5</v>
      </c>
      <c r="D98" s="982" t="s">
        <v>996</v>
      </c>
      <c r="E98" s="587"/>
      <c r="F98" s="658"/>
      <c r="G98" s="659">
        <v>14000</v>
      </c>
      <c r="H98" s="660">
        <v>14000</v>
      </c>
      <c r="I98" s="309">
        <v>14000</v>
      </c>
      <c r="J98" s="642"/>
      <c r="K98" s="309"/>
      <c r="L98" s="309"/>
      <c r="M98" s="309"/>
      <c r="N98" s="100"/>
      <c r="AC98" s="33" t="s">
        <v>805</v>
      </c>
      <c r="AD98" s="33"/>
    </row>
    <row r="99" spans="1:30" ht="12.75">
      <c r="A99" s="139">
        <v>9</v>
      </c>
      <c r="B99" s="908" t="s">
        <v>1134</v>
      </c>
      <c r="C99" s="309">
        <v>5</v>
      </c>
      <c r="D99" s="982" t="s">
        <v>1012</v>
      </c>
      <c r="E99" s="587"/>
      <c r="F99" s="658"/>
      <c r="G99" s="659"/>
      <c r="H99" s="660">
        <v>18000</v>
      </c>
      <c r="I99" s="642"/>
      <c r="J99" s="642"/>
      <c r="K99" s="309"/>
      <c r="L99" s="309"/>
      <c r="M99" s="309"/>
      <c r="N99" s="100"/>
      <c r="AC99" s="33"/>
      <c r="AD99" s="499"/>
    </row>
    <row r="100" spans="1:30" ht="12.75">
      <c r="A100" s="134">
        <v>10</v>
      </c>
      <c r="B100" s="908" t="s">
        <v>978</v>
      </c>
      <c r="C100" s="309">
        <v>5</v>
      </c>
      <c r="D100" s="982" t="s">
        <v>996</v>
      </c>
      <c r="E100" s="587"/>
      <c r="F100" s="658"/>
      <c r="G100" s="659"/>
      <c r="H100" s="660">
        <v>18000</v>
      </c>
      <c r="I100" s="642"/>
      <c r="J100" s="642"/>
      <c r="K100" s="309"/>
      <c r="L100" s="309"/>
      <c r="M100" s="309"/>
      <c r="N100" s="100"/>
      <c r="AC100" s="14"/>
      <c r="AD100" s="499"/>
    </row>
    <row r="101" spans="1:30" ht="25.5">
      <c r="A101" s="134">
        <v>11</v>
      </c>
      <c r="B101" s="908" t="s">
        <v>1038</v>
      </c>
      <c r="C101" s="309">
        <v>5</v>
      </c>
      <c r="D101" s="982" t="s">
        <v>1137</v>
      </c>
      <c r="E101" s="587"/>
      <c r="F101" s="658"/>
      <c r="G101" s="659">
        <v>40200</v>
      </c>
      <c r="H101" s="660">
        <v>15000</v>
      </c>
      <c r="I101" s="309"/>
      <c r="J101" s="642"/>
      <c r="K101" s="309"/>
      <c r="L101" s="309"/>
      <c r="M101" s="309" t="s">
        <v>1040</v>
      </c>
      <c r="N101" s="144" t="s">
        <v>1041</v>
      </c>
      <c r="AC101" s="33"/>
      <c r="AD101" s="499"/>
    </row>
    <row r="102" spans="1:30" ht="12.75">
      <c r="A102" s="134">
        <v>12</v>
      </c>
      <c r="B102" s="805" t="s">
        <v>1043</v>
      </c>
      <c r="C102" s="309">
        <v>5</v>
      </c>
      <c r="D102" s="982" t="s">
        <v>991</v>
      </c>
      <c r="E102" s="587"/>
      <c r="F102" s="658"/>
      <c r="G102" s="659"/>
      <c r="H102" s="660">
        <v>18000</v>
      </c>
      <c r="I102" s="309">
        <v>18000</v>
      </c>
      <c r="J102" s="642"/>
      <c r="K102" s="309"/>
      <c r="L102" s="309"/>
      <c r="M102" s="309"/>
      <c r="N102" s="144" t="s">
        <v>675</v>
      </c>
      <c r="AC102" s="33" t="s">
        <v>823</v>
      </c>
      <c r="AD102" s="499"/>
    </row>
    <row r="103" spans="1:30" ht="12.75">
      <c r="A103" s="260"/>
      <c r="B103" s="323" t="s">
        <v>177</v>
      </c>
      <c r="C103" s="161">
        <f>SUM(C91:C102)</f>
        <v>55</v>
      </c>
      <c r="D103" s="109"/>
      <c r="E103" s="552">
        <f>SUM(E73:E102)</f>
        <v>1750</v>
      </c>
      <c r="F103" s="233"/>
      <c r="G103" s="609">
        <f t="shared" ref="G103:H103" si="5">SUM(G89:G102)</f>
        <v>68200</v>
      </c>
      <c r="H103" s="1019">
        <f t="shared" si="5"/>
        <v>186000</v>
      </c>
      <c r="I103" s="1056">
        <f>SUM(I91:I102)</f>
        <v>77000</v>
      </c>
      <c r="J103" s="233">
        <f>SUM(J91:J98)</f>
        <v>0</v>
      </c>
      <c r="K103" s="238">
        <f t="shared" ref="K103:L103" si="6">SUM(K91:K102)</f>
        <v>0</v>
      </c>
      <c r="L103" s="238">
        <f t="shared" si="6"/>
        <v>0</v>
      </c>
      <c r="M103" s="988"/>
      <c r="N103" s="150"/>
      <c r="O103" s="681"/>
      <c r="AC103" s="33"/>
      <c r="AD103" s="499"/>
    </row>
    <row r="104" spans="1:30" ht="12.75">
      <c r="A104" s="341"/>
      <c r="B104" s="940"/>
      <c r="C104" s="734"/>
      <c r="D104" s="731"/>
      <c r="E104" s="732"/>
      <c r="F104" s="733"/>
      <c r="G104" s="737"/>
      <c r="H104" s="703"/>
      <c r="I104" s="734"/>
      <c r="J104" s="704"/>
      <c r="K104" s="734"/>
      <c r="L104" s="734"/>
      <c r="M104" s="734"/>
      <c r="N104" s="265"/>
      <c r="O104" s="681"/>
      <c r="AC104" s="33"/>
      <c r="AD104" s="499"/>
    </row>
    <row r="105" spans="1:30" ht="12.75">
      <c r="A105" s="341"/>
      <c r="B105" s="1061"/>
      <c r="C105" s="734"/>
      <c r="D105" s="731"/>
      <c r="E105" s="732"/>
      <c r="F105" s="733"/>
      <c r="G105" s="737"/>
      <c r="H105" s="703"/>
      <c r="I105" s="734"/>
      <c r="J105" s="704"/>
      <c r="K105" s="734"/>
      <c r="L105" s="734"/>
      <c r="M105" s="734"/>
      <c r="N105" s="265"/>
      <c r="O105" s="681"/>
      <c r="AC105" s="33"/>
      <c r="AD105" s="499"/>
    </row>
    <row r="106" spans="1:30" ht="12.75">
      <c r="A106" s="341"/>
      <c r="B106" s="1061"/>
      <c r="C106" s="734"/>
      <c r="D106" s="731"/>
      <c r="E106" s="732"/>
      <c r="F106" s="733"/>
      <c r="G106" s="737"/>
      <c r="H106" s="703"/>
      <c r="I106" s="734"/>
      <c r="J106" s="704"/>
      <c r="K106" s="734"/>
      <c r="L106" s="734"/>
      <c r="M106" s="734"/>
      <c r="N106" s="265"/>
      <c r="O106" s="681"/>
      <c r="AC106" s="33"/>
      <c r="AD106" s="499"/>
    </row>
    <row r="107" spans="1:30" ht="12.75">
      <c r="A107" s="341"/>
      <c r="B107" s="1061"/>
      <c r="C107" s="734"/>
      <c r="D107" s="731"/>
      <c r="E107" s="732"/>
      <c r="F107" s="733"/>
      <c r="G107" s="737"/>
      <c r="H107" s="703"/>
      <c r="I107" s="734"/>
      <c r="J107" s="704"/>
      <c r="K107" s="734"/>
      <c r="L107" s="734"/>
      <c r="M107" s="734"/>
      <c r="N107" s="265"/>
      <c r="O107" s="681"/>
      <c r="AC107" s="33"/>
      <c r="AD107" s="499"/>
    </row>
    <row r="108" spans="1:30" ht="12.75">
      <c r="A108" s="341"/>
      <c r="B108" s="1061"/>
      <c r="C108" s="734"/>
      <c r="D108" s="731"/>
      <c r="E108" s="732"/>
      <c r="F108" s="733"/>
      <c r="G108" s="737"/>
      <c r="H108" s="703"/>
      <c r="I108" s="734"/>
      <c r="J108" s="704"/>
      <c r="K108" s="734"/>
      <c r="L108" s="734"/>
      <c r="M108" s="734"/>
      <c r="N108" s="265"/>
      <c r="O108" s="681"/>
      <c r="AC108" s="33" t="s">
        <v>581</v>
      </c>
      <c r="AD108" s="499"/>
    </row>
    <row r="109" spans="1:30" ht="63.75">
      <c r="A109" s="134"/>
      <c r="B109" s="1093" t="s">
        <v>964</v>
      </c>
      <c r="C109" s="513"/>
      <c r="D109" s="514" t="s">
        <v>10</v>
      </c>
      <c r="E109" s="515" t="s">
        <v>243</v>
      </c>
      <c r="F109" s="516" t="s">
        <v>244</v>
      </c>
      <c r="G109" s="517" t="s">
        <v>245</v>
      </c>
      <c r="H109" s="518" t="s">
        <v>246</v>
      </c>
      <c r="I109" s="513" t="s">
        <v>532</v>
      </c>
      <c r="J109" s="519" t="s">
        <v>13</v>
      </c>
      <c r="K109" s="531" t="s">
        <v>891</v>
      </c>
      <c r="L109" s="531" t="s">
        <v>892</v>
      </c>
      <c r="M109" s="717" t="s">
        <v>162</v>
      </c>
      <c r="N109" s="265"/>
      <c r="O109" s="681"/>
      <c r="AC109" s="33"/>
      <c r="AD109" s="499"/>
    </row>
    <row r="110" spans="1:30" ht="12.75">
      <c r="A110" s="100">
        <v>1</v>
      </c>
      <c r="B110" s="775" t="s">
        <v>1057</v>
      </c>
      <c r="C110" s="144"/>
      <c r="D110" s="203" t="s">
        <v>1143</v>
      </c>
      <c r="E110" s="693">
        <v>90</v>
      </c>
      <c r="F110" s="144">
        <v>24</v>
      </c>
      <c r="G110" s="258"/>
      <c r="H110" s="258">
        <v>18750</v>
      </c>
      <c r="I110" s="59">
        <v>0</v>
      </c>
      <c r="J110" s="59">
        <v>0</v>
      </c>
      <c r="K110" s="537">
        <v>0</v>
      </c>
      <c r="L110" s="537">
        <v>0</v>
      </c>
      <c r="M110" s="230" t="s">
        <v>675</v>
      </c>
      <c r="N110" s="265"/>
      <c r="O110" s="681"/>
      <c r="AC110" s="682"/>
      <c r="AD110" s="499"/>
    </row>
    <row r="111" spans="1:30" ht="12.75">
      <c r="A111" s="341"/>
      <c r="B111" s="1064"/>
      <c r="C111" s="72"/>
      <c r="D111" s="185"/>
      <c r="E111" s="743"/>
      <c r="F111" s="209"/>
      <c r="G111" s="323" t="s">
        <v>177</v>
      </c>
      <c r="H111" s="1019">
        <f t="shared" ref="H111:L111" si="7">H110</f>
        <v>18750</v>
      </c>
      <c r="I111" s="1056">
        <f t="shared" si="7"/>
        <v>0</v>
      </c>
      <c r="J111" s="233">
        <f t="shared" si="7"/>
        <v>0</v>
      </c>
      <c r="K111" s="238">
        <f t="shared" si="7"/>
        <v>0</v>
      </c>
      <c r="L111" s="238">
        <f t="shared" si="7"/>
        <v>0</v>
      </c>
      <c r="M111" s="988"/>
      <c r="N111" s="265"/>
      <c r="O111" s="681"/>
      <c r="AC111" s="810"/>
      <c r="AD111" s="499"/>
    </row>
    <row r="112" spans="1:30" ht="12.75">
      <c r="A112" s="341"/>
      <c r="B112" s="940"/>
      <c r="C112" s="734"/>
      <c r="D112" s="731"/>
      <c r="E112" s="732"/>
      <c r="F112" s="733"/>
      <c r="G112" s="711"/>
      <c r="H112" s="712"/>
      <c r="I112" s="707"/>
      <c r="J112" s="713"/>
      <c r="K112" s="734"/>
      <c r="L112" s="734"/>
      <c r="M112" s="714"/>
      <c r="N112" s="265"/>
      <c r="O112" s="681"/>
      <c r="AC112" s="696"/>
      <c r="AD112" s="499"/>
    </row>
    <row r="113" spans="1:30" ht="63.75">
      <c r="A113" s="139" t="s">
        <v>5</v>
      </c>
      <c r="B113" s="1094" t="s">
        <v>106</v>
      </c>
      <c r="C113" s="513"/>
      <c r="D113" s="514" t="s">
        <v>10</v>
      </c>
      <c r="E113" s="515" t="s">
        <v>243</v>
      </c>
      <c r="F113" s="516" t="s">
        <v>244</v>
      </c>
      <c r="G113" s="517" t="s">
        <v>245</v>
      </c>
      <c r="H113" s="518" t="s">
        <v>246</v>
      </c>
      <c r="I113" s="513" t="s">
        <v>532</v>
      </c>
      <c r="J113" s="519" t="s">
        <v>13</v>
      </c>
      <c r="K113" s="531" t="s">
        <v>891</v>
      </c>
      <c r="L113" s="531" t="s">
        <v>892</v>
      </c>
      <c r="M113" s="717" t="s">
        <v>162</v>
      </c>
      <c r="N113" s="14"/>
      <c r="AC113" s="265"/>
      <c r="AD113" s="681"/>
    </row>
    <row r="114" spans="1:30" ht="12.75">
      <c r="A114" s="100">
        <v>1</v>
      </c>
      <c r="B114" s="775" t="s">
        <v>1057</v>
      </c>
      <c r="C114" s="144"/>
      <c r="D114" s="203" t="s">
        <v>1143</v>
      </c>
      <c r="E114" s="693">
        <v>90</v>
      </c>
      <c r="F114" s="144">
        <v>24</v>
      </c>
      <c r="G114" s="258"/>
      <c r="H114" s="258">
        <v>30000</v>
      </c>
      <c r="I114" s="144">
        <v>0</v>
      </c>
      <c r="J114" s="144">
        <v>0</v>
      </c>
      <c r="K114" s="1030">
        <v>0</v>
      </c>
      <c r="L114" s="1030">
        <v>0</v>
      </c>
      <c r="M114" s="230"/>
      <c r="N114" s="340"/>
      <c r="AC114" s="14"/>
    </row>
    <row r="115" spans="1:30" ht="12.75">
      <c r="A115" s="14"/>
      <c r="B115" s="183"/>
      <c r="C115" s="14"/>
      <c r="D115" s="185"/>
      <c r="E115" s="557"/>
      <c r="F115" s="209"/>
      <c r="G115" s="323" t="s">
        <v>177</v>
      </c>
      <c r="H115" s="238">
        <f t="shared" ref="H115:L115" si="8">H114</f>
        <v>30000</v>
      </c>
      <c r="I115" s="1066">
        <f t="shared" si="8"/>
        <v>0</v>
      </c>
      <c r="J115" s="100">
        <f t="shared" si="8"/>
        <v>0</v>
      </c>
      <c r="K115" s="988">
        <f t="shared" si="8"/>
        <v>0</v>
      </c>
      <c r="L115" s="988">
        <f t="shared" si="8"/>
        <v>0</v>
      </c>
      <c r="M115" s="988"/>
      <c r="N115" s="14"/>
      <c r="AC115" s="14"/>
    </row>
    <row r="116" spans="1:30" ht="12.75">
      <c r="A116" s="14"/>
      <c r="B116" s="207"/>
      <c r="C116" s="14"/>
      <c r="D116" s="1025"/>
      <c r="E116" s="1026"/>
      <c r="F116" s="1027"/>
      <c r="G116" s="1031"/>
      <c r="H116" s="1032"/>
      <c r="I116" s="151"/>
      <c r="J116" s="743"/>
      <c r="K116" s="1024"/>
      <c r="L116" s="1024"/>
      <c r="M116" s="230"/>
      <c r="N116" s="33"/>
      <c r="AC116" s="14"/>
    </row>
    <row r="117" spans="1:30" ht="63.75">
      <c r="A117" s="219" t="s">
        <v>5</v>
      </c>
      <c r="B117" s="684" t="s">
        <v>122</v>
      </c>
      <c r="C117" s="189"/>
      <c r="D117" s="129" t="s">
        <v>10</v>
      </c>
      <c r="E117" s="288" t="s">
        <v>243</v>
      </c>
      <c r="F117" s="289" t="s">
        <v>244</v>
      </c>
      <c r="G117" s="290" t="s">
        <v>245</v>
      </c>
      <c r="H117" s="291" t="s">
        <v>246</v>
      </c>
      <c r="I117" s="217" t="s">
        <v>532</v>
      </c>
      <c r="J117" s="22" t="s">
        <v>13</v>
      </c>
      <c r="K117" s="923" t="s">
        <v>891</v>
      </c>
      <c r="L117" s="923" t="s">
        <v>892</v>
      </c>
      <c r="M117" s="717" t="s">
        <v>162</v>
      </c>
      <c r="N117" s="33" t="s">
        <v>470</v>
      </c>
      <c r="AC117" s="14"/>
    </row>
    <row r="118" spans="1:30" ht="12.75">
      <c r="A118" s="2" t="s">
        <v>114</v>
      </c>
      <c r="B118" s="481" t="s">
        <v>128</v>
      </c>
      <c r="C118" s="59"/>
      <c r="D118" s="45" t="s">
        <v>148</v>
      </c>
      <c r="E118" s="545">
        <v>31</v>
      </c>
      <c r="F118" s="47">
        <v>31</v>
      </c>
      <c r="G118" s="223">
        <v>29000</v>
      </c>
      <c r="H118" s="222">
        <v>29000</v>
      </c>
      <c r="I118" s="144">
        <v>29000</v>
      </c>
      <c r="J118" s="6"/>
      <c r="K118" s="537"/>
      <c r="L118" s="537"/>
      <c r="M118" s="230"/>
      <c r="N118" s="100"/>
      <c r="AC118" s="14"/>
    </row>
    <row r="119" spans="1:30" ht="12.75">
      <c r="A119" s="59" t="s">
        <v>151</v>
      </c>
      <c r="B119" s="4" t="s">
        <v>1066</v>
      </c>
      <c r="C119" s="59"/>
      <c r="D119" s="45" t="s">
        <v>1067</v>
      </c>
      <c r="E119" s="545">
        <v>90</v>
      </c>
      <c r="F119" s="47">
        <v>31</v>
      </c>
      <c r="G119" s="223">
        <v>21080</v>
      </c>
      <c r="H119" s="222">
        <v>21080</v>
      </c>
      <c r="I119" s="144">
        <v>21080</v>
      </c>
      <c r="J119" s="6"/>
      <c r="K119" s="1033"/>
      <c r="L119" s="1033"/>
      <c r="M119" s="726"/>
      <c r="N119" s="100"/>
      <c r="AC119" s="14"/>
    </row>
    <row r="120" spans="1:30" ht="12.75">
      <c r="A120" s="59" t="s">
        <v>152</v>
      </c>
      <c r="B120" s="453" t="s">
        <v>972</v>
      </c>
      <c r="C120" s="59"/>
      <c r="D120" s="45" t="s">
        <v>1147</v>
      </c>
      <c r="E120" s="545">
        <v>120</v>
      </c>
      <c r="F120" s="47">
        <v>20</v>
      </c>
      <c r="G120" s="223"/>
      <c r="H120" s="222">
        <v>15000</v>
      </c>
      <c r="I120" s="144">
        <v>15000</v>
      </c>
      <c r="J120" s="6"/>
      <c r="K120" s="673"/>
      <c r="L120" s="673"/>
      <c r="M120" s="309"/>
      <c r="N120" s="144" t="s">
        <v>675</v>
      </c>
      <c r="AC120" s="14"/>
    </row>
    <row r="121" spans="1:30" ht="12.75">
      <c r="A121" s="454" t="s">
        <v>153</v>
      </c>
      <c r="B121" s="1098" t="s">
        <v>1110</v>
      </c>
      <c r="C121" s="454"/>
      <c r="D121" s="477" t="s">
        <v>1111</v>
      </c>
      <c r="E121" s="543"/>
      <c r="F121" s="456"/>
      <c r="G121" s="478"/>
      <c r="H121" s="478">
        <v>23000</v>
      </c>
      <c r="I121" s="463"/>
      <c r="J121" s="479"/>
      <c r="K121" s="520"/>
      <c r="L121" s="520"/>
      <c r="M121" s="503" t="s">
        <v>275</v>
      </c>
      <c r="N121" s="463"/>
      <c r="AC121" s="33" t="s">
        <v>903</v>
      </c>
    </row>
    <row r="122" spans="1:30" ht="12.75">
      <c r="A122" s="454" t="s">
        <v>119</v>
      </c>
      <c r="B122" s="453"/>
      <c r="C122" s="454"/>
      <c r="D122" s="477"/>
      <c r="E122" s="543"/>
      <c r="F122" s="456"/>
      <c r="G122" s="478"/>
      <c r="H122" s="478"/>
      <c r="I122" s="463"/>
      <c r="J122" s="454"/>
      <c r="K122" s="520"/>
      <c r="L122" s="520"/>
      <c r="M122" s="503"/>
      <c r="N122" s="463"/>
      <c r="AC122" s="14"/>
    </row>
    <row r="123" spans="1:30" ht="12.75">
      <c r="A123" s="144" t="s">
        <v>132</v>
      </c>
      <c r="B123" s="903" t="s">
        <v>842</v>
      </c>
      <c r="C123" s="904"/>
      <c r="D123" s="1099" t="s">
        <v>1149</v>
      </c>
      <c r="E123" s="1099"/>
      <c r="F123" s="1100"/>
      <c r="G123" s="323"/>
      <c r="H123" s="778">
        <v>8000</v>
      </c>
      <c r="I123" s="463">
        <v>8000</v>
      </c>
      <c r="J123" s="100"/>
      <c r="K123" s="606"/>
      <c r="L123" s="606"/>
      <c r="M123" s="606"/>
      <c r="N123" s="100"/>
      <c r="AC123" s="14"/>
    </row>
    <row r="124" spans="1:30" ht="12.75">
      <c r="A124" s="1068" t="s">
        <v>114</v>
      </c>
      <c r="B124" s="751" t="s">
        <v>977</v>
      </c>
      <c r="C124" s="235"/>
      <c r="D124" s="235"/>
      <c r="E124" s="235"/>
      <c r="F124" s="235"/>
      <c r="G124" s="323"/>
      <c r="H124" s="238">
        <f t="shared" ref="H124:L124" si="9">SUM(H118:H123)</f>
        <v>96080</v>
      </c>
      <c r="I124" s="1066">
        <f t="shared" si="9"/>
        <v>73080</v>
      </c>
      <c r="J124" s="1066">
        <f t="shared" si="9"/>
        <v>0</v>
      </c>
      <c r="K124" s="1066">
        <f t="shared" si="9"/>
        <v>0</v>
      </c>
      <c r="L124" s="1066">
        <f t="shared" si="9"/>
        <v>0</v>
      </c>
      <c r="M124" s="606"/>
      <c r="N124" s="100"/>
      <c r="AC124" s="14"/>
    </row>
    <row r="125" spans="1:30" ht="12.75">
      <c r="A125" s="341"/>
      <c r="B125" s="905"/>
      <c r="C125" s="265"/>
      <c r="D125" s="731"/>
      <c r="E125" s="732"/>
      <c r="F125" s="733"/>
      <c r="G125" s="732"/>
      <c r="H125" s="732"/>
      <c r="I125" s="734"/>
      <c r="J125" s="704"/>
      <c r="K125" s="734"/>
      <c r="L125" s="734"/>
      <c r="M125" s="734"/>
      <c r="N125" s="14"/>
      <c r="AC125" s="14"/>
    </row>
    <row r="126" spans="1:30" ht="12.75">
      <c r="A126" s="265"/>
      <c r="B126" s="730"/>
      <c r="C126" s="265"/>
      <c r="D126" s="731"/>
      <c r="E126" s="732"/>
      <c r="F126" s="733"/>
      <c r="G126" s="732"/>
      <c r="H126" s="732"/>
      <c r="I126" s="734"/>
      <c r="J126" s="704"/>
      <c r="K126" s="734"/>
      <c r="L126" s="734"/>
      <c r="M126" s="734"/>
      <c r="N126" s="14"/>
      <c r="AC126" s="14"/>
    </row>
    <row r="127" spans="1:30" ht="63.75">
      <c r="A127" s="139" t="s">
        <v>5</v>
      </c>
      <c r="B127" s="191" t="s">
        <v>1152</v>
      </c>
      <c r="C127" s="513"/>
      <c r="D127" s="514" t="s">
        <v>10</v>
      </c>
      <c r="E127" s="515" t="s">
        <v>243</v>
      </c>
      <c r="F127" s="516" t="s">
        <v>244</v>
      </c>
      <c r="G127" s="517" t="s">
        <v>245</v>
      </c>
      <c r="H127" s="518" t="s">
        <v>246</v>
      </c>
      <c r="I127" s="513" t="s">
        <v>532</v>
      </c>
      <c r="J127" s="519" t="s">
        <v>13</v>
      </c>
      <c r="K127" s="531" t="s">
        <v>891</v>
      </c>
      <c r="L127" s="531" t="s">
        <v>892</v>
      </c>
      <c r="M127" s="717" t="s">
        <v>162</v>
      </c>
      <c r="N127" s="287"/>
      <c r="AC127" s="14"/>
    </row>
    <row r="128" spans="1:30" ht="12.75">
      <c r="A128" s="132" t="s">
        <v>458</v>
      </c>
      <c r="B128" s="639"/>
      <c r="C128" s="144"/>
      <c r="D128" s="144"/>
      <c r="E128" s="693"/>
      <c r="F128" s="103"/>
      <c r="G128" s="353"/>
      <c r="H128" s="353"/>
      <c r="I128" s="144"/>
      <c r="J128" s="100"/>
      <c r="K128" s="503"/>
      <c r="L128" s="503"/>
      <c r="M128" s="503"/>
      <c r="N128" s="287"/>
      <c r="AC128" s="265"/>
      <c r="AD128" s="681"/>
    </row>
    <row r="129" spans="1:30" ht="12.75">
      <c r="A129" s="132" t="s">
        <v>459</v>
      </c>
      <c r="B129" s="1012" t="s">
        <v>1153</v>
      </c>
      <c r="C129" s="100"/>
      <c r="D129" s="203" t="s">
        <v>996</v>
      </c>
      <c r="E129" s="587"/>
      <c r="F129" s="270">
        <v>31</v>
      </c>
      <c r="G129" s="449"/>
      <c r="H129" s="353">
        <v>20000</v>
      </c>
      <c r="I129" s="144"/>
      <c r="J129" s="144"/>
      <c r="K129" s="309"/>
      <c r="L129" s="309"/>
      <c r="M129" s="309"/>
      <c r="N129" s="325"/>
      <c r="AC129" s="265"/>
      <c r="AD129" s="681"/>
    </row>
    <row r="130" spans="1:30" ht="12.75">
      <c r="A130" s="132" t="s">
        <v>460</v>
      </c>
      <c r="B130" s="816" t="s">
        <v>1154</v>
      </c>
      <c r="C130" s="100"/>
      <c r="D130" s="203" t="s">
        <v>996</v>
      </c>
      <c r="E130" s="587"/>
      <c r="F130" s="270">
        <v>31</v>
      </c>
      <c r="G130" s="355"/>
      <c r="H130" s="473">
        <v>15000</v>
      </c>
      <c r="I130" s="144">
        <v>15000</v>
      </c>
      <c r="J130" s="144"/>
      <c r="K130" s="309"/>
      <c r="L130" s="309"/>
      <c r="M130" s="309"/>
      <c r="N130" s="325"/>
      <c r="AC130" s="265"/>
      <c r="AD130" s="681"/>
    </row>
    <row r="131" spans="1:30" ht="12.75">
      <c r="A131" s="132"/>
      <c r="B131" s="181"/>
      <c r="C131" s="100"/>
      <c r="D131" s="109"/>
      <c r="E131" s="587"/>
      <c r="F131" s="237"/>
      <c r="G131" s="323" t="s">
        <v>177</v>
      </c>
      <c r="H131" s="238">
        <f t="shared" ref="H131:L131" si="10">SUM(H128:H130)</f>
        <v>35000</v>
      </c>
      <c r="I131" s="736">
        <f t="shared" si="10"/>
        <v>15000</v>
      </c>
      <c r="J131" s="736">
        <f t="shared" si="10"/>
        <v>0</v>
      </c>
      <c r="K131" s="736">
        <f t="shared" si="10"/>
        <v>0</v>
      </c>
      <c r="L131" s="736">
        <f t="shared" si="10"/>
        <v>0</v>
      </c>
      <c r="M131" s="309"/>
      <c r="N131" s="287"/>
      <c r="AC131" s="265"/>
      <c r="AD131" s="681"/>
    </row>
    <row r="132" spans="1:30" ht="12.75">
      <c r="A132" s="265"/>
      <c r="B132" s="730"/>
      <c r="C132" s="265"/>
      <c r="D132" s="731"/>
      <c r="E132" s="732"/>
      <c r="F132" s="733"/>
      <c r="G132" s="737"/>
      <c r="H132" s="703"/>
      <c r="I132" s="734"/>
      <c r="J132" s="704"/>
      <c r="K132" s="734"/>
      <c r="L132" s="734"/>
      <c r="M132" s="734"/>
      <c r="N132" s="14"/>
      <c r="AC132" s="265"/>
      <c r="AD132" s="681"/>
    </row>
    <row r="133" spans="1:30" ht="63.75">
      <c r="A133" s="219" t="s">
        <v>5</v>
      </c>
      <c r="B133" s="1095" t="s">
        <v>1155</v>
      </c>
      <c r="C133" s="189"/>
      <c r="D133" s="514" t="s">
        <v>10</v>
      </c>
      <c r="E133" s="515" t="s">
        <v>243</v>
      </c>
      <c r="F133" s="516" t="s">
        <v>244</v>
      </c>
      <c r="G133" s="738" t="s">
        <v>245</v>
      </c>
      <c r="H133" s="739" t="s">
        <v>246</v>
      </c>
      <c r="I133" s="217" t="s">
        <v>532</v>
      </c>
      <c r="J133" s="740" t="s">
        <v>13</v>
      </c>
      <c r="K133" s="923" t="s">
        <v>891</v>
      </c>
      <c r="L133" s="923" t="s">
        <v>892</v>
      </c>
      <c r="M133" s="741" t="s">
        <v>162</v>
      </c>
      <c r="N133" s="14"/>
      <c r="AC133" s="14"/>
    </row>
    <row r="134" spans="1:30" ht="12.75">
      <c r="A134" s="2" t="s">
        <v>114</v>
      </c>
      <c r="B134" s="742" t="s">
        <v>1156</v>
      </c>
      <c r="C134" s="59"/>
      <c r="D134" s="45" t="s">
        <v>1157</v>
      </c>
      <c r="E134" s="545"/>
      <c r="F134" s="47"/>
      <c r="G134" s="223"/>
      <c r="H134" s="223">
        <v>20000</v>
      </c>
      <c r="I134" s="59"/>
      <c r="J134" s="6"/>
      <c r="K134" s="537"/>
      <c r="L134" s="537"/>
      <c r="M134" s="230"/>
      <c r="N134" s="144" t="s">
        <v>520</v>
      </c>
      <c r="AC134" s="14"/>
    </row>
    <row r="135" spans="1:30" ht="12.75">
      <c r="A135" s="6" t="s">
        <v>119</v>
      </c>
      <c r="B135" s="742"/>
      <c r="C135" s="59"/>
      <c r="D135" s="477"/>
      <c r="E135" s="545"/>
      <c r="F135" s="47"/>
      <c r="G135" s="223"/>
      <c r="H135" s="223"/>
      <c r="I135" s="697"/>
      <c r="J135" s="6"/>
      <c r="K135" s="537"/>
      <c r="L135" s="537"/>
      <c r="M135" s="230"/>
      <c r="N135" s="463"/>
      <c r="AC135" s="14"/>
    </row>
    <row r="136" spans="1:30" ht="12.75">
      <c r="A136" s="192"/>
      <c r="B136" s="899"/>
      <c r="C136" s="144"/>
      <c r="D136" s="109"/>
      <c r="E136" s="552"/>
      <c r="F136" s="233"/>
      <c r="G136" s="236" t="s">
        <v>177</v>
      </c>
      <c r="H136" s="1077">
        <f t="shared" ref="H136:L136" si="11">SUM(H134:H135)</f>
        <v>20000</v>
      </c>
      <c r="I136" s="720">
        <f t="shared" si="11"/>
        <v>0</v>
      </c>
      <c r="J136" s="729">
        <f t="shared" si="11"/>
        <v>0</v>
      </c>
      <c r="K136" s="729">
        <f t="shared" si="11"/>
        <v>0</v>
      </c>
      <c r="L136" s="729">
        <f t="shared" si="11"/>
        <v>0</v>
      </c>
      <c r="M136" s="642"/>
      <c r="N136" s="144"/>
      <c r="AC136" s="14"/>
    </row>
    <row r="137" spans="1:30" ht="12.75">
      <c r="A137" s="265"/>
      <c r="B137" s="730"/>
      <c r="C137" s="265"/>
      <c r="D137" s="731"/>
      <c r="E137" s="732"/>
      <c r="F137" s="733"/>
      <c r="G137" s="737"/>
      <c r="H137" s="703"/>
      <c r="I137" s="734"/>
      <c r="J137" s="704"/>
      <c r="K137" s="734"/>
      <c r="L137" s="734"/>
      <c r="M137" s="734"/>
      <c r="N137" s="14"/>
      <c r="AC137" s="14"/>
    </row>
    <row r="138" spans="1:30" ht="63.75">
      <c r="A138" s="219" t="s">
        <v>5</v>
      </c>
      <c r="B138" s="1095" t="s">
        <v>1159</v>
      </c>
      <c r="C138" s="189"/>
      <c r="D138" s="129" t="s">
        <v>10</v>
      </c>
      <c r="E138" s="288" t="s">
        <v>243</v>
      </c>
      <c r="F138" s="289" t="s">
        <v>244</v>
      </c>
      <c r="G138" s="290" t="s">
        <v>245</v>
      </c>
      <c r="H138" s="291" t="s">
        <v>246</v>
      </c>
      <c r="I138" s="217" t="s">
        <v>532</v>
      </c>
      <c r="J138" s="22" t="s">
        <v>13</v>
      </c>
      <c r="K138" s="923" t="s">
        <v>891</v>
      </c>
      <c r="L138" s="923" t="s">
        <v>892</v>
      </c>
      <c r="M138" s="717" t="s">
        <v>162</v>
      </c>
      <c r="N138" s="33" t="s">
        <v>470</v>
      </c>
      <c r="AC138" s="14"/>
    </row>
    <row r="139" spans="1:30" ht="12.75">
      <c r="A139" s="2" t="s">
        <v>114</v>
      </c>
      <c r="B139" s="481"/>
      <c r="C139" s="59"/>
      <c r="D139" s="45"/>
      <c r="E139" s="545"/>
      <c r="F139" s="47"/>
      <c r="G139" s="223"/>
      <c r="H139" s="222"/>
      <c r="I139" s="144"/>
      <c r="J139" s="6"/>
      <c r="K139" s="537"/>
      <c r="L139" s="537"/>
      <c r="M139" s="230"/>
      <c r="N139" s="100"/>
      <c r="AC139" s="14"/>
    </row>
    <row r="140" spans="1:30" ht="12.75">
      <c r="A140" s="59" t="s">
        <v>151</v>
      </c>
      <c r="B140" s="4"/>
      <c r="C140" s="59"/>
      <c r="D140" s="45"/>
      <c r="E140" s="545"/>
      <c r="F140" s="47"/>
      <c r="G140" s="223"/>
      <c r="H140" s="222"/>
      <c r="I140" s="144"/>
      <c r="J140" s="6"/>
      <c r="K140" s="1033"/>
      <c r="L140" s="1033"/>
      <c r="M140" s="726"/>
      <c r="N140" s="100"/>
      <c r="AC140" s="14"/>
    </row>
    <row r="141" spans="1:30" ht="12.75">
      <c r="A141" s="59" t="s">
        <v>152</v>
      </c>
      <c r="B141" s="453"/>
      <c r="C141" s="59"/>
      <c r="D141" s="45"/>
      <c r="E141" s="545"/>
      <c r="F141" s="47"/>
      <c r="G141" s="223"/>
      <c r="H141" s="222"/>
      <c r="I141" s="144"/>
      <c r="J141" s="6"/>
      <c r="K141" s="673"/>
      <c r="L141" s="673"/>
      <c r="M141" s="309"/>
      <c r="N141" s="144" t="s">
        <v>675</v>
      </c>
      <c r="AC141" s="14"/>
    </row>
    <row r="142" spans="1:30" ht="12.75">
      <c r="A142" s="454" t="s">
        <v>153</v>
      </c>
      <c r="B142" s="1102"/>
      <c r="C142" s="454"/>
      <c r="D142" s="477"/>
      <c r="E142" s="543"/>
      <c r="F142" s="456"/>
      <c r="G142" s="478"/>
      <c r="H142" s="478"/>
      <c r="I142" s="463"/>
      <c r="J142" s="479"/>
      <c r="K142" s="520"/>
      <c r="L142" s="520"/>
      <c r="M142" s="503" t="s">
        <v>275</v>
      </c>
      <c r="N142" s="463"/>
      <c r="AC142" s="14"/>
    </row>
    <row r="143" spans="1:30" ht="12.75">
      <c r="A143" s="454" t="s">
        <v>119</v>
      </c>
      <c r="B143" s="453"/>
      <c r="C143" s="454"/>
      <c r="D143" s="477"/>
      <c r="E143" s="543"/>
      <c r="F143" s="456"/>
      <c r="G143" s="478"/>
      <c r="H143" s="478"/>
      <c r="I143" s="463"/>
      <c r="J143" s="454"/>
      <c r="K143" s="520"/>
      <c r="L143" s="520"/>
      <c r="M143" s="503"/>
      <c r="N143" s="463"/>
      <c r="AC143" s="14"/>
    </row>
    <row r="144" spans="1:30" ht="12.75">
      <c r="A144" s="144" t="s">
        <v>132</v>
      </c>
      <c r="B144" s="903"/>
      <c r="C144" s="904"/>
      <c r="D144" s="1099"/>
      <c r="E144" s="1099"/>
      <c r="F144" s="1100"/>
      <c r="G144" s="323"/>
      <c r="H144" s="778"/>
      <c r="I144" s="463"/>
      <c r="J144" s="100"/>
      <c r="K144" s="606"/>
      <c r="L144" s="606"/>
      <c r="M144" s="606"/>
      <c r="N144" s="100"/>
      <c r="AC144" s="14"/>
    </row>
    <row r="145" spans="1:29" ht="12.75">
      <c r="A145" s="500" t="s">
        <v>114</v>
      </c>
      <c r="B145" s="234"/>
      <c r="C145" s="235"/>
      <c r="D145" s="235"/>
      <c r="E145" s="235"/>
      <c r="F145" s="235"/>
      <c r="G145" s="323"/>
      <c r="H145" s="238">
        <f t="shared" ref="H145:L145" si="12">SUM(H139:H144)</f>
        <v>0</v>
      </c>
      <c r="I145" s="1066">
        <f t="shared" si="12"/>
        <v>0</v>
      </c>
      <c r="J145" s="1066">
        <f t="shared" si="12"/>
        <v>0</v>
      </c>
      <c r="K145" s="1066">
        <f t="shared" si="12"/>
        <v>0</v>
      </c>
      <c r="L145" s="1066">
        <f t="shared" si="12"/>
        <v>0</v>
      </c>
      <c r="M145" s="606"/>
      <c r="N145" s="100"/>
      <c r="AC145" s="14"/>
    </row>
    <row r="146" spans="1:29" ht="12.75">
      <c r="A146" s="265"/>
      <c r="B146" s="730"/>
      <c r="C146" s="265"/>
      <c r="D146" s="731"/>
      <c r="E146" s="732"/>
      <c r="F146" s="733"/>
      <c r="G146" s="737"/>
      <c r="H146" s="703"/>
      <c r="I146" s="734"/>
      <c r="J146" s="704"/>
      <c r="K146" s="734"/>
      <c r="L146" s="734"/>
      <c r="M146" s="734"/>
      <c r="N146" s="14"/>
      <c r="AC146" s="14"/>
    </row>
    <row r="147" spans="1:29" ht="12.75">
      <c r="A147" s="265"/>
      <c r="B147" s="730"/>
      <c r="C147" s="265"/>
      <c r="D147" s="731"/>
      <c r="E147" s="732"/>
      <c r="F147" s="733"/>
      <c r="G147" s="737"/>
      <c r="H147" s="703"/>
      <c r="I147" s="734"/>
      <c r="J147" s="704"/>
      <c r="K147" s="734"/>
      <c r="L147" s="734"/>
      <c r="M147" s="734"/>
      <c r="N147" s="14"/>
      <c r="AC147" s="14"/>
    </row>
    <row r="148" spans="1:29" ht="63.75">
      <c r="A148" s="219" t="s">
        <v>5</v>
      </c>
      <c r="B148" s="191" t="s">
        <v>1163</v>
      </c>
      <c r="C148" s="189"/>
      <c r="D148" s="514" t="s">
        <v>10</v>
      </c>
      <c r="E148" s="515" t="s">
        <v>243</v>
      </c>
      <c r="F148" s="516" t="s">
        <v>244</v>
      </c>
      <c r="G148" s="738" t="s">
        <v>245</v>
      </c>
      <c r="H148" s="739" t="s">
        <v>246</v>
      </c>
      <c r="I148" s="217" t="s">
        <v>532</v>
      </c>
      <c r="J148" s="740" t="s">
        <v>13</v>
      </c>
      <c r="K148" s="923" t="s">
        <v>891</v>
      </c>
      <c r="L148" s="923" t="s">
        <v>892</v>
      </c>
      <c r="M148" s="741" t="s">
        <v>162</v>
      </c>
      <c r="N148" s="14"/>
      <c r="AC148" s="340" t="s">
        <v>492</v>
      </c>
    </row>
    <row r="149" spans="1:29" ht="12.75">
      <c r="A149" s="2" t="s">
        <v>114</v>
      </c>
      <c r="B149" s="742" t="s">
        <v>630</v>
      </c>
      <c r="C149" s="59"/>
      <c r="D149" s="45" t="s">
        <v>1164</v>
      </c>
      <c r="E149" s="545"/>
      <c r="F149" s="47">
        <v>31</v>
      </c>
      <c r="G149" s="223">
        <v>5900</v>
      </c>
      <c r="H149" s="223">
        <v>5900</v>
      </c>
      <c r="I149" s="1104">
        <v>8850</v>
      </c>
      <c r="J149" s="6"/>
      <c r="K149" s="537" t="s">
        <v>1165</v>
      </c>
      <c r="L149" s="537">
        <v>5400</v>
      </c>
      <c r="M149" s="230"/>
      <c r="N149" s="144" t="s">
        <v>520</v>
      </c>
      <c r="AC149" s="14"/>
    </row>
    <row r="150" spans="1:29" ht="12.75">
      <c r="A150" s="6" t="s">
        <v>119</v>
      </c>
      <c r="B150" s="742" t="s">
        <v>1023</v>
      </c>
      <c r="C150" s="59"/>
      <c r="D150" s="477" t="s">
        <v>996</v>
      </c>
      <c r="E150" s="545"/>
      <c r="F150" s="47">
        <v>31</v>
      </c>
      <c r="G150" s="223">
        <v>4258</v>
      </c>
      <c r="H150" s="223">
        <v>5000</v>
      </c>
      <c r="I150" s="697"/>
      <c r="J150" s="6"/>
      <c r="K150" s="537"/>
      <c r="L150" s="537"/>
      <c r="M150" s="230"/>
      <c r="N150" s="463"/>
      <c r="AC150" s="14"/>
    </row>
    <row r="151" spans="1:29" ht="12.75">
      <c r="A151" s="192"/>
      <c r="B151" s="899"/>
      <c r="C151" s="144"/>
      <c r="D151" s="109"/>
      <c r="E151" s="552"/>
      <c r="F151" s="233"/>
      <c r="G151" s="236" t="s">
        <v>177</v>
      </c>
      <c r="H151" s="1077">
        <f t="shared" ref="H151:L151" si="13">SUM(H149:H150)</f>
        <v>10900</v>
      </c>
      <c r="I151" s="720">
        <f t="shared" si="13"/>
        <v>8850</v>
      </c>
      <c r="J151" s="729">
        <f t="shared" si="13"/>
        <v>0</v>
      </c>
      <c r="K151" s="729">
        <f t="shared" si="13"/>
        <v>0</v>
      </c>
      <c r="L151" s="729">
        <f t="shared" si="13"/>
        <v>5400</v>
      </c>
      <c r="M151" s="642"/>
      <c r="N151" s="144"/>
      <c r="AC151" s="340" t="s">
        <v>492</v>
      </c>
    </row>
    <row r="152" spans="1:29" ht="12.75">
      <c r="A152" s="324"/>
      <c r="B152" s="887"/>
      <c r="C152" s="14"/>
      <c r="D152" s="185"/>
      <c r="E152" s="557"/>
      <c r="F152" s="209"/>
      <c r="G152" s="209"/>
      <c r="H152" s="14"/>
      <c r="I152" s="14"/>
      <c r="J152" s="14"/>
      <c r="K152" s="743"/>
      <c r="L152" s="743"/>
      <c r="M152" s="743"/>
      <c r="N152" s="14"/>
      <c r="AC152" s="14"/>
    </row>
    <row r="153" spans="1:29" ht="14.25">
      <c r="A153" s="889"/>
      <c r="C153" s="499"/>
      <c r="E153" s="287"/>
      <c r="I153" s="499"/>
      <c r="K153" s="287"/>
      <c r="L153" s="287"/>
      <c r="M153" s="287"/>
      <c r="N153" s="287"/>
      <c r="AC153" s="33" t="s">
        <v>470</v>
      </c>
    </row>
    <row r="154" spans="1:29" ht="63.75">
      <c r="A154" s="1078" t="s">
        <v>5</v>
      </c>
      <c r="B154" s="1079" t="s">
        <v>319</v>
      </c>
      <c r="C154" s="1080"/>
      <c r="D154" s="1082" t="s">
        <v>10</v>
      </c>
      <c r="E154" s="1084" t="s">
        <v>243</v>
      </c>
      <c r="F154" s="1085" t="s">
        <v>244</v>
      </c>
      <c r="G154" s="1085" t="s">
        <v>245</v>
      </c>
      <c r="H154" s="1086" t="s">
        <v>246</v>
      </c>
      <c r="I154" s="1087" t="s">
        <v>532</v>
      </c>
      <c r="J154" s="1086" t="s">
        <v>13</v>
      </c>
      <c r="K154" s="531" t="s">
        <v>891</v>
      </c>
      <c r="L154" s="531" t="s">
        <v>892</v>
      </c>
      <c r="M154" s="745" t="s">
        <v>162</v>
      </c>
      <c r="N154" s="287"/>
      <c r="AC154" s="14"/>
    </row>
    <row r="155" spans="1:29" ht="12.75">
      <c r="A155" s="365" t="s">
        <v>676</v>
      </c>
      <c r="B155" s="820" t="s">
        <v>773</v>
      </c>
      <c r="C155" s="511"/>
      <c r="D155" s="909" t="s">
        <v>1065</v>
      </c>
      <c r="E155" s="746">
        <v>180</v>
      </c>
      <c r="F155" s="747"/>
      <c r="G155" s="547"/>
      <c r="H155" s="547">
        <v>25500</v>
      </c>
      <c r="I155" s="748">
        <v>25500</v>
      </c>
      <c r="J155" s="7"/>
      <c r="K155" s="537"/>
      <c r="L155" s="537"/>
      <c r="M155" s="230" t="s">
        <v>765</v>
      </c>
      <c r="N155" s="1090" t="s">
        <v>776</v>
      </c>
      <c r="AC155" s="14"/>
    </row>
    <row r="156" spans="1:29" ht="12.75">
      <c r="A156" s="370" t="s">
        <v>677</v>
      </c>
      <c r="B156" s="998" t="s">
        <v>1169</v>
      </c>
      <c r="C156" s="511"/>
      <c r="D156" s="371"/>
      <c r="E156" s="749"/>
      <c r="F156" s="368"/>
      <c r="G156" s="549"/>
      <c r="H156" s="547"/>
      <c r="I156" s="1106">
        <v>40009</v>
      </c>
      <c r="J156" s="7"/>
      <c r="K156" s="1062"/>
      <c r="L156" s="1062"/>
      <c r="M156" s="752"/>
      <c r="N156" s="610"/>
      <c r="AC156" s="33" t="s">
        <v>975</v>
      </c>
    </row>
    <row r="157" spans="1:29" ht="12.75">
      <c r="A157" s="365" t="s">
        <v>677</v>
      </c>
      <c r="B157" s="790" t="s">
        <v>1113</v>
      </c>
      <c r="C157" s="755"/>
      <c r="D157" s="756" t="s">
        <v>996</v>
      </c>
      <c r="E157" s="758">
        <v>90</v>
      </c>
      <c r="F157" s="759"/>
      <c r="G157" s="761"/>
      <c r="H157" s="762">
        <v>24000</v>
      </c>
      <c r="I157" s="753">
        <v>50400</v>
      </c>
      <c r="J157" s="369"/>
      <c r="K157" s="230">
        <v>9000</v>
      </c>
      <c r="L157" s="230">
        <v>9000</v>
      </c>
      <c r="M157" s="230"/>
      <c r="N157" s="1090" t="s">
        <v>182</v>
      </c>
      <c r="AC157" s="501" t="s">
        <v>718</v>
      </c>
    </row>
    <row r="158" spans="1:29" ht="12.75">
      <c r="A158" s="753"/>
      <c r="B158" s="1109"/>
      <c r="C158" s="755"/>
      <c r="D158" s="235"/>
      <c r="E158" s="652"/>
      <c r="F158" s="653"/>
      <c r="G158" s="764" t="s">
        <v>177</v>
      </c>
      <c r="H158" s="765">
        <f t="shared" ref="H158:L158" si="14">SUM(H155:H157)</f>
        <v>49500</v>
      </c>
      <c r="I158" s="766">
        <f t="shared" si="14"/>
        <v>115909</v>
      </c>
      <c r="J158" s="766">
        <f t="shared" si="14"/>
        <v>0</v>
      </c>
      <c r="K158" s="766">
        <f t="shared" si="14"/>
        <v>9000</v>
      </c>
      <c r="L158" s="766">
        <f t="shared" si="14"/>
        <v>9000</v>
      </c>
      <c r="M158" s="767"/>
      <c r="N158" s="235"/>
      <c r="AC158" s="501"/>
    </row>
    <row r="159" spans="1:29" ht="12.75">
      <c r="A159" s="235"/>
      <c r="B159" s="1109"/>
      <c r="C159" s="771"/>
      <c r="D159" s="235"/>
      <c r="E159" s="610"/>
      <c r="F159" s="235"/>
      <c r="G159" s="235"/>
      <c r="H159" s="235"/>
      <c r="I159" s="771"/>
      <c r="J159" s="235"/>
      <c r="K159" s="610"/>
      <c r="L159" s="610"/>
      <c r="M159" s="610"/>
      <c r="N159" s="1091"/>
      <c r="AC159" s="14"/>
    </row>
    <row r="160" spans="1:29" ht="12.75">
      <c r="A160" s="14"/>
      <c r="B160" s="207"/>
      <c r="C160" s="14"/>
      <c r="D160" s="1025"/>
      <c r="E160" s="1026"/>
      <c r="F160" s="1027"/>
      <c r="G160" s="1028"/>
      <c r="H160" s="1029"/>
      <c r="I160" s="151"/>
      <c r="J160" s="743"/>
      <c r="K160" s="1024"/>
      <c r="L160" s="1024"/>
      <c r="M160" s="151"/>
      <c r="AC160" s="14"/>
    </row>
    <row r="161" spans="1:29" ht="63.75">
      <c r="A161" s="139" t="s">
        <v>5</v>
      </c>
      <c r="B161" s="191" t="s">
        <v>861</v>
      </c>
      <c r="C161" s="189"/>
      <c r="D161" s="514" t="s">
        <v>10</v>
      </c>
      <c r="E161" s="515" t="s">
        <v>243</v>
      </c>
      <c r="F161" s="516" t="s">
        <v>244</v>
      </c>
      <c r="G161" s="517" t="s">
        <v>245</v>
      </c>
      <c r="H161" s="518" t="s">
        <v>246</v>
      </c>
      <c r="I161" s="513" t="s">
        <v>532</v>
      </c>
      <c r="J161" s="519" t="s">
        <v>13</v>
      </c>
      <c r="K161" s="531" t="s">
        <v>891</v>
      </c>
      <c r="L161" s="531" t="s">
        <v>892</v>
      </c>
      <c r="M161" s="717" t="s">
        <v>162</v>
      </c>
      <c r="AC161" s="14"/>
    </row>
    <row r="162" spans="1:29" ht="25.5">
      <c r="A162" s="132" t="s">
        <v>114</v>
      </c>
      <c r="B162" s="481" t="s">
        <v>842</v>
      </c>
      <c r="C162" s="59"/>
      <c r="D162" s="812" t="s">
        <v>864</v>
      </c>
      <c r="E162" s="545"/>
      <c r="F162" s="47"/>
      <c r="G162" s="223">
        <v>10000</v>
      </c>
      <c r="H162" s="778">
        <v>10000</v>
      </c>
      <c r="I162" s="463"/>
      <c r="J162" s="6"/>
      <c r="K162" s="537"/>
      <c r="L162" s="537"/>
      <c r="M162" s="230" t="s">
        <v>331</v>
      </c>
      <c r="N162" s="235"/>
      <c r="AC162" s="14"/>
    </row>
    <row r="163" spans="1:29" ht="12.75">
      <c r="A163" s="482" t="s">
        <v>119</v>
      </c>
      <c r="B163" s="481"/>
      <c r="C163" s="454"/>
      <c r="D163" s="454"/>
      <c r="E163" s="543"/>
      <c r="F163" s="456"/>
      <c r="G163" s="478"/>
      <c r="H163" s="880"/>
      <c r="I163" s="779"/>
      <c r="J163" s="479"/>
      <c r="K163" s="520"/>
      <c r="L163" s="520"/>
      <c r="M163" s="503"/>
      <c r="N163" s="235"/>
      <c r="AC163" s="14"/>
    </row>
    <row r="164" spans="1:29" ht="25.5">
      <c r="A164" s="702" t="s">
        <v>114</v>
      </c>
      <c r="B164" s="481" t="s">
        <v>364</v>
      </c>
      <c r="C164" s="49"/>
      <c r="D164" s="51" t="s">
        <v>1172</v>
      </c>
      <c r="E164" s="675">
        <v>31</v>
      </c>
      <c r="F164" s="221"/>
      <c r="G164" s="308">
        <v>57000</v>
      </c>
      <c r="H164" s="260">
        <v>19000</v>
      </c>
      <c r="I164" s="260"/>
      <c r="J164" s="251"/>
      <c r="K164" s="673"/>
      <c r="L164" s="673"/>
      <c r="M164" s="309" t="s">
        <v>1142</v>
      </c>
      <c r="N164" s="584" t="s">
        <v>1101</v>
      </c>
      <c r="O164" s="681"/>
      <c r="P164" s="681"/>
      <c r="Q164" s="681"/>
      <c r="R164" s="681"/>
      <c r="S164" s="681"/>
      <c r="T164" s="681"/>
      <c r="U164" s="681"/>
      <c r="V164" s="681"/>
      <c r="W164" s="681"/>
      <c r="X164" s="681"/>
      <c r="Y164" s="681"/>
      <c r="Z164" s="681"/>
      <c r="AA164" s="681"/>
      <c r="AB164" s="681"/>
      <c r="AC164" s="287"/>
    </row>
    <row r="165" spans="1:29" ht="12.75">
      <c r="A165" s="132"/>
      <c r="B165" s="29"/>
      <c r="C165" s="6"/>
      <c r="D165" s="8"/>
      <c r="E165" s="675"/>
      <c r="F165" s="221"/>
      <c r="G165" s="236"/>
      <c r="H165" s="779"/>
      <c r="I165" s="463"/>
      <c r="J165" s="59"/>
      <c r="K165" s="673"/>
      <c r="L165" s="673"/>
      <c r="M165" s="309"/>
      <c r="N165" s="235"/>
      <c r="AC165" s="287"/>
    </row>
    <row r="166" spans="1:29" ht="12.75">
      <c r="A166" s="132"/>
      <c r="B166" s="29"/>
      <c r="C166" s="6"/>
      <c r="D166" s="8"/>
      <c r="E166" s="675"/>
      <c r="F166" s="221"/>
      <c r="G166" s="236"/>
      <c r="H166" s="779"/>
      <c r="I166" s="463"/>
      <c r="J166" s="59"/>
      <c r="K166" s="673"/>
      <c r="L166" s="673"/>
      <c r="M166" s="309"/>
      <c r="N166" s="235"/>
      <c r="AC166" s="325"/>
    </row>
    <row r="167" spans="1:29" ht="12.75">
      <c r="A167" s="132"/>
      <c r="B167" s="29"/>
      <c r="C167" s="6"/>
      <c r="D167" s="8"/>
      <c r="E167" s="675"/>
      <c r="F167" s="221"/>
      <c r="G167" s="236" t="s">
        <v>177</v>
      </c>
      <c r="H167" s="238">
        <f t="shared" ref="H167:L167" si="15">SUM(H162:H166)</f>
        <v>29000</v>
      </c>
      <c r="I167" s="1112">
        <f t="shared" si="15"/>
        <v>0</v>
      </c>
      <c r="J167" s="920">
        <f t="shared" si="15"/>
        <v>0</v>
      </c>
      <c r="K167" s="920">
        <f t="shared" si="15"/>
        <v>0</v>
      </c>
      <c r="L167" s="920">
        <f t="shared" si="15"/>
        <v>0</v>
      </c>
      <c r="M167" s="309"/>
      <c r="N167" s="235"/>
      <c r="AC167" s="325"/>
    </row>
    <row r="168" spans="1:29" ht="12.75">
      <c r="C168" s="499"/>
      <c r="E168" s="287"/>
      <c r="I168" s="499"/>
      <c r="K168" s="287"/>
      <c r="L168" s="287"/>
      <c r="M168" s="287"/>
      <c r="AC168" s="287"/>
    </row>
    <row r="169" spans="1:29" ht="12.75">
      <c r="C169" s="499"/>
      <c r="E169" s="287"/>
      <c r="I169" s="499"/>
      <c r="K169" s="287"/>
      <c r="L169" s="287"/>
      <c r="M169" s="287"/>
      <c r="AC169" s="287"/>
    </row>
    <row r="170" spans="1:29" ht="12.75">
      <c r="C170" s="499"/>
      <c r="E170" s="287"/>
      <c r="I170" s="499"/>
      <c r="K170" s="287"/>
      <c r="L170" s="287"/>
      <c r="M170" s="287"/>
      <c r="AC170" s="287"/>
    </row>
    <row r="171" spans="1:29" ht="63.75">
      <c r="A171" s="139" t="s">
        <v>5</v>
      </c>
      <c r="B171" s="1095" t="s">
        <v>1174</v>
      </c>
      <c r="C171" s="189"/>
      <c r="D171" s="514" t="s">
        <v>10</v>
      </c>
      <c r="E171" s="515" t="s">
        <v>243</v>
      </c>
      <c r="F171" s="516" t="s">
        <v>244</v>
      </c>
      <c r="G171" s="517" t="s">
        <v>245</v>
      </c>
      <c r="H171" s="518" t="s">
        <v>246</v>
      </c>
      <c r="I171" s="513" t="s">
        <v>532</v>
      </c>
      <c r="J171" s="519" t="s">
        <v>13</v>
      </c>
      <c r="K171" s="531" t="s">
        <v>891</v>
      </c>
      <c r="L171" s="531" t="s">
        <v>892</v>
      </c>
      <c r="M171" s="717" t="s">
        <v>162</v>
      </c>
      <c r="AC171" s="287"/>
    </row>
    <row r="172" spans="1:29" ht="12.75">
      <c r="A172" s="132" t="s">
        <v>114</v>
      </c>
      <c r="B172" s="234" t="s">
        <v>1145</v>
      </c>
      <c r="C172" s="771"/>
      <c r="D172" s="234" t="s">
        <v>1011</v>
      </c>
      <c r="E172" s="610"/>
      <c r="F172" s="235"/>
      <c r="G172" s="235"/>
      <c r="H172" s="234">
        <v>24000</v>
      </c>
      <c r="I172" s="771"/>
      <c r="J172" s="235"/>
      <c r="K172" s="610"/>
      <c r="L172" s="610"/>
      <c r="M172" s="610"/>
      <c r="AC172" s="287"/>
    </row>
    <row r="173" spans="1:29" ht="12.75">
      <c r="A173" s="482" t="s">
        <v>119</v>
      </c>
      <c r="B173" s="235"/>
      <c r="C173" s="771"/>
      <c r="D173" s="235"/>
      <c r="E173" s="610"/>
      <c r="F173" s="235"/>
      <c r="G173" s="235"/>
      <c r="H173" s="235"/>
      <c r="I173" s="771"/>
      <c r="J173" s="235"/>
      <c r="K173" s="610"/>
      <c r="L173" s="610"/>
      <c r="M173" s="610"/>
      <c r="AC173" s="287"/>
    </row>
    <row r="174" spans="1:29" ht="12.75">
      <c r="C174" s="499"/>
      <c r="E174" s="287"/>
      <c r="G174" s="323" t="s">
        <v>177</v>
      </c>
      <c r="H174" s="1096">
        <f t="shared" ref="H174:L174" si="16">SUM(H172:H173)</f>
        <v>24000</v>
      </c>
      <c r="I174" s="920">
        <f t="shared" si="16"/>
        <v>0</v>
      </c>
      <c r="J174" s="920">
        <f t="shared" si="16"/>
        <v>0</v>
      </c>
      <c r="K174" s="920">
        <f t="shared" si="16"/>
        <v>0</v>
      </c>
      <c r="L174" s="920">
        <f t="shared" si="16"/>
        <v>0</v>
      </c>
      <c r="M174" s="309"/>
      <c r="AC174" s="287"/>
    </row>
    <row r="175" spans="1:29" ht="12.75">
      <c r="C175" s="499"/>
      <c r="E175" s="287"/>
      <c r="I175" s="499"/>
      <c r="K175" s="287"/>
      <c r="L175" s="287"/>
      <c r="M175" s="287"/>
      <c r="AC175" s="287"/>
    </row>
    <row r="176" spans="1:29" ht="12.75">
      <c r="C176" s="499"/>
      <c r="E176" s="287"/>
      <c r="I176" s="499"/>
      <c r="K176" s="287"/>
      <c r="L176" s="287"/>
      <c r="M176" s="287"/>
      <c r="AC176" s="287"/>
    </row>
    <row r="177" spans="1:29" ht="12.75">
      <c r="C177" s="499"/>
      <c r="E177" s="287"/>
      <c r="I177" s="499"/>
      <c r="K177" s="287"/>
      <c r="L177" s="287"/>
      <c r="M177" s="287"/>
      <c r="AC177" s="287"/>
    </row>
    <row r="178" spans="1:29" ht="63.75">
      <c r="A178" s="139" t="s">
        <v>5</v>
      </c>
      <c r="B178" s="1095" t="s">
        <v>1175</v>
      </c>
      <c r="C178" s="189"/>
      <c r="D178" s="514" t="s">
        <v>10</v>
      </c>
      <c r="E178" s="515" t="s">
        <v>243</v>
      </c>
      <c r="F178" s="516" t="s">
        <v>244</v>
      </c>
      <c r="G178" s="517" t="s">
        <v>245</v>
      </c>
      <c r="H178" s="518" t="s">
        <v>246</v>
      </c>
      <c r="I178" s="513" t="s">
        <v>532</v>
      </c>
      <c r="J178" s="519" t="s">
        <v>13</v>
      </c>
      <c r="K178" s="531" t="s">
        <v>891</v>
      </c>
      <c r="L178" s="531" t="s">
        <v>892</v>
      </c>
      <c r="M178" s="717" t="s">
        <v>162</v>
      </c>
      <c r="AC178" s="287"/>
    </row>
    <row r="179" spans="1:29" ht="12.75">
      <c r="A179" s="132" t="s">
        <v>114</v>
      </c>
      <c r="B179" s="234" t="s">
        <v>1093</v>
      </c>
      <c r="C179" s="771"/>
      <c r="D179" s="234" t="s">
        <v>1094</v>
      </c>
      <c r="E179" s="610"/>
      <c r="F179" s="235"/>
      <c r="G179" s="234">
        <v>15000</v>
      </c>
      <c r="H179" s="234">
        <v>15000</v>
      </c>
      <c r="I179" s="500">
        <v>15000</v>
      </c>
      <c r="J179" s="235"/>
      <c r="K179" s="1090">
        <v>7000</v>
      </c>
      <c r="L179" s="1090">
        <v>7000</v>
      </c>
      <c r="M179" s="610"/>
      <c r="AC179" s="287"/>
    </row>
    <row r="180" spans="1:29" ht="12.75">
      <c r="A180" s="482" t="s">
        <v>119</v>
      </c>
      <c r="B180" s="234" t="s">
        <v>1176</v>
      </c>
      <c r="C180" s="771"/>
      <c r="D180" s="234" t="s">
        <v>1177</v>
      </c>
      <c r="E180" s="610"/>
      <c r="F180" s="234">
        <v>14</v>
      </c>
      <c r="G180" s="234"/>
      <c r="H180" s="234">
        <v>15000</v>
      </c>
      <c r="I180" s="500">
        <v>15000</v>
      </c>
      <c r="J180" s="235"/>
      <c r="K180" s="1090">
        <v>5000</v>
      </c>
      <c r="L180" s="1090">
        <v>5000</v>
      </c>
      <c r="M180" s="610"/>
      <c r="AC180" s="287"/>
    </row>
    <row r="181" spans="1:29" ht="12.75">
      <c r="A181" s="1101" t="s">
        <v>1178</v>
      </c>
      <c r="B181" s="1101" t="s">
        <v>1179</v>
      </c>
      <c r="C181" s="1113"/>
      <c r="D181" s="1114"/>
      <c r="E181" s="287"/>
      <c r="G181" s="323" t="s">
        <v>177</v>
      </c>
      <c r="H181" s="1096">
        <f t="shared" ref="H181:L181" si="17">SUM(H179:H180)</f>
        <v>30000</v>
      </c>
      <c r="I181" s="920">
        <f t="shared" si="17"/>
        <v>30000</v>
      </c>
      <c r="J181" s="920">
        <f t="shared" si="17"/>
        <v>0</v>
      </c>
      <c r="K181" s="920">
        <f t="shared" si="17"/>
        <v>12000</v>
      </c>
      <c r="L181" s="920">
        <f t="shared" si="17"/>
        <v>12000</v>
      </c>
      <c r="M181" s="309"/>
      <c r="AC181" s="287"/>
    </row>
    <row r="182" spans="1:29" ht="12.75">
      <c r="C182" s="499"/>
      <c r="E182" s="287"/>
      <c r="I182" s="499"/>
      <c r="K182" s="287"/>
      <c r="L182" s="287"/>
      <c r="M182" s="287"/>
      <c r="AC182" s="287"/>
    </row>
    <row r="183" spans="1:29" ht="12.75">
      <c r="C183" s="499"/>
      <c r="E183" s="287"/>
      <c r="I183" s="499"/>
      <c r="K183" s="287"/>
      <c r="L183" s="287"/>
      <c r="M183" s="287"/>
      <c r="AC183" s="287"/>
    </row>
    <row r="184" spans="1:29" ht="12.75">
      <c r="C184" s="499"/>
      <c r="E184" s="287"/>
      <c r="I184" s="499"/>
      <c r="K184" s="287"/>
      <c r="L184" s="287"/>
      <c r="M184" s="287"/>
      <c r="AC184" s="287"/>
    </row>
    <row r="185" spans="1:29" ht="63.75">
      <c r="A185" s="139" t="s">
        <v>5</v>
      </c>
      <c r="B185" s="1095" t="s">
        <v>1180</v>
      </c>
      <c r="C185" s="189"/>
      <c r="D185" s="514" t="s">
        <v>10</v>
      </c>
      <c r="E185" s="515" t="s">
        <v>243</v>
      </c>
      <c r="F185" s="516" t="s">
        <v>244</v>
      </c>
      <c r="G185" s="517" t="s">
        <v>245</v>
      </c>
      <c r="H185" s="518" t="s">
        <v>246</v>
      </c>
      <c r="I185" s="513" t="s">
        <v>532</v>
      </c>
      <c r="J185" s="519" t="s">
        <v>13</v>
      </c>
      <c r="K185" s="531" t="s">
        <v>891</v>
      </c>
      <c r="L185" s="531" t="s">
        <v>892</v>
      </c>
      <c r="M185" s="717" t="s">
        <v>162</v>
      </c>
      <c r="AC185" s="287"/>
    </row>
    <row r="186" spans="1:29" ht="12.75">
      <c r="A186" s="132" t="s">
        <v>114</v>
      </c>
      <c r="B186" s="234" t="s">
        <v>1181</v>
      </c>
      <c r="C186" s="771"/>
      <c r="D186" s="234" t="s">
        <v>1177</v>
      </c>
      <c r="E186" s="610"/>
      <c r="F186" s="234">
        <v>13</v>
      </c>
      <c r="G186" s="235"/>
      <c r="H186" s="234">
        <v>15000</v>
      </c>
      <c r="I186" s="500">
        <v>15000</v>
      </c>
      <c r="J186" s="235"/>
      <c r="K186" s="1090">
        <v>3500</v>
      </c>
      <c r="L186" s="1090">
        <v>3500</v>
      </c>
      <c r="M186" s="610"/>
      <c r="AC186" s="287"/>
    </row>
    <row r="187" spans="1:29" ht="12.75">
      <c r="A187" s="482" t="s">
        <v>119</v>
      </c>
      <c r="B187" s="235"/>
      <c r="C187" s="771"/>
      <c r="D187" s="235"/>
      <c r="E187" s="610"/>
      <c r="F187" s="235"/>
      <c r="G187" s="235"/>
      <c r="H187" s="235"/>
      <c r="I187" s="771"/>
      <c r="J187" s="235"/>
      <c r="K187" s="610"/>
      <c r="L187" s="610"/>
      <c r="M187" s="610"/>
      <c r="AC187" s="287"/>
    </row>
    <row r="188" spans="1:29" ht="12.75">
      <c r="A188" s="33" t="s">
        <v>114</v>
      </c>
      <c r="B188" s="926"/>
      <c r="C188" s="499"/>
      <c r="E188" s="287"/>
      <c r="G188" s="323" t="s">
        <v>177</v>
      </c>
      <c r="H188" s="1096">
        <f t="shared" ref="H188:L188" si="18">SUM(H186:H187)</f>
        <v>15000</v>
      </c>
      <c r="I188" s="920">
        <f t="shared" si="18"/>
        <v>15000</v>
      </c>
      <c r="J188" s="920">
        <f t="shared" si="18"/>
        <v>0</v>
      </c>
      <c r="K188" s="920">
        <f t="shared" si="18"/>
        <v>3500</v>
      </c>
      <c r="L188" s="920">
        <f t="shared" si="18"/>
        <v>3500</v>
      </c>
      <c r="M188" s="309"/>
      <c r="AC188" s="287"/>
    </row>
    <row r="189" spans="1:29" ht="12.75">
      <c r="C189" s="499"/>
      <c r="E189" s="287"/>
      <c r="I189" s="499"/>
      <c r="K189" s="287"/>
      <c r="L189" s="287"/>
      <c r="M189" s="287"/>
      <c r="AC189" s="287"/>
    </row>
    <row r="190" spans="1:29" ht="12.75">
      <c r="C190" s="499"/>
      <c r="E190" s="287"/>
      <c r="I190" s="499"/>
      <c r="K190" s="287"/>
      <c r="L190" s="287"/>
      <c r="M190" s="287"/>
      <c r="AC190" s="287"/>
    </row>
    <row r="191" spans="1:29" ht="12.75">
      <c r="C191" s="499"/>
      <c r="E191" s="287"/>
      <c r="I191" s="499"/>
      <c r="K191" s="287"/>
      <c r="L191" s="287"/>
      <c r="M191" s="287"/>
      <c r="AC191" s="287"/>
    </row>
    <row r="192" spans="1:29" ht="12.75">
      <c r="C192" s="499"/>
      <c r="E192" s="287"/>
      <c r="I192" s="499"/>
      <c r="K192" s="287"/>
      <c r="L192" s="287"/>
      <c r="M192" s="287"/>
      <c r="AC192" s="287"/>
    </row>
    <row r="193" spans="1:29" ht="63.75">
      <c r="A193" s="219" t="s">
        <v>5</v>
      </c>
      <c r="B193" s="342" t="s">
        <v>323</v>
      </c>
      <c r="C193" s="187"/>
      <c r="D193" s="129" t="s">
        <v>10</v>
      </c>
      <c r="E193" s="288" t="s">
        <v>243</v>
      </c>
      <c r="F193" s="289" t="s">
        <v>244</v>
      </c>
      <c r="G193" s="290" t="s">
        <v>245</v>
      </c>
      <c r="H193" s="291" t="s">
        <v>246</v>
      </c>
      <c r="I193" s="217" t="s">
        <v>532</v>
      </c>
      <c r="J193" s="22" t="s">
        <v>13</v>
      </c>
      <c r="K193" s="923" t="s">
        <v>891</v>
      </c>
      <c r="L193" s="923" t="s">
        <v>892</v>
      </c>
      <c r="M193" s="717" t="s">
        <v>162</v>
      </c>
      <c r="AC193" s="14"/>
    </row>
    <row r="194" spans="1:29" ht="12.75">
      <c r="A194" s="132" t="s">
        <v>114</v>
      </c>
      <c r="B194" s="481" t="s">
        <v>681</v>
      </c>
      <c r="C194" s="59"/>
      <c r="D194" s="51" t="s">
        <v>1011</v>
      </c>
      <c r="E194" s="545">
        <v>90</v>
      </c>
      <c r="F194" s="47">
        <v>31</v>
      </c>
      <c r="G194" s="223">
        <v>57000</v>
      </c>
      <c r="H194" s="222">
        <v>19000</v>
      </c>
      <c r="I194" s="59"/>
      <c r="J194" s="6"/>
      <c r="K194" s="537"/>
      <c r="L194" s="537"/>
      <c r="M194" s="230" t="s">
        <v>693</v>
      </c>
      <c r="N194" s="234" t="s">
        <v>1150</v>
      </c>
      <c r="AC194" s="14"/>
    </row>
    <row r="195" spans="1:29" ht="12.75">
      <c r="A195" s="482" t="s">
        <v>119</v>
      </c>
      <c r="B195" s="481" t="s">
        <v>978</v>
      </c>
      <c r="C195" s="454"/>
      <c r="D195" s="454" t="s">
        <v>996</v>
      </c>
      <c r="E195" s="543"/>
      <c r="F195" s="456"/>
      <c r="G195" s="478">
        <v>23000</v>
      </c>
      <c r="H195" s="478">
        <v>23000</v>
      </c>
      <c r="I195" s="727"/>
      <c r="J195" s="479"/>
      <c r="K195" s="520"/>
      <c r="L195" s="520"/>
      <c r="M195" s="503" t="s">
        <v>275</v>
      </c>
      <c r="N195" s="757"/>
      <c r="AC195" s="14"/>
    </row>
    <row r="196" spans="1:29" ht="12.75">
      <c r="A196" s="132"/>
      <c r="B196" s="29"/>
      <c r="C196" s="6"/>
      <c r="D196" s="8"/>
      <c r="E196" s="675"/>
      <c r="F196" s="221"/>
      <c r="G196" s="236" t="s">
        <v>177</v>
      </c>
      <c r="H196" s="238">
        <f t="shared" ref="H196:L196" si="19">SUM(H194:H195)</f>
        <v>42000</v>
      </c>
      <c r="I196" s="1115">
        <f t="shared" si="19"/>
        <v>0</v>
      </c>
      <c r="J196" s="770">
        <f t="shared" si="19"/>
        <v>0</v>
      </c>
      <c r="K196" s="770">
        <f t="shared" si="19"/>
        <v>0</v>
      </c>
      <c r="L196" s="770">
        <f t="shared" si="19"/>
        <v>0</v>
      </c>
      <c r="M196" s="309"/>
      <c r="N196" s="235"/>
      <c r="AC196" s="33" t="s">
        <v>520</v>
      </c>
    </row>
    <row r="197" spans="1:29" ht="12.75">
      <c r="C197" s="499"/>
      <c r="E197" s="287"/>
      <c r="I197" s="499"/>
      <c r="K197" s="287"/>
      <c r="L197" s="287"/>
      <c r="M197" s="287"/>
      <c r="AC197" s="501"/>
    </row>
    <row r="198" spans="1:29" ht="12.75">
      <c r="C198" s="499"/>
      <c r="E198" s="287"/>
      <c r="I198" s="499"/>
      <c r="K198" s="287"/>
      <c r="L198" s="287"/>
      <c r="M198" s="287"/>
      <c r="AC198" s="33"/>
    </row>
    <row r="199" spans="1:29" ht="63.75">
      <c r="A199" s="219" t="s">
        <v>5</v>
      </c>
      <c r="B199" s="342" t="s">
        <v>325</v>
      </c>
      <c r="C199" s="187"/>
      <c r="D199" s="129" t="s">
        <v>10</v>
      </c>
      <c r="E199" s="288" t="s">
        <v>243</v>
      </c>
      <c r="F199" s="289" t="s">
        <v>244</v>
      </c>
      <c r="G199" s="290" t="s">
        <v>245</v>
      </c>
      <c r="H199" s="291" t="s">
        <v>246</v>
      </c>
      <c r="I199" s="217" t="s">
        <v>532</v>
      </c>
      <c r="J199" s="22" t="s">
        <v>13</v>
      </c>
      <c r="K199" s="923" t="s">
        <v>891</v>
      </c>
      <c r="L199" s="923" t="s">
        <v>892</v>
      </c>
      <c r="M199" s="717" t="s">
        <v>162</v>
      </c>
      <c r="AC199" s="14"/>
    </row>
    <row r="200" spans="1:29" ht="12.75">
      <c r="A200" s="452" t="s">
        <v>114</v>
      </c>
      <c r="B200" s="481" t="s">
        <v>134</v>
      </c>
      <c r="C200" s="454"/>
      <c r="D200" s="477" t="s">
        <v>148</v>
      </c>
      <c r="E200" s="543">
        <v>30</v>
      </c>
      <c r="F200" s="456">
        <v>31</v>
      </c>
      <c r="G200" s="478">
        <v>17500</v>
      </c>
      <c r="H200" s="478">
        <v>17500</v>
      </c>
      <c r="I200" s="454">
        <v>17500</v>
      </c>
      <c r="J200" s="454"/>
      <c r="K200" s="520"/>
      <c r="L200" s="520"/>
      <c r="M200" s="503"/>
      <c r="N200" s="509"/>
      <c r="AC200" s="287"/>
    </row>
    <row r="201" spans="1:29" ht="12.75">
      <c r="A201" s="2" t="s">
        <v>119</v>
      </c>
      <c r="B201" s="481" t="s">
        <v>134</v>
      </c>
      <c r="C201" s="59"/>
      <c r="D201" s="59" t="s">
        <v>148</v>
      </c>
      <c r="E201" s="545">
        <v>30</v>
      </c>
      <c r="F201" s="47">
        <v>31</v>
      </c>
      <c r="G201" s="223">
        <v>17500</v>
      </c>
      <c r="H201" s="222">
        <v>17500</v>
      </c>
      <c r="I201" s="697">
        <v>17500</v>
      </c>
      <c r="J201" s="59"/>
      <c r="K201" s="537"/>
      <c r="L201" s="537"/>
      <c r="M201" s="230"/>
      <c r="AC201" s="287"/>
    </row>
    <row r="202" spans="1:29" ht="12.75">
      <c r="A202" s="132"/>
      <c r="B202" s="29"/>
      <c r="C202" s="6"/>
      <c r="D202" s="8"/>
      <c r="E202" s="675"/>
      <c r="F202" s="221"/>
      <c r="G202" s="236" t="s">
        <v>177</v>
      </c>
      <c r="H202" s="238">
        <f t="shared" ref="H202:L202" si="20">SUM(H200:H201)</f>
        <v>35000</v>
      </c>
      <c r="I202" s="1115">
        <f t="shared" si="20"/>
        <v>35000</v>
      </c>
      <c r="J202" s="770">
        <f t="shared" si="20"/>
        <v>0</v>
      </c>
      <c r="K202" s="770">
        <f t="shared" si="20"/>
        <v>0</v>
      </c>
      <c r="L202" s="770">
        <f t="shared" si="20"/>
        <v>0</v>
      </c>
      <c r="M202" s="309"/>
      <c r="AC202" s="325" t="s">
        <v>776</v>
      </c>
    </row>
    <row r="203" spans="1:29" ht="12.75">
      <c r="C203" s="499"/>
      <c r="E203" s="287"/>
      <c r="I203" s="499"/>
      <c r="K203" s="287"/>
      <c r="L203" s="287"/>
      <c r="M203" s="287"/>
      <c r="AC203" s="287"/>
    </row>
    <row r="204" spans="1:29" ht="12.75">
      <c r="C204" s="499"/>
      <c r="E204" s="287"/>
      <c r="I204" s="499"/>
      <c r="K204" s="287"/>
      <c r="L204" s="287"/>
      <c r="M204" s="287"/>
      <c r="AC204" s="325" t="s">
        <v>182</v>
      </c>
    </row>
    <row r="205" spans="1:29" ht="63.75">
      <c r="A205" s="219" t="s">
        <v>5</v>
      </c>
      <c r="B205" s="342" t="s">
        <v>326</v>
      </c>
      <c r="C205" s="187"/>
      <c r="D205" s="129" t="s">
        <v>10</v>
      </c>
      <c r="E205" s="288" t="s">
        <v>243</v>
      </c>
      <c r="F205" s="289" t="s">
        <v>244</v>
      </c>
      <c r="G205" s="290" t="s">
        <v>245</v>
      </c>
      <c r="H205" s="291" t="s">
        <v>246</v>
      </c>
      <c r="I205" s="217" t="s">
        <v>532</v>
      </c>
      <c r="J205" s="22" t="s">
        <v>13</v>
      </c>
      <c r="K205" s="923" t="s">
        <v>891</v>
      </c>
      <c r="L205" s="923" t="s">
        <v>892</v>
      </c>
      <c r="M205" s="717" t="s">
        <v>162</v>
      </c>
    </row>
    <row r="206" spans="1:29" ht="12.75">
      <c r="A206" s="2" t="s">
        <v>114</v>
      </c>
      <c r="B206" s="481" t="s">
        <v>407</v>
      </c>
      <c r="C206" s="59"/>
      <c r="D206" s="51" t="s">
        <v>148</v>
      </c>
      <c r="E206" s="545">
        <v>30</v>
      </c>
      <c r="F206" s="47">
        <v>31</v>
      </c>
      <c r="G206" s="223">
        <v>21250</v>
      </c>
      <c r="H206" s="223">
        <v>21250</v>
      </c>
      <c r="I206" s="59">
        <v>45750</v>
      </c>
      <c r="J206" s="6"/>
      <c r="K206" s="537">
        <v>46400</v>
      </c>
      <c r="L206" s="537">
        <v>46400</v>
      </c>
      <c r="M206" s="230"/>
      <c r="AC206" s="768"/>
    </row>
    <row r="207" spans="1:29" ht="25.5">
      <c r="A207" s="132" t="s">
        <v>119</v>
      </c>
      <c r="B207" s="4" t="s">
        <v>644</v>
      </c>
      <c r="C207" s="6"/>
      <c r="D207" s="309" t="s">
        <v>866</v>
      </c>
      <c r="E207" s="675">
        <v>30</v>
      </c>
      <c r="F207" s="222">
        <v>31</v>
      </c>
      <c r="G207" s="564">
        <v>10000</v>
      </c>
      <c r="H207" s="223">
        <v>10000</v>
      </c>
      <c r="I207" s="697">
        <v>10000</v>
      </c>
      <c r="J207" s="59"/>
      <c r="K207" s="673"/>
      <c r="L207" s="673"/>
      <c r="M207" s="309"/>
    </row>
    <row r="208" spans="1:29" ht="12.75">
      <c r="A208" s="235"/>
      <c r="B208" s="235"/>
      <c r="C208" s="771"/>
      <c r="D208" s="235"/>
      <c r="E208" s="610"/>
      <c r="F208" s="235"/>
      <c r="G208" s="323" t="s">
        <v>177</v>
      </c>
      <c r="H208" s="772">
        <f t="shared" ref="H208:L208" si="21">SUM(H206:H207)</f>
        <v>31250</v>
      </c>
      <c r="I208" s="773">
        <f t="shared" si="21"/>
        <v>55750</v>
      </c>
      <c r="J208" s="773">
        <f t="shared" si="21"/>
        <v>0</v>
      </c>
      <c r="K208" s="773">
        <f t="shared" si="21"/>
        <v>46400</v>
      </c>
      <c r="L208" s="773">
        <f t="shared" si="21"/>
        <v>46400</v>
      </c>
      <c r="M208" s="610"/>
    </row>
    <row r="209" spans="1:43" ht="12.75">
      <c r="C209" s="499"/>
      <c r="E209" s="287"/>
      <c r="I209" s="499"/>
      <c r="K209" s="287"/>
      <c r="L209" s="287"/>
      <c r="M209" s="287"/>
    </row>
    <row r="210" spans="1:43" ht="12.75">
      <c r="E210" s="287"/>
      <c r="I210" s="499"/>
      <c r="K210" s="287"/>
      <c r="L210" s="287"/>
      <c r="M210" s="287"/>
      <c r="AC210" s="926" t="s">
        <v>895</v>
      </c>
      <c r="AD210" s="681"/>
      <c r="AE210" s="681"/>
      <c r="AF210" s="681"/>
      <c r="AG210" s="681"/>
      <c r="AH210" s="681"/>
      <c r="AI210" s="681"/>
      <c r="AJ210" s="681"/>
      <c r="AK210" s="681"/>
      <c r="AL210" s="681"/>
      <c r="AM210" s="681"/>
      <c r="AN210" s="681"/>
      <c r="AO210" s="681"/>
      <c r="AP210" s="681"/>
      <c r="AQ210" s="681"/>
    </row>
    <row r="211" spans="1:43" ht="63.75">
      <c r="A211" s="219" t="s">
        <v>5</v>
      </c>
      <c r="B211" s="342" t="s">
        <v>437</v>
      </c>
      <c r="C211" s="187"/>
      <c r="D211" s="129" t="s">
        <v>10</v>
      </c>
      <c r="E211" s="288" t="s">
        <v>243</v>
      </c>
      <c r="F211" s="289" t="s">
        <v>244</v>
      </c>
      <c r="G211" s="290" t="s">
        <v>245</v>
      </c>
      <c r="H211" s="291" t="s">
        <v>246</v>
      </c>
      <c r="I211" s="217" t="s">
        <v>532</v>
      </c>
      <c r="J211" s="22" t="s">
        <v>13</v>
      </c>
      <c r="K211" s="923" t="s">
        <v>891</v>
      </c>
      <c r="L211" s="923" t="s">
        <v>892</v>
      </c>
      <c r="M211" s="717" t="s">
        <v>162</v>
      </c>
      <c r="N211" s="14"/>
    </row>
    <row r="212" spans="1:43" ht="12.75">
      <c r="A212" s="463" t="s">
        <v>114</v>
      </c>
      <c r="B212" s="481" t="s">
        <v>978</v>
      </c>
      <c r="C212" s="260"/>
      <c r="D212" s="260" t="s">
        <v>1182</v>
      </c>
      <c r="E212" s="587"/>
      <c r="F212" s="262"/>
      <c r="G212" s="270">
        <v>25000</v>
      </c>
      <c r="H212" s="270">
        <v>25000</v>
      </c>
      <c r="I212" s="794"/>
      <c r="J212" s="779"/>
      <c r="K212" s="503"/>
      <c r="L212" s="503"/>
      <c r="M212" s="503" t="s">
        <v>275</v>
      </c>
      <c r="N212" s="504"/>
    </row>
    <row r="213" spans="1:43" ht="12.75">
      <c r="A213" s="260" t="s">
        <v>119</v>
      </c>
      <c r="B213" s="775"/>
      <c r="C213" s="260"/>
      <c r="D213" s="260"/>
      <c r="E213" s="587"/>
      <c r="F213" s="262"/>
      <c r="G213" s="270"/>
      <c r="H213" s="270"/>
      <c r="I213" s="794"/>
      <c r="J213" s="150"/>
      <c r="K213" s="309"/>
      <c r="L213" s="309"/>
      <c r="M213" s="309"/>
      <c r="N213" s="781"/>
    </row>
    <row r="214" spans="1:43" ht="12.75">
      <c r="A214" s="260"/>
      <c r="B214" s="639"/>
      <c r="C214" s="260"/>
      <c r="D214" s="260"/>
      <c r="E214" s="587"/>
      <c r="F214" s="262"/>
      <c r="G214" s="270"/>
      <c r="H214" s="270"/>
      <c r="I214" s="794"/>
      <c r="J214" s="150"/>
      <c r="K214" s="309"/>
      <c r="L214" s="309"/>
      <c r="M214" s="309"/>
      <c r="N214" s="482"/>
    </row>
    <row r="215" spans="1:43" ht="12.75">
      <c r="A215" s="234"/>
      <c r="B215" s="481"/>
      <c r="C215" s="6"/>
      <c r="D215" s="45"/>
      <c r="E215" s="675"/>
      <c r="F215" s="221"/>
      <c r="G215" s="236" t="s">
        <v>177</v>
      </c>
      <c r="H215" s="238">
        <f t="shared" ref="H215:L215" si="22">SUM(H212:H214)</f>
        <v>25000</v>
      </c>
      <c r="I215" s="1115">
        <f t="shared" si="22"/>
        <v>0</v>
      </c>
      <c r="J215" s="770">
        <f t="shared" si="22"/>
        <v>0</v>
      </c>
      <c r="K215" s="770">
        <f t="shared" si="22"/>
        <v>0</v>
      </c>
      <c r="L215" s="770">
        <f t="shared" si="22"/>
        <v>0</v>
      </c>
      <c r="M215" s="309"/>
      <c r="N215" s="341"/>
    </row>
    <row r="216" spans="1:43" ht="12.75">
      <c r="A216" s="14"/>
      <c r="C216" s="499"/>
      <c r="E216" s="287"/>
      <c r="F216" s="286"/>
      <c r="G216" s="286"/>
      <c r="I216" s="499"/>
      <c r="K216" s="287"/>
      <c r="L216" s="287"/>
      <c r="M216" s="287"/>
      <c r="AC216" s="1" t="s">
        <v>901</v>
      </c>
    </row>
    <row r="217" spans="1:43" ht="63.75">
      <c r="A217" s="219" t="s">
        <v>5</v>
      </c>
      <c r="B217" s="342" t="s">
        <v>441</v>
      </c>
      <c r="C217" s="187"/>
      <c r="D217" s="129" t="s">
        <v>10</v>
      </c>
      <c r="E217" s="288" t="s">
        <v>243</v>
      </c>
      <c r="F217" s="289" t="s">
        <v>244</v>
      </c>
      <c r="G217" s="290" t="s">
        <v>245</v>
      </c>
      <c r="H217" s="291" t="s">
        <v>246</v>
      </c>
      <c r="I217" s="217" t="s">
        <v>532</v>
      </c>
      <c r="J217" s="22" t="s">
        <v>13</v>
      </c>
      <c r="K217" s="923" t="s">
        <v>891</v>
      </c>
      <c r="L217" s="923" t="s">
        <v>892</v>
      </c>
      <c r="M217" s="717" t="s">
        <v>162</v>
      </c>
      <c r="N217" s="14"/>
      <c r="AC217" s="521"/>
    </row>
    <row r="218" spans="1:43" ht="25.5">
      <c r="A218" s="702" t="s">
        <v>114</v>
      </c>
      <c r="B218" s="283" t="s">
        <v>1183</v>
      </c>
      <c r="C218" s="251"/>
      <c r="D218" s="1116">
        <v>45995</v>
      </c>
      <c r="E218" s="675">
        <v>31</v>
      </c>
      <c r="F218" s="52">
        <v>31</v>
      </c>
      <c r="G218" s="222"/>
      <c r="H218" s="222">
        <v>20000</v>
      </c>
      <c r="I218" s="251"/>
      <c r="J218" s="49"/>
      <c r="K218" s="673"/>
      <c r="L218" s="673"/>
      <c r="M218" s="309" t="s">
        <v>1184</v>
      </c>
      <c r="N218" s="794"/>
      <c r="O218" s="681"/>
      <c r="P218" s="681"/>
      <c r="Q218" s="681"/>
      <c r="R218" s="681"/>
      <c r="S218" s="681"/>
      <c r="T218" s="681"/>
      <c r="U218" s="681"/>
      <c r="V218" s="681"/>
      <c r="W218" s="681"/>
      <c r="X218" s="681"/>
      <c r="Y218" s="681"/>
      <c r="Z218" s="681"/>
      <c r="AA218" s="681"/>
      <c r="AB218" s="681"/>
      <c r="AC218" s="681"/>
      <c r="AD218" s="681"/>
      <c r="AE218" s="681"/>
      <c r="AF218" s="681"/>
      <c r="AG218" s="681"/>
      <c r="AH218" s="681"/>
      <c r="AI218" s="681"/>
      <c r="AJ218" s="681"/>
      <c r="AK218" s="681"/>
      <c r="AL218" s="681"/>
      <c r="AM218" s="681"/>
      <c r="AN218" s="681"/>
      <c r="AO218" s="681"/>
      <c r="AP218" s="681"/>
      <c r="AQ218" s="681"/>
    </row>
    <row r="219" spans="1:43" ht="12.75">
      <c r="A219" s="452" t="s">
        <v>119</v>
      </c>
      <c r="B219" s="481" t="s">
        <v>444</v>
      </c>
      <c r="C219" s="454"/>
      <c r="D219" s="454" t="s">
        <v>148</v>
      </c>
      <c r="E219" s="543">
        <v>365</v>
      </c>
      <c r="F219" s="456">
        <v>31</v>
      </c>
      <c r="G219" s="478">
        <v>19000</v>
      </c>
      <c r="H219" s="478">
        <v>19000</v>
      </c>
      <c r="I219" s="783">
        <v>43500</v>
      </c>
      <c r="J219" s="479"/>
      <c r="K219" s="520"/>
      <c r="L219" s="520"/>
      <c r="M219" s="503"/>
      <c r="N219" s="132"/>
    </row>
    <row r="220" spans="1:43" ht="14.25">
      <c r="A220" s="132" t="s">
        <v>114</v>
      </c>
      <c r="B220" s="1076" t="s">
        <v>1125</v>
      </c>
      <c r="C220" s="6"/>
      <c r="D220" s="45"/>
      <c r="E220" s="675"/>
      <c r="F220" s="221"/>
      <c r="G220" s="236" t="s">
        <v>177</v>
      </c>
      <c r="H220" s="238">
        <f t="shared" ref="H220:L220" si="23">SUM(H218:H219)</f>
        <v>39000</v>
      </c>
      <c r="I220" s="1115">
        <f t="shared" si="23"/>
        <v>43500</v>
      </c>
      <c r="J220" s="770">
        <f t="shared" si="23"/>
        <v>0</v>
      </c>
      <c r="K220" s="770">
        <f t="shared" si="23"/>
        <v>0</v>
      </c>
      <c r="L220" s="770">
        <f t="shared" si="23"/>
        <v>0</v>
      </c>
      <c r="M220" s="1103"/>
      <c r="N220" s="341"/>
    </row>
    <row r="221" spans="1:43" ht="12.75">
      <c r="A221" s="33" t="s">
        <v>114</v>
      </c>
      <c r="B221" s="283"/>
      <c r="C221" s="17"/>
      <c r="E221" s="287"/>
      <c r="F221" s="286"/>
      <c r="G221" s="286"/>
      <c r="I221" s="499"/>
      <c r="K221" s="287"/>
      <c r="L221" s="287"/>
      <c r="M221" s="287"/>
    </row>
    <row r="222" spans="1:43" ht="63.75">
      <c r="A222" s="219" t="s">
        <v>5</v>
      </c>
      <c r="B222" s="342" t="s">
        <v>445</v>
      </c>
      <c r="C222" s="187"/>
      <c r="D222" s="129" t="s">
        <v>10</v>
      </c>
      <c r="E222" s="288" t="s">
        <v>243</v>
      </c>
      <c r="F222" s="289" t="s">
        <v>244</v>
      </c>
      <c r="G222" s="290" t="s">
        <v>245</v>
      </c>
      <c r="H222" s="291" t="s">
        <v>246</v>
      </c>
      <c r="I222" s="217" t="s">
        <v>532</v>
      </c>
      <c r="J222" s="22" t="s">
        <v>13</v>
      </c>
      <c r="K222" s="923" t="s">
        <v>891</v>
      </c>
      <c r="L222" s="923" t="s">
        <v>892</v>
      </c>
      <c r="M222" s="717" t="s">
        <v>162</v>
      </c>
      <c r="N222" s="14"/>
      <c r="AC222" s="509"/>
    </row>
    <row r="223" spans="1:43" ht="12.75">
      <c r="A223" s="2" t="s">
        <v>114</v>
      </c>
      <c r="B223" s="283" t="s">
        <v>1128</v>
      </c>
      <c r="C223" s="251"/>
      <c r="D223" s="251" t="s">
        <v>1185</v>
      </c>
      <c r="E223" s="675"/>
      <c r="F223" s="52"/>
      <c r="G223" s="222"/>
      <c r="H223" s="222">
        <v>15000</v>
      </c>
      <c r="I223" s="251">
        <v>15000</v>
      </c>
      <c r="J223" s="49"/>
      <c r="K223" s="673"/>
      <c r="L223" s="673"/>
      <c r="M223" s="309"/>
      <c r="N223" s="794" t="s">
        <v>520</v>
      </c>
    </row>
    <row r="224" spans="1:43" ht="12.75">
      <c r="A224" s="452" t="s">
        <v>119</v>
      </c>
      <c r="B224" s="481" t="s">
        <v>92</v>
      </c>
      <c r="C224" s="454"/>
      <c r="D224" s="454" t="s">
        <v>1186</v>
      </c>
      <c r="E224" s="543">
        <v>90</v>
      </c>
      <c r="F224" s="456"/>
      <c r="G224" s="478">
        <v>45000</v>
      </c>
      <c r="H224" s="478">
        <v>15000</v>
      </c>
      <c r="I224" s="783"/>
      <c r="J224" s="479"/>
      <c r="K224" s="520"/>
      <c r="L224" s="520"/>
      <c r="M224" s="503"/>
      <c r="N224" s="132" t="s">
        <v>675</v>
      </c>
    </row>
    <row r="225" spans="1:29" ht="12.75">
      <c r="A225" s="132"/>
      <c r="B225" s="4"/>
      <c r="C225" s="6"/>
      <c r="D225" s="45"/>
      <c r="E225" s="675"/>
      <c r="F225" s="221"/>
      <c r="G225" s="236" t="s">
        <v>177</v>
      </c>
      <c r="H225" s="238">
        <f t="shared" ref="H225:L225" si="24">SUM(H223:H224)</f>
        <v>30000</v>
      </c>
      <c r="I225" s="1117">
        <f t="shared" si="24"/>
        <v>15000</v>
      </c>
      <c r="J225" s="785">
        <f t="shared" si="24"/>
        <v>0</v>
      </c>
      <c r="K225" s="785">
        <f t="shared" si="24"/>
        <v>0</v>
      </c>
      <c r="L225" s="785">
        <f t="shared" si="24"/>
        <v>0</v>
      </c>
      <c r="M225" s="309"/>
      <c r="N225" s="341"/>
    </row>
    <row r="226" spans="1:29" ht="12.75">
      <c r="E226" s="287"/>
      <c r="F226" s="286"/>
      <c r="G226" s="286"/>
      <c r="I226" s="499"/>
      <c r="K226" s="287"/>
      <c r="L226" s="287"/>
      <c r="M226" s="287"/>
    </row>
    <row r="227" spans="1:29" ht="12.75">
      <c r="B227" s="926"/>
      <c r="C227" s="926"/>
      <c r="D227" s="926"/>
      <c r="E227" s="287"/>
      <c r="I227" s="499"/>
      <c r="K227" s="287"/>
      <c r="L227" s="287"/>
      <c r="M227" s="287"/>
    </row>
    <row r="228" spans="1:29" ht="38.25">
      <c r="B228" s="926"/>
      <c r="E228" s="287"/>
      <c r="H228" s="1105" t="s">
        <v>668</v>
      </c>
      <c r="I228" s="1107">
        <f>SUM(I23+I49+I64+I86+I103+I111+I115+I124+I131+I136+I151+I158+I167+I174+I181+I188+I196+I202+I208+I215+I220+I225+L23+L49+L64+L86+L103+L111+L115+L124+L131+L151+L158+L167+L196+L202+L208+L215+L220+L225+L188+L181)</f>
        <v>1533739</v>
      </c>
      <c r="K228" s="287"/>
      <c r="L228" s="287"/>
      <c r="M228" s="287"/>
    </row>
    <row r="229" spans="1:29" ht="12.75">
      <c r="E229" s="287"/>
      <c r="K229" s="287"/>
      <c r="L229" s="287"/>
      <c r="M229" s="287"/>
    </row>
    <row r="230" spans="1:29" ht="12.75">
      <c r="E230" s="287"/>
      <c r="K230" s="287"/>
      <c r="L230" s="287"/>
      <c r="M230" s="287"/>
    </row>
    <row r="231" spans="1:29" ht="33" customHeight="1">
      <c r="B231" s="1088" t="s">
        <v>768</v>
      </c>
      <c r="E231" s="287"/>
      <c r="H231" s="1108" t="s">
        <v>671</v>
      </c>
      <c r="I231" s="1110">
        <f>SUM(H23+H49+H64+H86+H103+H111+H115+H124+H131+H136+H151+H158+H167+H174+H181+H188+H196+H202+H208+H215+H220+H225+K23+K49+K64+K86+K103+K111+K115+K124+K131+K151+K158+K167+K196+K202+K208+K215+K220+K225)</f>
        <v>2126405</v>
      </c>
      <c r="K231" s="287"/>
      <c r="L231" s="287"/>
      <c r="M231" s="287"/>
    </row>
    <row r="232" spans="1:29" ht="25.5">
      <c r="E232" s="287"/>
      <c r="H232" s="1111" t="s">
        <v>1171</v>
      </c>
      <c r="I232" s="613">
        <f>SUM(K23+K49+K64+K86+K103+K111+K115+K124+K131+K136+K151+K158+K174+K181+K188+K167+K196+K202+K208+K215+K220+K225)</f>
        <v>89200</v>
      </c>
      <c r="J232" s="1" t="s">
        <v>199</v>
      </c>
      <c r="K232" s="287"/>
      <c r="L232" s="287"/>
      <c r="M232" s="287"/>
    </row>
    <row r="233" spans="1:29" ht="12.75">
      <c r="AC233" s="14"/>
    </row>
    <row r="234" spans="1:29" ht="12.75">
      <c r="AC234" s="504"/>
    </row>
    <row r="235" spans="1:29" ht="12.75">
      <c r="AC235" s="781"/>
    </row>
    <row r="236" spans="1:29" ht="12.75">
      <c r="AC236" s="482"/>
    </row>
    <row r="237" spans="1:29" ht="12.75">
      <c r="AC237" s="341"/>
    </row>
    <row r="239" spans="1:29" ht="12.75">
      <c r="AC239" s="14"/>
    </row>
    <row r="240" spans="1:29" ht="12.75">
      <c r="AC240" s="352" t="s">
        <v>1050</v>
      </c>
    </row>
    <row r="241" spans="29:29" ht="12.75">
      <c r="AC241" s="132"/>
    </row>
    <row r="242" spans="29:29" ht="12.75">
      <c r="AC242" s="341"/>
    </row>
    <row r="244" spans="29:29" ht="12.75">
      <c r="AC244" s="14"/>
    </row>
    <row r="245" spans="29:29" ht="12.75">
      <c r="AC245" s="794" t="s">
        <v>1055</v>
      </c>
    </row>
    <row r="246" spans="29:29" ht="12.75">
      <c r="AC246" s="132" t="s">
        <v>1056</v>
      </c>
    </row>
    <row r="247" spans="29:29" ht="12.75">
      <c r="AC247" s="34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AD376"/>
  <sheetViews>
    <sheetView tabSelected="1" topLeftCell="A287" workbookViewId="0">
      <selection activeCell="B309" sqref="B309"/>
    </sheetView>
  </sheetViews>
  <sheetFormatPr defaultColWidth="12.5703125" defaultRowHeight="15.75" customHeight="1"/>
  <cols>
    <col min="1" max="1" width="10" customWidth="1"/>
    <col min="2" max="2" width="46.28515625" customWidth="1"/>
    <col min="3" max="3" width="21.42578125" customWidth="1"/>
    <col min="4" max="4" width="14.28515625" customWidth="1"/>
    <col min="5" max="5" width="12.5703125" style="1197"/>
    <col min="6" max="6" width="12" customWidth="1"/>
    <col min="7" max="7" width="27.42578125" customWidth="1"/>
    <col min="9" max="9" width="21.42578125" customWidth="1"/>
    <col min="16" max="16" width="20.28515625" customWidth="1"/>
  </cols>
  <sheetData>
    <row r="1" spans="1:30" ht="12.75"/>
    <row r="2" spans="1:30" ht="12.75">
      <c r="A2" s="1118" t="s">
        <v>5</v>
      </c>
      <c r="B2" s="1094" t="s">
        <v>7</v>
      </c>
      <c r="C2" s="1119" t="s">
        <v>10</v>
      </c>
      <c r="D2" s="1180" t="s">
        <v>1297</v>
      </c>
      <c r="E2" s="1197">
        <v>858</v>
      </c>
    </row>
    <row r="3" spans="1:30" ht="12.75">
      <c r="A3" s="782">
        <v>1</v>
      </c>
      <c r="B3" s="1120" t="s">
        <v>1264</v>
      </c>
      <c r="C3" s="248" t="s">
        <v>1295</v>
      </c>
    </row>
    <row r="4" spans="1:30" ht="12.75">
      <c r="A4" s="782">
        <v>2</v>
      </c>
      <c r="B4" s="823" t="s">
        <v>1253</v>
      </c>
      <c r="C4" s="838" t="s">
        <v>1295</v>
      </c>
    </row>
    <row r="5" spans="1:30" ht="12.75">
      <c r="A5" s="782">
        <v>3</v>
      </c>
      <c r="B5" s="581" t="s">
        <v>1280</v>
      </c>
      <c r="C5" s="838" t="s">
        <v>1295</v>
      </c>
    </row>
    <row r="6" spans="1:30" ht="12.75">
      <c r="A6" s="782">
        <v>4</v>
      </c>
      <c r="B6" s="823" t="s">
        <v>1254</v>
      </c>
      <c r="C6" s="838" t="s">
        <v>1295</v>
      </c>
    </row>
    <row r="7" spans="1:30" ht="12.75">
      <c r="A7" s="782">
        <v>5</v>
      </c>
      <c r="B7" s="1172" t="s">
        <v>1255</v>
      </c>
      <c r="C7" s="1130">
        <v>46218</v>
      </c>
    </row>
    <row r="8" spans="1:30" ht="12.75">
      <c r="A8" s="782">
        <v>6</v>
      </c>
      <c r="B8" s="823" t="s">
        <v>1256</v>
      </c>
      <c r="C8" s="839" t="s">
        <v>1295</v>
      </c>
      <c r="D8" s="842"/>
      <c r="F8" s="842"/>
      <c r="G8" s="842"/>
      <c r="H8" s="842"/>
      <c r="I8" s="842"/>
      <c r="J8" s="842"/>
      <c r="K8" s="842"/>
      <c r="L8" s="842"/>
      <c r="M8" s="842"/>
      <c r="N8" s="842"/>
      <c r="O8" s="842"/>
      <c r="P8" s="842"/>
    </row>
    <row r="9" spans="1:30" ht="12.75">
      <c r="A9" s="782">
        <v>7</v>
      </c>
      <c r="B9" s="876" t="s">
        <v>1257</v>
      </c>
      <c r="C9" s="455" t="s">
        <v>1201</v>
      </c>
    </row>
    <row r="10" spans="1:30" ht="12.75">
      <c r="A10" s="782">
        <v>8</v>
      </c>
      <c r="B10" s="876" t="s">
        <v>1260</v>
      </c>
      <c r="C10" s="171" t="s">
        <v>1206</v>
      </c>
    </row>
    <row r="11" spans="1:30" ht="12.75">
      <c r="A11" s="782">
        <v>9</v>
      </c>
      <c r="B11" s="1173" t="s">
        <v>1261</v>
      </c>
      <c r="C11" s="1129" t="s">
        <v>1207</v>
      </c>
      <c r="D11" s="681"/>
      <c r="E11" s="1198"/>
      <c r="F11" s="681"/>
      <c r="G11" s="681"/>
      <c r="H11" s="681"/>
      <c r="I11" s="681"/>
      <c r="J11" s="681"/>
      <c r="K11" s="681"/>
      <c r="L11" s="681"/>
      <c r="M11" s="681"/>
      <c r="N11" s="681"/>
      <c r="O11" s="681"/>
      <c r="P11" s="681"/>
      <c r="Q11" s="681"/>
      <c r="R11" s="681"/>
      <c r="S11" s="681"/>
      <c r="T11" s="681"/>
      <c r="U11" s="681"/>
      <c r="V11" s="681"/>
      <c r="W11" s="681"/>
      <c r="X11" s="681"/>
      <c r="Y11" s="681"/>
      <c r="Z11" s="681"/>
      <c r="AA11" s="681"/>
      <c r="AB11" s="681"/>
      <c r="AC11" s="681"/>
      <c r="AD11" s="681"/>
    </row>
    <row r="12" spans="1:30" ht="12.75">
      <c r="A12" s="782">
        <v>10</v>
      </c>
      <c r="B12" s="1174" t="s">
        <v>1262</v>
      </c>
      <c r="C12" s="248" t="s">
        <v>1295</v>
      </c>
    </row>
    <row r="13" spans="1:30" ht="12.75">
      <c r="A13" s="782">
        <v>11</v>
      </c>
      <c r="B13" s="1175" t="s">
        <v>1263</v>
      </c>
      <c r="C13" s="248" t="s">
        <v>1295</v>
      </c>
    </row>
    <row r="14" spans="1:30" ht="12.75">
      <c r="A14" s="150"/>
      <c r="B14" s="323" t="s">
        <v>177</v>
      </c>
      <c r="C14" s="109"/>
    </row>
    <row r="15" spans="1:30" ht="12.75">
      <c r="A15" s="14"/>
      <c r="B15" s="639"/>
      <c r="C15" s="185"/>
    </row>
    <row r="16" spans="1:30" ht="12.75">
      <c r="A16" s="14"/>
      <c r="B16" s="207"/>
      <c r="C16" s="185"/>
    </row>
    <row r="17" spans="1:30" ht="12.75">
      <c r="A17" s="683" t="s">
        <v>5</v>
      </c>
      <c r="B17" s="1097" t="s">
        <v>74</v>
      </c>
      <c r="C17" s="686" t="s">
        <v>10</v>
      </c>
      <c r="D17" s="1180" t="s">
        <v>1297</v>
      </c>
      <c r="E17" s="1197">
        <v>884</v>
      </c>
      <c r="Q17" s="842"/>
      <c r="R17" s="842"/>
      <c r="S17" s="842"/>
      <c r="T17" s="842"/>
      <c r="U17" s="842"/>
      <c r="V17" s="842"/>
      <c r="W17" s="842"/>
      <c r="X17" s="842"/>
      <c r="Y17" s="842"/>
      <c r="Z17" s="842"/>
      <c r="AA17" s="842"/>
      <c r="AB17" s="842"/>
      <c r="AC17" s="842"/>
      <c r="AD17" s="842"/>
    </row>
    <row r="18" spans="1:30" ht="12.75">
      <c r="A18" s="269">
        <v>1</v>
      </c>
      <c r="B18" s="1128" t="s">
        <v>1263</v>
      </c>
      <c r="C18" s="1136" t="s">
        <v>1295</v>
      </c>
      <c r="Q18" s="509"/>
    </row>
    <row r="19" spans="1:30" ht="12.75">
      <c r="A19" s="269">
        <v>2</v>
      </c>
      <c r="B19" s="1172" t="s">
        <v>1255</v>
      </c>
      <c r="C19" s="382" t="s">
        <v>1193</v>
      </c>
    </row>
    <row r="20" spans="1:30" ht="28.5" customHeight="1">
      <c r="A20" s="269">
        <v>3</v>
      </c>
      <c r="B20" s="1134" t="s">
        <v>1256</v>
      </c>
      <c r="C20" s="1135" t="s">
        <v>1295</v>
      </c>
    </row>
    <row r="21" spans="1:30" ht="12.75">
      <c r="A21" s="837">
        <v>4</v>
      </c>
      <c r="B21" s="1120" t="s">
        <v>1262</v>
      </c>
      <c r="C21" s="1120" t="s">
        <v>1295</v>
      </c>
      <c r="D21" s="1149"/>
      <c r="E21" s="1198"/>
      <c r="F21" s="1149"/>
      <c r="G21" s="1149"/>
      <c r="H21" s="1149"/>
      <c r="I21" s="1149"/>
      <c r="J21" s="1149"/>
      <c r="K21" s="1149"/>
      <c r="L21" s="1149"/>
      <c r="M21" s="1149"/>
      <c r="N21" s="1149"/>
      <c r="O21" s="1149"/>
      <c r="P21" s="1149"/>
      <c r="Q21" s="1149"/>
      <c r="R21" s="1149"/>
      <c r="S21" s="1149"/>
      <c r="T21" s="1149"/>
      <c r="U21" s="1149"/>
      <c r="V21" s="1149"/>
      <c r="W21" s="1149"/>
      <c r="X21" s="1149"/>
      <c r="Y21" s="1149"/>
      <c r="Z21" s="1149"/>
      <c r="AA21" s="1149"/>
      <c r="AB21" s="1149"/>
      <c r="AC21" s="1149"/>
      <c r="AD21" s="1149"/>
    </row>
    <row r="22" spans="1:30" ht="12.75">
      <c r="A22" s="269">
        <v>5</v>
      </c>
      <c r="B22" s="1145" t="s">
        <v>1265</v>
      </c>
      <c r="C22" s="171" t="s">
        <v>1200</v>
      </c>
    </row>
    <row r="23" spans="1:30" ht="12.75">
      <c r="A23" s="269">
        <v>6</v>
      </c>
      <c r="B23" s="1133" t="s">
        <v>1254</v>
      </c>
      <c r="C23" s="570" t="s">
        <v>1295</v>
      </c>
    </row>
    <row r="24" spans="1:30" ht="12.75">
      <c r="A24" s="269">
        <v>7</v>
      </c>
      <c r="B24" s="1128" t="s">
        <v>1267</v>
      </c>
      <c r="C24" s="1136" t="s">
        <v>1205</v>
      </c>
    </row>
    <row r="25" spans="1:30" ht="12.75">
      <c r="A25" s="269">
        <v>8</v>
      </c>
      <c r="B25" s="1134" t="s">
        <v>1253</v>
      </c>
      <c r="C25" s="570" t="s">
        <v>1295</v>
      </c>
    </row>
    <row r="26" spans="1:30" ht="12.75">
      <c r="A26" s="269">
        <v>9</v>
      </c>
      <c r="B26" s="1128" t="s">
        <v>1269</v>
      </c>
      <c r="C26" s="1136" t="s">
        <v>1209</v>
      </c>
    </row>
    <row r="27" spans="1:30" ht="12.75">
      <c r="A27" s="269">
        <v>10</v>
      </c>
      <c r="B27" s="1128"/>
      <c r="C27" s="1136"/>
      <c r="D27" s="681"/>
      <c r="E27" s="1198"/>
      <c r="F27" s="681"/>
      <c r="G27" s="681"/>
      <c r="H27" s="681"/>
      <c r="I27" s="681"/>
      <c r="J27" s="681"/>
      <c r="K27" s="681"/>
      <c r="L27" s="681"/>
      <c r="M27" s="681"/>
      <c r="N27" s="681"/>
      <c r="O27" s="681"/>
      <c r="P27" s="681"/>
      <c r="Q27" s="681"/>
      <c r="R27" s="681"/>
      <c r="S27" s="681"/>
      <c r="T27" s="681"/>
      <c r="U27" s="681"/>
      <c r="V27" s="681"/>
      <c r="W27" s="681"/>
      <c r="X27" s="681"/>
      <c r="Y27" s="681"/>
      <c r="Z27" s="681"/>
      <c r="AA27" s="681"/>
      <c r="AB27" s="681"/>
      <c r="AC27" s="681"/>
      <c r="AD27" s="681"/>
    </row>
    <row r="28" spans="1:30" ht="12.75">
      <c r="A28" s="269">
        <v>11</v>
      </c>
      <c r="B28" s="1128" t="s">
        <v>1264</v>
      </c>
      <c r="C28" s="1136" t="s">
        <v>1295</v>
      </c>
    </row>
    <row r="29" spans="1:30" ht="12.75">
      <c r="A29" s="269">
        <v>12</v>
      </c>
      <c r="B29" s="1132"/>
      <c r="C29" s="382"/>
    </row>
    <row r="30" spans="1:30" ht="12.75">
      <c r="A30" s="837">
        <v>13</v>
      </c>
      <c r="B30" s="1128"/>
      <c r="C30" s="1136"/>
      <c r="D30" s="1149"/>
      <c r="E30" s="1198"/>
      <c r="F30" s="1149"/>
      <c r="G30" s="1149"/>
      <c r="H30" s="1149"/>
      <c r="I30" s="1149"/>
      <c r="J30" s="1149"/>
      <c r="K30" s="1149"/>
      <c r="L30" s="1149"/>
      <c r="M30" s="1149"/>
      <c r="N30" s="1149"/>
      <c r="O30" s="1149"/>
      <c r="P30" s="1149"/>
      <c r="Q30" s="1149"/>
      <c r="R30" s="1149"/>
      <c r="S30" s="1149"/>
      <c r="T30" s="1149"/>
      <c r="U30" s="1149"/>
      <c r="V30" s="1149"/>
      <c r="W30" s="1149"/>
      <c r="X30" s="1149"/>
      <c r="Y30" s="1149"/>
      <c r="Z30" s="1149"/>
      <c r="AA30" s="1149"/>
      <c r="AB30" s="1149"/>
      <c r="AC30" s="1149"/>
      <c r="AD30" s="1149"/>
    </row>
    <row r="31" spans="1:30" ht="12.75">
      <c r="A31" s="269">
        <v>14</v>
      </c>
      <c r="B31" s="1121"/>
      <c r="C31" s="1120"/>
    </row>
    <row r="32" spans="1:30" ht="12.75">
      <c r="A32" s="2"/>
      <c r="B32" s="644"/>
      <c r="C32" s="203"/>
    </row>
    <row r="33" spans="1:5" ht="12.75">
      <c r="A33" s="100"/>
      <c r="B33" s="323" t="s">
        <v>177</v>
      </c>
      <c r="C33" s="109"/>
    </row>
    <row r="34" spans="1:5" ht="12.75">
      <c r="A34" s="14"/>
      <c r="B34" s="940"/>
      <c r="C34" s="185"/>
    </row>
    <row r="35" spans="1:5" ht="12.75">
      <c r="A35" s="14"/>
      <c r="B35" s="183"/>
      <c r="C35" s="185"/>
    </row>
    <row r="36" spans="1:5" ht="12.75">
      <c r="A36" s="683" t="s">
        <v>5</v>
      </c>
      <c r="B36" s="931" t="s">
        <v>281</v>
      </c>
      <c r="C36" s="686" t="s">
        <v>10</v>
      </c>
      <c r="D36" s="1180" t="s">
        <v>1297</v>
      </c>
      <c r="E36" s="1197">
        <v>884</v>
      </c>
    </row>
    <row r="37" spans="1:5" ht="12.75">
      <c r="A37" s="269">
        <v>1</v>
      </c>
      <c r="B37" s="1069" t="s">
        <v>1256</v>
      </c>
      <c r="C37" s="570" t="s">
        <v>1295</v>
      </c>
    </row>
    <row r="38" spans="1:5" ht="12.75">
      <c r="A38" s="269">
        <v>2</v>
      </c>
      <c r="B38" s="1137" t="s">
        <v>1258</v>
      </c>
      <c r="C38" s="1138" t="s">
        <v>1192</v>
      </c>
    </row>
    <row r="39" spans="1:5" ht="12.75">
      <c r="A39" s="269">
        <v>3</v>
      </c>
      <c r="B39" s="581" t="s">
        <v>1259</v>
      </c>
      <c r="C39" s="1139" t="s">
        <v>1190</v>
      </c>
    </row>
    <row r="40" spans="1:5" ht="12.75">
      <c r="A40" s="269">
        <v>4</v>
      </c>
      <c r="B40" s="854" t="s">
        <v>1253</v>
      </c>
      <c r="C40" s="1136" t="s">
        <v>1295</v>
      </c>
    </row>
    <row r="41" spans="1:5" ht="12.75">
      <c r="A41" s="269">
        <v>5</v>
      </c>
      <c r="B41" s="1120" t="s">
        <v>1262</v>
      </c>
      <c r="C41" s="1120" t="s">
        <v>1295</v>
      </c>
    </row>
    <row r="42" spans="1:5" ht="12.75">
      <c r="A42" s="269">
        <v>6</v>
      </c>
      <c r="B42" s="1172" t="s">
        <v>1255</v>
      </c>
      <c r="C42" s="309" t="s">
        <v>1193</v>
      </c>
    </row>
    <row r="43" spans="1:5" ht="12.75">
      <c r="A43" s="269">
        <v>7</v>
      </c>
      <c r="B43" s="581" t="s">
        <v>1270</v>
      </c>
      <c r="C43" s="982" t="s">
        <v>1197</v>
      </c>
    </row>
    <row r="44" spans="1:5" ht="12.75">
      <c r="A44" s="269">
        <v>8</v>
      </c>
      <c r="B44" s="581" t="s">
        <v>1271</v>
      </c>
      <c r="C44" s="982" t="s">
        <v>1207</v>
      </c>
    </row>
    <row r="45" spans="1:5" ht="12.75">
      <c r="A45" s="269">
        <v>9</v>
      </c>
      <c r="B45" s="1132"/>
      <c r="C45" s="309"/>
    </row>
    <row r="46" spans="1:5" ht="12.75">
      <c r="A46" s="269">
        <v>10</v>
      </c>
      <c r="B46" s="581"/>
      <c r="C46" s="982"/>
    </row>
    <row r="47" spans="1:5" ht="12.75">
      <c r="A47" s="269">
        <v>11</v>
      </c>
      <c r="B47" s="581"/>
      <c r="C47" s="1139"/>
    </row>
    <row r="48" spans="1:5" ht="12.75">
      <c r="A48" s="269">
        <v>12</v>
      </c>
      <c r="B48" s="854"/>
      <c r="C48" s="1090"/>
    </row>
    <row r="49" spans="1:5" ht="12.75">
      <c r="A49" s="150"/>
      <c r="B49" s="236" t="s">
        <v>177</v>
      </c>
      <c r="C49" s="8"/>
    </row>
    <row r="50" spans="1:5" ht="12.75">
      <c r="A50" s="265"/>
      <c r="B50" s="940"/>
      <c r="C50" s="731"/>
    </row>
    <row r="51" spans="1:5" ht="12.75">
      <c r="A51" s="265"/>
      <c r="B51" s="940"/>
      <c r="C51" s="731"/>
    </row>
    <row r="52" spans="1:5" ht="12.75">
      <c r="A52" s="265"/>
      <c r="B52" s="940"/>
      <c r="C52" s="731"/>
    </row>
    <row r="53" spans="1:5" ht="12.75">
      <c r="A53" s="683" t="s">
        <v>5</v>
      </c>
      <c r="B53" s="1093" t="s">
        <v>913</v>
      </c>
      <c r="C53" s="686" t="s">
        <v>10</v>
      </c>
      <c r="D53" s="1180" t="s">
        <v>1297</v>
      </c>
      <c r="E53" s="1199" t="s">
        <v>1298</v>
      </c>
    </row>
    <row r="54" spans="1:5" ht="12.75">
      <c r="A54" s="139">
        <v>1</v>
      </c>
      <c r="B54" s="1128" t="s">
        <v>1253</v>
      </c>
      <c r="C54" s="1136" t="s">
        <v>1295</v>
      </c>
    </row>
    <row r="55" spans="1:5" ht="12.75">
      <c r="A55" s="134">
        <v>2</v>
      </c>
      <c r="B55" s="1176" t="s">
        <v>1272</v>
      </c>
      <c r="C55" s="854" t="s">
        <v>1213</v>
      </c>
    </row>
    <row r="56" spans="1:5" ht="12.75">
      <c r="A56" s="134">
        <v>3</v>
      </c>
      <c r="B56" s="1140" t="s">
        <v>1256</v>
      </c>
      <c r="C56" s="1135" t="s">
        <v>1295</v>
      </c>
    </row>
    <row r="57" spans="1:5" ht="12.75">
      <c r="A57" s="134">
        <v>4</v>
      </c>
      <c r="B57" s="1128"/>
      <c r="C57" s="854"/>
    </row>
    <row r="58" spans="1:5" ht="12.75">
      <c r="A58" s="139">
        <v>5</v>
      </c>
      <c r="B58" s="1176" t="s">
        <v>1273</v>
      </c>
      <c r="C58" s="1143">
        <v>46107</v>
      </c>
    </row>
    <row r="59" spans="1:5" ht="12.75">
      <c r="A59" s="139">
        <v>6</v>
      </c>
      <c r="B59" s="1172" t="s">
        <v>1255</v>
      </c>
      <c r="C59" s="854" t="s">
        <v>1193</v>
      </c>
    </row>
    <row r="60" spans="1:5" ht="12.75">
      <c r="A60" s="139">
        <v>7</v>
      </c>
      <c r="B60" s="1120" t="s">
        <v>1262</v>
      </c>
      <c r="C60" s="1120" t="s">
        <v>1295</v>
      </c>
    </row>
    <row r="61" spans="1:5" ht="12.75">
      <c r="A61" s="139">
        <v>8</v>
      </c>
      <c r="B61" s="1128" t="s">
        <v>1264</v>
      </c>
      <c r="C61" s="1136" t="s">
        <v>1295</v>
      </c>
    </row>
    <row r="62" spans="1:5" ht="12.75">
      <c r="A62" s="134">
        <v>9</v>
      </c>
      <c r="B62" s="1120" t="s">
        <v>1274</v>
      </c>
      <c r="C62" s="1120"/>
    </row>
    <row r="63" spans="1:5" ht="12.75">
      <c r="A63" s="134">
        <v>10</v>
      </c>
      <c r="B63" s="1175" t="s">
        <v>1277</v>
      </c>
      <c r="C63" s="500" t="s">
        <v>1211</v>
      </c>
    </row>
    <row r="64" spans="1:5" ht="12.75">
      <c r="A64" s="134">
        <v>11</v>
      </c>
      <c r="B64" s="1178" t="s">
        <v>1269</v>
      </c>
      <c r="C64" s="203" t="s">
        <v>1209</v>
      </c>
    </row>
    <row r="65" spans="1:30" ht="12.75">
      <c r="A65" s="134">
        <v>12</v>
      </c>
      <c r="B65" s="1132"/>
      <c r="C65" s="500"/>
    </row>
    <row r="66" spans="1:30" ht="12.75">
      <c r="A66" s="134">
        <v>13</v>
      </c>
      <c r="B66" s="1120"/>
      <c r="C66" s="1120"/>
    </row>
    <row r="67" spans="1:30" ht="12.75">
      <c r="A67" s="134">
        <v>14</v>
      </c>
      <c r="B67" s="1128"/>
      <c r="C67" s="854"/>
    </row>
    <row r="68" spans="1:30" ht="12.75">
      <c r="A68" s="144"/>
      <c r="B68" s="323" t="s">
        <v>177</v>
      </c>
      <c r="C68" s="109"/>
    </row>
    <row r="69" spans="1:30" ht="12.75">
      <c r="A69" s="1181"/>
      <c r="B69" s="1182"/>
      <c r="C69" s="1183"/>
    </row>
    <row r="70" spans="1:30" ht="12.75">
      <c r="A70" s="1181"/>
      <c r="B70" s="1182"/>
      <c r="C70" s="1183"/>
    </row>
    <row r="71" spans="1:30" ht="12.75">
      <c r="A71" s="1181"/>
      <c r="B71" s="1182"/>
      <c r="C71" s="1183"/>
    </row>
    <row r="72" spans="1:30" ht="12.75">
      <c r="A72" s="1181"/>
      <c r="B72" s="1182"/>
      <c r="C72" s="1183"/>
    </row>
    <row r="73" spans="1:30" ht="12.75">
      <c r="A73" s="683" t="s">
        <v>5</v>
      </c>
      <c r="B73" s="1095" t="s">
        <v>934</v>
      </c>
      <c r="C73" s="686" t="s">
        <v>10</v>
      </c>
      <c r="D73" s="1180" t="s">
        <v>1297</v>
      </c>
      <c r="E73" s="1199" t="s">
        <v>1299</v>
      </c>
    </row>
    <row r="74" spans="1:30" ht="12.75">
      <c r="A74" s="139">
        <v>1</v>
      </c>
      <c r="B74" s="1141" t="s">
        <v>1256</v>
      </c>
      <c r="C74" s="570" t="s">
        <v>1295</v>
      </c>
    </row>
    <row r="75" spans="1:30" ht="12.75">
      <c r="A75" s="139">
        <v>2</v>
      </c>
      <c r="B75" s="1120" t="s">
        <v>1263</v>
      </c>
      <c r="C75" s="1120" t="s">
        <v>1202</v>
      </c>
    </row>
    <row r="76" spans="1:30" ht="12.75">
      <c r="A76" s="134">
        <v>3</v>
      </c>
      <c r="B76" s="1120" t="s">
        <v>1262</v>
      </c>
      <c r="C76" s="1120" t="s">
        <v>1295</v>
      </c>
      <c r="Q76" s="499"/>
    </row>
    <row r="77" spans="1:30" ht="12.75">
      <c r="A77" s="139">
        <v>4</v>
      </c>
      <c r="B77" s="1141" t="s">
        <v>1281</v>
      </c>
      <c r="C77" s="1139" t="s">
        <v>1295</v>
      </c>
      <c r="Q77" s="681"/>
    </row>
    <row r="78" spans="1:30" ht="12.75">
      <c r="A78" s="139">
        <v>5</v>
      </c>
      <c r="B78" s="1177" t="s">
        <v>1275</v>
      </c>
      <c r="C78" s="726" t="s">
        <v>1199</v>
      </c>
    </row>
    <row r="79" spans="1:30" ht="12.75">
      <c r="A79" s="139">
        <v>6</v>
      </c>
      <c r="B79" s="1172" t="s">
        <v>1255</v>
      </c>
      <c r="C79" s="1139" t="s">
        <v>1193</v>
      </c>
      <c r="D79" s="681"/>
      <c r="E79" s="1198"/>
      <c r="F79" s="681"/>
      <c r="G79" s="681"/>
      <c r="H79" s="681"/>
      <c r="I79" s="681"/>
      <c r="J79" s="681"/>
      <c r="K79" s="681"/>
      <c r="L79" s="681"/>
      <c r="M79" s="681"/>
      <c r="N79" s="681"/>
      <c r="O79" s="681"/>
      <c r="P79" s="681"/>
      <c r="Q79" s="1083"/>
      <c r="R79" s="681"/>
      <c r="S79" s="681"/>
      <c r="T79" s="681"/>
      <c r="U79" s="681"/>
      <c r="V79" s="681"/>
      <c r="W79" s="681"/>
      <c r="X79" s="681"/>
      <c r="Y79" s="681"/>
      <c r="Z79" s="681"/>
      <c r="AA79" s="681"/>
      <c r="AB79" s="681"/>
      <c r="AC79" s="681"/>
      <c r="AD79" s="681"/>
    </row>
    <row r="80" spans="1:30" ht="12.75">
      <c r="A80" s="139">
        <v>7</v>
      </c>
      <c r="B80" s="1128"/>
      <c r="C80" s="855"/>
      <c r="Q80" s="499"/>
    </row>
    <row r="81" spans="1:30" ht="12.75">
      <c r="A81" s="139">
        <v>8</v>
      </c>
      <c r="B81" s="1141" t="s">
        <v>1271</v>
      </c>
      <c r="C81" s="1139" t="s">
        <v>1207</v>
      </c>
      <c r="Q81" s="33"/>
    </row>
    <row r="82" spans="1:30" ht="12.75">
      <c r="A82" s="134">
        <v>9</v>
      </c>
      <c r="B82" s="1120" t="s">
        <v>1274</v>
      </c>
      <c r="C82" s="1120"/>
      <c r="Q82" s="499"/>
    </row>
    <row r="83" spans="1:30" ht="12.75">
      <c r="A83" s="134">
        <v>10</v>
      </c>
      <c r="B83" s="1174" t="s">
        <v>1277</v>
      </c>
      <c r="C83" s="1120" t="s">
        <v>1211</v>
      </c>
      <c r="Q83" s="499"/>
    </row>
    <row r="84" spans="1:30" ht="12.75">
      <c r="A84" s="134">
        <v>11</v>
      </c>
      <c r="B84" s="908"/>
      <c r="C84" s="982"/>
      <c r="Q84" s="499"/>
    </row>
    <row r="85" spans="1:30" ht="12.75">
      <c r="A85" s="134">
        <v>12</v>
      </c>
      <c r="B85" s="1120"/>
      <c r="C85" s="1120"/>
      <c r="Q85" s="499"/>
    </row>
    <row r="86" spans="1:30" ht="12.75">
      <c r="A86" s="794"/>
      <c r="B86" s="1184" t="s">
        <v>177</v>
      </c>
      <c r="C86" s="1185"/>
      <c r="Q86" s="499"/>
    </row>
    <row r="87" spans="1:30" ht="12.75">
      <c r="A87" s="1186"/>
      <c r="B87" s="1187"/>
      <c r="C87" s="1188"/>
      <c r="Q87" s="499"/>
    </row>
    <row r="88" spans="1:30" ht="12.75">
      <c r="A88" s="1189"/>
      <c r="B88" s="1190" t="s">
        <v>964</v>
      </c>
      <c r="C88" s="1191" t="s">
        <v>10</v>
      </c>
      <c r="D88" s="1180" t="s">
        <v>1297</v>
      </c>
      <c r="E88" s="1199" t="s">
        <v>1299</v>
      </c>
      <c r="F88" s="1157"/>
      <c r="G88" s="1157"/>
      <c r="H88" s="1157"/>
      <c r="I88" s="1157"/>
      <c r="J88" s="1157"/>
      <c r="K88" s="1157"/>
      <c r="L88" s="1157"/>
      <c r="M88" s="1157"/>
      <c r="N88" s="1157"/>
      <c r="O88" s="1157"/>
      <c r="P88" s="1157"/>
      <c r="Q88" s="39"/>
      <c r="R88" s="1157"/>
      <c r="S88" s="1157"/>
      <c r="T88" s="1157"/>
      <c r="U88" s="1157"/>
      <c r="V88" s="1157"/>
      <c r="W88" s="1157"/>
      <c r="X88" s="1157"/>
      <c r="Y88" s="1157"/>
      <c r="Z88" s="1157"/>
      <c r="AA88" s="1157"/>
      <c r="AB88" s="1157"/>
      <c r="AC88" s="1157"/>
      <c r="AD88" s="1157"/>
    </row>
    <row r="89" spans="1:30" ht="12.75">
      <c r="A89" s="1192">
        <v>1</v>
      </c>
      <c r="B89" s="1193" t="s">
        <v>1269</v>
      </c>
      <c r="C89" s="1194" t="s">
        <v>1209</v>
      </c>
      <c r="Q89" s="499"/>
    </row>
    <row r="90" spans="1:30" ht="12.75">
      <c r="A90" s="341"/>
      <c r="B90" s="1064"/>
      <c r="C90" s="185"/>
      <c r="Q90" s="499"/>
    </row>
    <row r="91" spans="1:30" ht="12.75">
      <c r="A91" s="341"/>
      <c r="B91" s="940"/>
      <c r="C91" s="731"/>
      <c r="Q91" s="499"/>
    </row>
    <row r="92" spans="1:30" ht="12.75">
      <c r="A92" s="683" t="s">
        <v>5</v>
      </c>
      <c r="B92" s="1094" t="s">
        <v>106</v>
      </c>
      <c r="C92" s="686" t="s">
        <v>10</v>
      </c>
      <c r="D92" s="1180" t="s">
        <v>1297</v>
      </c>
      <c r="E92" s="1200">
        <v>858</v>
      </c>
      <c r="F92" s="1157"/>
      <c r="G92" s="1157"/>
      <c r="H92" s="1157"/>
      <c r="I92" s="1157"/>
      <c r="J92" s="1157"/>
      <c r="K92" s="1157"/>
      <c r="L92" s="1157"/>
      <c r="M92" s="1157"/>
      <c r="N92" s="1157"/>
      <c r="O92" s="1157"/>
      <c r="P92" s="1157"/>
      <c r="Q92" s="1155"/>
      <c r="R92" s="1157"/>
      <c r="S92" s="1157"/>
      <c r="T92" s="1157"/>
      <c r="U92" s="1157"/>
      <c r="V92" s="1157"/>
      <c r="W92" s="1157"/>
      <c r="X92" s="1157"/>
      <c r="Y92" s="1157"/>
      <c r="Z92" s="1157"/>
      <c r="AA92" s="1157"/>
      <c r="AB92" s="1157"/>
      <c r="AC92" s="1157"/>
      <c r="AD92" s="1157"/>
    </row>
    <row r="93" spans="1:30" ht="12.75">
      <c r="A93" s="100">
        <v>1</v>
      </c>
      <c r="B93" s="907" t="s">
        <v>1278</v>
      </c>
      <c r="C93" s="171" t="s">
        <v>1295</v>
      </c>
    </row>
    <row r="94" spans="1:30" ht="12.75">
      <c r="A94" s="14"/>
      <c r="B94" s="183"/>
      <c r="C94" s="185"/>
    </row>
    <row r="95" spans="1:30" ht="12.75">
      <c r="A95" s="14"/>
      <c r="B95" s="207"/>
      <c r="C95" s="1025"/>
    </row>
    <row r="96" spans="1:30" ht="12.75">
      <c r="A96" s="683" t="s">
        <v>5</v>
      </c>
      <c r="B96" s="1095" t="s">
        <v>1187</v>
      </c>
      <c r="C96" s="686" t="s">
        <v>10</v>
      </c>
      <c r="D96" s="1180" t="s">
        <v>1297</v>
      </c>
      <c r="E96" s="1200">
        <v>161</v>
      </c>
      <c r="F96" s="1157"/>
      <c r="G96" s="1157"/>
      <c r="H96" s="1157"/>
      <c r="I96" s="1157"/>
      <c r="J96" s="1157"/>
      <c r="K96" s="1157"/>
      <c r="L96" s="1157"/>
      <c r="M96" s="1157"/>
      <c r="N96" s="1157"/>
      <c r="O96" s="1157"/>
      <c r="P96" s="1157"/>
      <c r="Q96" s="1157"/>
      <c r="R96" s="1157"/>
      <c r="S96" s="1157"/>
      <c r="T96" s="1157"/>
      <c r="U96" s="1157"/>
      <c r="V96" s="1157"/>
      <c r="W96" s="1157"/>
      <c r="X96" s="1157"/>
      <c r="Y96" s="1157"/>
      <c r="Z96" s="1157"/>
      <c r="AA96" s="1157"/>
      <c r="AB96" s="1157"/>
      <c r="AC96" s="1157"/>
      <c r="AD96" s="1157"/>
    </row>
    <row r="97" spans="1:30" ht="12.75">
      <c r="A97" s="144">
        <v>1</v>
      </c>
      <c r="B97" s="907" t="s">
        <v>1279</v>
      </c>
      <c r="C97" s="171" t="s">
        <v>1295</v>
      </c>
    </row>
    <row r="98" spans="1:30" ht="12.75">
      <c r="A98" s="144">
        <v>2</v>
      </c>
      <c r="B98" s="581" t="s">
        <v>1280</v>
      </c>
      <c r="C98" s="171" t="s">
        <v>1295</v>
      </c>
    </row>
    <row r="99" spans="1:30" ht="12.75">
      <c r="A99" s="144">
        <v>3</v>
      </c>
      <c r="B99" s="581" t="s">
        <v>1256</v>
      </c>
      <c r="C99" s="171" t="s">
        <v>1295</v>
      </c>
    </row>
    <row r="100" spans="1:30" ht="12.75">
      <c r="A100" s="463">
        <v>4</v>
      </c>
      <c r="B100" s="1069" t="s">
        <v>1253</v>
      </c>
      <c r="C100" s="1135" t="s">
        <v>1295</v>
      </c>
    </row>
    <row r="101" spans="1:30" ht="12.75">
      <c r="A101" s="463">
        <v>5</v>
      </c>
      <c r="B101" s="1148" t="s">
        <v>1173</v>
      </c>
      <c r="C101" s="1150" t="s">
        <v>1295</v>
      </c>
    </row>
    <row r="102" spans="1:30" ht="12.75">
      <c r="A102" s="144">
        <v>6</v>
      </c>
      <c r="B102" s="1195" t="s">
        <v>1266</v>
      </c>
      <c r="C102" s="1150" t="s">
        <v>1295</v>
      </c>
    </row>
    <row r="103" spans="1:30" ht="12.75">
      <c r="A103" s="583">
        <v>7</v>
      </c>
      <c r="B103" s="1195" t="s">
        <v>1276</v>
      </c>
      <c r="C103" s="1146" t="s">
        <v>1217</v>
      </c>
    </row>
    <row r="104" spans="1:30" ht="12.75">
      <c r="A104" s="260">
        <v>8</v>
      </c>
      <c r="B104" s="1128" t="s">
        <v>1215</v>
      </c>
      <c r="C104" s="1150" t="s">
        <v>1193</v>
      </c>
    </row>
    <row r="105" spans="1:30" ht="12.75">
      <c r="A105" s="500">
        <v>9</v>
      </c>
      <c r="B105" s="1120" t="s">
        <v>1262</v>
      </c>
      <c r="C105" s="248" t="s">
        <v>1295</v>
      </c>
    </row>
    <row r="106" spans="1:30" ht="12.75">
      <c r="A106" s="1136">
        <v>10</v>
      </c>
      <c r="B106" s="1128" t="s">
        <v>1263</v>
      </c>
      <c r="C106" s="1150" t="s">
        <v>1295</v>
      </c>
      <c r="D106" s="304"/>
      <c r="F106" s="304"/>
      <c r="G106" s="304"/>
      <c r="H106" s="304"/>
      <c r="I106" s="304"/>
      <c r="J106" s="304"/>
      <c r="K106" s="304"/>
      <c r="L106" s="304"/>
      <c r="M106" s="304"/>
      <c r="N106" s="304"/>
      <c r="O106" s="304"/>
      <c r="P106" s="304"/>
      <c r="Q106" s="304"/>
      <c r="R106" s="304"/>
      <c r="S106" s="304"/>
      <c r="T106" s="304"/>
      <c r="U106" s="304"/>
      <c r="V106" s="304"/>
      <c r="W106" s="304"/>
      <c r="X106" s="304"/>
      <c r="Y106" s="304"/>
      <c r="Z106" s="304"/>
      <c r="AA106" s="304"/>
      <c r="AB106" s="304"/>
      <c r="AC106" s="304"/>
      <c r="AD106" s="304"/>
    </row>
    <row r="107" spans="1:30" ht="12.75">
      <c r="A107" s="500">
        <v>11</v>
      </c>
      <c r="B107" s="1120" t="s">
        <v>1271</v>
      </c>
      <c r="C107" s="248" t="s">
        <v>1207</v>
      </c>
    </row>
    <row r="108" spans="1:30" ht="12.75">
      <c r="A108" s="500">
        <v>12</v>
      </c>
      <c r="B108" s="1132" t="s">
        <v>1281</v>
      </c>
      <c r="C108" s="1150" t="s">
        <v>1295</v>
      </c>
    </row>
    <row r="109" spans="1:30" ht="12.75">
      <c r="B109" s="1128" t="s">
        <v>1204</v>
      </c>
      <c r="C109" s="842"/>
    </row>
    <row r="110" spans="1:30" ht="12.75"/>
    <row r="111" spans="1:30" ht="12.75">
      <c r="A111" s="139" t="s">
        <v>5</v>
      </c>
      <c r="B111" s="1095" t="s">
        <v>1188</v>
      </c>
      <c r="C111" s="514" t="s">
        <v>10</v>
      </c>
      <c r="D111" s="1180" t="s">
        <v>1297</v>
      </c>
      <c r="E111" s="1200">
        <v>161</v>
      </c>
    </row>
    <row r="112" spans="1:30" ht="12.75">
      <c r="A112" s="144">
        <v>1</v>
      </c>
      <c r="B112" s="907" t="s">
        <v>1256</v>
      </c>
      <c r="C112" s="171" t="s">
        <v>1295</v>
      </c>
    </row>
    <row r="113" spans="1:5" ht="12.75">
      <c r="A113" s="500">
        <v>2</v>
      </c>
      <c r="B113" s="1120" t="s">
        <v>1262</v>
      </c>
      <c r="C113" s="1120" t="s">
        <v>1295</v>
      </c>
    </row>
    <row r="114" spans="1:5" ht="12.75">
      <c r="A114" s="144">
        <v>3</v>
      </c>
      <c r="B114" s="581" t="s">
        <v>1196</v>
      </c>
      <c r="C114" s="178" t="s">
        <v>1193</v>
      </c>
    </row>
    <row r="115" spans="1:5" ht="12.75">
      <c r="A115" s="260">
        <v>4</v>
      </c>
      <c r="B115" s="1128" t="s">
        <v>1277</v>
      </c>
      <c r="C115" s="1136" t="s">
        <v>1211</v>
      </c>
    </row>
    <row r="116" spans="1:5" ht="12.75">
      <c r="A116" s="463">
        <v>5</v>
      </c>
      <c r="B116" s="907" t="s">
        <v>1253</v>
      </c>
      <c r="C116" s="1135" t="s">
        <v>1295</v>
      </c>
    </row>
    <row r="117" spans="1:5" ht="12.75"/>
    <row r="118" spans="1:5" ht="12.75"/>
    <row r="119" spans="1:5" ht="12.75">
      <c r="A119" s="139" t="s">
        <v>5</v>
      </c>
      <c r="B119" s="1095" t="s">
        <v>1189</v>
      </c>
      <c r="C119" s="514" t="s">
        <v>10</v>
      </c>
      <c r="D119" s="1180" t="s">
        <v>1297</v>
      </c>
      <c r="E119" s="1197">
        <v>804</v>
      </c>
    </row>
    <row r="120" spans="1:5" ht="12.75">
      <c r="A120" s="234">
        <v>1</v>
      </c>
      <c r="B120" s="1128" t="s">
        <v>1277</v>
      </c>
      <c r="C120" s="854" t="s">
        <v>1211</v>
      </c>
    </row>
    <row r="121" spans="1:5" ht="12.75">
      <c r="A121" s="234">
        <v>2</v>
      </c>
      <c r="B121" s="1195" t="s">
        <v>1275</v>
      </c>
      <c r="C121" s="854" t="s">
        <v>1199</v>
      </c>
    </row>
    <row r="122" spans="1:5" ht="12.75">
      <c r="A122" s="234">
        <v>3</v>
      </c>
      <c r="B122" s="1172" t="s">
        <v>1255</v>
      </c>
      <c r="C122" s="854" t="s">
        <v>1193</v>
      </c>
    </row>
    <row r="123" spans="1:5" ht="12.75">
      <c r="A123" s="234">
        <v>4</v>
      </c>
      <c r="B123" s="1120" t="s">
        <v>1262</v>
      </c>
      <c r="C123" s="1120" t="s">
        <v>1295</v>
      </c>
    </row>
    <row r="124" spans="1:5" ht="12.75">
      <c r="A124" s="234">
        <v>5</v>
      </c>
      <c r="B124" s="1120" t="s">
        <v>1263</v>
      </c>
      <c r="C124" s="1120" t="s">
        <v>1295</v>
      </c>
    </row>
    <row r="125" spans="1:5" ht="12.75">
      <c r="A125" s="234">
        <v>6</v>
      </c>
      <c r="B125" s="1128" t="s">
        <v>1269</v>
      </c>
      <c r="C125" s="854" t="s">
        <v>1209</v>
      </c>
    </row>
    <row r="126" spans="1:5" ht="12.75">
      <c r="A126" s="234">
        <v>7</v>
      </c>
      <c r="B126" s="1120" t="s">
        <v>1274</v>
      </c>
      <c r="C126" s="1174" t="s">
        <v>1321</v>
      </c>
    </row>
    <row r="127" spans="1:5" ht="12.75"/>
    <row r="128" spans="1:5" ht="12.75"/>
    <row r="129" spans="1:5" ht="12.75">
      <c r="A129" s="139" t="s">
        <v>1301</v>
      </c>
      <c r="B129" s="1095" t="s">
        <v>1302</v>
      </c>
      <c r="C129" s="514" t="s">
        <v>10</v>
      </c>
      <c r="D129" s="1180" t="s">
        <v>1297</v>
      </c>
      <c r="E129" s="1197">
        <v>161</v>
      </c>
    </row>
    <row r="130" spans="1:5" ht="12.75">
      <c r="A130" s="144" t="s">
        <v>1303</v>
      </c>
      <c r="B130" s="775" t="s">
        <v>364</v>
      </c>
      <c r="C130" s="699" t="s">
        <v>1300</v>
      </c>
    </row>
    <row r="131" spans="1:5" ht="12.75"/>
    <row r="132" spans="1:5" ht="12.75"/>
    <row r="133" spans="1:5" ht="12.75"/>
    <row r="134" spans="1:5" ht="12.75">
      <c r="A134" s="139" t="s">
        <v>1301</v>
      </c>
      <c r="B134" s="684" t="s">
        <v>1198</v>
      </c>
      <c r="C134" s="686" t="s">
        <v>10</v>
      </c>
      <c r="D134" s="1180" t="s">
        <v>1297</v>
      </c>
      <c r="E134" s="1199" t="s">
        <v>1314</v>
      </c>
    </row>
    <row r="135" spans="1:5" ht="12.75">
      <c r="A135" s="144" t="s">
        <v>1304</v>
      </c>
      <c r="B135" s="284" t="s">
        <v>1282</v>
      </c>
      <c r="C135" s="699" t="s">
        <v>1295</v>
      </c>
    </row>
    <row r="136" spans="1:5" ht="12.75">
      <c r="A136" s="144"/>
      <c r="B136" s="181"/>
      <c r="C136" s="109"/>
    </row>
    <row r="137" spans="1:5" ht="12.75">
      <c r="A137" s="144"/>
      <c r="B137" s="181"/>
      <c r="C137" s="109"/>
    </row>
    <row r="138" spans="1:5" ht="12.75">
      <c r="A138" s="132"/>
      <c r="B138" s="29"/>
      <c r="C138" s="8"/>
    </row>
    <row r="139" spans="1:5" ht="12.75"/>
    <row r="140" spans="1:5" ht="12.75"/>
    <row r="141" spans="1:5" ht="12.75">
      <c r="A141" s="1162"/>
      <c r="B141" s="1163" t="s">
        <v>1223</v>
      </c>
      <c r="C141" s="686" t="s">
        <v>10</v>
      </c>
      <c r="D141" s="1180" t="s">
        <v>1297</v>
      </c>
      <c r="E141" s="1199" t="s">
        <v>1315</v>
      </c>
    </row>
    <row r="142" spans="1:5" ht="12.75">
      <c r="A142" s="500">
        <v>1</v>
      </c>
      <c r="B142" s="1179" t="s">
        <v>1278</v>
      </c>
      <c r="C142" s="234" t="s">
        <v>1193</v>
      </c>
    </row>
    <row r="143" spans="1:5" ht="12.75">
      <c r="A143" s="1"/>
      <c r="B143" s="1"/>
      <c r="C143" s="1"/>
    </row>
    <row r="144" spans="1:5" ht="12.75">
      <c r="A144" s="1"/>
      <c r="B144" s="1"/>
      <c r="C144" s="1"/>
    </row>
    <row r="145" spans="1:5" ht="12.75">
      <c r="A145" s="1162"/>
      <c r="B145" s="1163" t="s">
        <v>1222</v>
      </c>
      <c r="C145" s="686" t="s">
        <v>10</v>
      </c>
      <c r="D145" s="1180" t="s">
        <v>1297</v>
      </c>
      <c r="E145" s="1199" t="s">
        <v>1316</v>
      </c>
    </row>
    <row r="146" spans="1:5" ht="12.75">
      <c r="A146" s="500">
        <v>1</v>
      </c>
      <c r="B146" s="234"/>
      <c r="C146" s="234"/>
    </row>
    <row r="147" spans="1:5" ht="12.75">
      <c r="A147" s="500">
        <v>2</v>
      </c>
      <c r="B147" s="234"/>
      <c r="C147" s="234"/>
    </row>
    <row r="148" spans="1:5" ht="12.75">
      <c r="A148" s="500">
        <v>3</v>
      </c>
      <c r="B148" s="234"/>
      <c r="C148" s="234"/>
    </row>
    <row r="149" spans="1:5" ht="12.75">
      <c r="A149" s="500">
        <v>4</v>
      </c>
      <c r="B149" s="234"/>
      <c r="C149" s="234"/>
    </row>
    <row r="150" spans="1:5" ht="12.75">
      <c r="A150" s="500">
        <v>5</v>
      </c>
      <c r="B150" s="234"/>
      <c r="C150" s="234"/>
    </row>
    <row r="151" spans="1:5" ht="12.75">
      <c r="A151" s="500">
        <v>6</v>
      </c>
      <c r="B151" s="234"/>
      <c r="C151" s="234"/>
    </row>
    <row r="152" spans="1:5" ht="12.75">
      <c r="A152" s="500">
        <v>7</v>
      </c>
      <c r="B152" s="234"/>
      <c r="C152" s="234"/>
    </row>
    <row r="153" spans="1:5" ht="12.75">
      <c r="A153" s="500">
        <v>8</v>
      </c>
      <c r="B153" s="234"/>
      <c r="C153" s="234"/>
    </row>
    <row r="154" spans="1:5" ht="12.75">
      <c r="A154" s="500">
        <v>9</v>
      </c>
      <c r="B154" s="234"/>
      <c r="C154" s="234"/>
    </row>
    <row r="155" spans="1:5" ht="12.75">
      <c r="A155" s="500">
        <v>10</v>
      </c>
      <c r="B155" s="234"/>
      <c r="C155" s="234"/>
    </row>
    <row r="156" spans="1:5" ht="12.75">
      <c r="A156" s="234"/>
      <c r="B156" s="234"/>
      <c r="C156" s="234"/>
    </row>
    <row r="157" spans="1:5" ht="12.75">
      <c r="A157" s="1"/>
      <c r="B157" s="1"/>
      <c r="C157" s="1"/>
    </row>
    <row r="158" spans="1:5" ht="12.75">
      <c r="A158" s="1"/>
      <c r="B158" s="1"/>
      <c r="C158" s="1"/>
    </row>
    <row r="159" spans="1:5" ht="12.75">
      <c r="A159" s="139" t="s">
        <v>5</v>
      </c>
      <c r="B159" s="684" t="s">
        <v>1212</v>
      </c>
      <c r="C159" s="686" t="s">
        <v>10</v>
      </c>
      <c r="D159" s="1180" t="s">
        <v>1297</v>
      </c>
      <c r="E159" s="1199" t="s">
        <v>1317</v>
      </c>
    </row>
    <row r="160" spans="1:5" ht="12.75">
      <c r="A160" s="144" t="s">
        <v>114</v>
      </c>
      <c r="B160" s="284"/>
      <c r="C160" s="699"/>
    </row>
    <row r="161" spans="1:5" ht="12.75">
      <c r="A161" s="144" t="s">
        <v>119</v>
      </c>
      <c r="B161" s="1132"/>
      <c r="C161" s="203"/>
    </row>
    <row r="162" spans="1:5" ht="12.75">
      <c r="A162" s="144"/>
      <c r="B162" s="1196"/>
      <c r="C162" s="109"/>
    </row>
    <row r="163" spans="1:5" ht="12.75">
      <c r="A163" s="132"/>
      <c r="B163" s="29"/>
      <c r="C163" s="8"/>
    </row>
    <row r="164" spans="1:5" ht="12.75"/>
    <row r="165" spans="1:5" ht="12.75"/>
    <row r="166" spans="1:5" ht="12.75"/>
    <row r="167" spans="1:5" ht="12.75"/>
    <row r="168" spans="1:5" ht="12.75">
      <c r="A168" s="139" t="s">
        <v>1306</v>
      </c>
      <c r="B168" s="1095" t="s">
        <v>1227</v>
      </c>
      <c r="C168" s="514" t="s">
        <v>10</v>
      </c>
      <c r="D168" s="1180" t="s">
        <v>1297</v>
      </c>
      <c r="E168" s="1199" t="s">
        <v>1320</v>
      </c>
    </row>
    <row r="169" spans="1:5" ht="12.75">
      <c r="A169" s="2" t="s">
        <v>1307</v>
      </c>
      <c r="B169" s="1151" t="s">
        <v>1283</v>
      </c>
      <c r="C169" s="154" t="s">
        <v>1305</v>
      </c>
    </row>
    <row r="170" spans="1:5" ht="12.75">
      <c r="A170" s="49" t="s">
        <v>1304</v>
      </c>
      <c r="B170" s="1132"/>
      <c r="C170" s="455"/>
    </row>
    <row r="171" spans="1:5" ht="12.75">
      <c r="B171" s="1144"/>
    </row>
    <row r="172" spans="1:5" ht="12.75"/>
    <row r="173" spans="1:5" ht="12.75">
      <c r="A173" s="341"/>
      <c r="B173" s="905"/>
      <c r="C173" s="731"/>
    </row>
    <row r="174" spans="1:5" ht="12.75">
      <c r="A174" s="341"/>
      <c r="B174" s="905"/>
      <c r="C174" s="731"/>
    </row>
    <row r="175" spans="1:5" ht="12.75">
      <c r="A175" s="139" t="s">
        <v>1306</v>
      </c>
      <c r="B175" s="1095" t="s">
        <v>1319</v>
      </c>
      <c r="C175" s="514" t="s">
        <v>10</v>
      </c>
      <c r="D175" s="1180" t="s">
        <v>1297</v>
      </c>
      <c r="E175" s="1199" t="s">
        <v>1318</v>
      </c>
    </row>
    <row r="176" spans="1:5" ht="12.75">
      <c r="A176" s="132" t="s">
        <v>1308</v>
      </c>
      <c r="B176" s="1152" t="s">
        <v>1226</v>
      </c>
      <c r="C176" s="154" t="s">
        <v>1295</v>
      </c>
    </row>
    <row r="177" spans="1:17" ht="12.75">
      <c r="A177" s="59" t="s">
        <v>1309</v>
      </c>
      <c r="B177" s="253"/>
      <c r="C177" s="154"/>
    </row>
    <row r="178" spans="1:17" ht="12.75">
      <c r="A178" s="59" t="s">
        <v>1310</v>
      </c>
      <c r="B178" s="253" t="s">
        <v>1284</v>
      </c>
      <c r="C178" s="154" t="s">
        <v>1214</v>
      </c>
    </row>
    <row r="179" spans="1:17" ht="12.75">
      <c r="A179" s="454" t="s">
        <v>1304</v>
      </c>
      <c r="B179" s="1132"/>
      <c r="C179" s="477"/>
    </row>
    <row r="180" spans="1:17" ht="12.75">
      <c r="A180" s="341"/>
      <c r="B180" s="905"/>
      <c r="C180" s="731"/>
    </row>
    <row r="181" spans="1:17" ht="12.75">
      <c r="A181" s="341"/>
      <c r="B181" s="905"/>
      <c r="C181" s="731"/>
    </row>
    <row r="182" spans="1:17" ht="12.75">
      <c r="A182" s="265"/>
      <c r="B182" s="730"/>
      <c r="C182" s="731"/>
    </row>
    <row r="183" spans="1:17" ht="12.75">
      <c r="A183" s="139" t="s">
        <v>1306</v>
      </c>
      <c r="B183" s="191" t="s">
        <v>1230</v>
      </c>
      <c r="C183" s="514" t="s">
        <v>10</v>
      </c>
      <c r="D183" s="1180" t="s">
        <v>1297</v>
      </c>
      <c r="E183" s="1199" t="s">
        <v>1298</v>
      </c>
    </row>
    <row r="184" spans="1:17" ht="12.75">
      <c r="A184" s="132" t="s">
        <v>1311</v>
      </c>
      <c r="B184" s="586"/>
      <c r="C184" s="192"/>
      <c r="Q184" s="681"/>
    </row>
    <row r="185" spans="1:17" ht="12.75">
      <c r="A185" s="132" t="s">
        <v>1312</v>
      </c>
      <c r="B185" s="639" t="s">
        <v>1229</v>
      </c>
      <c r="C185" s="171" t="s">
        <v>1295</v>
      </c>
      <c r="Q185" s="681"/>
    </row>
    <row r="186" spans="1:17" ht="12.75">
      <c r="A186" s="702" t="s">
        <v>1313</v>
      </c>
      <c r="B186" s="1178" t="s">
        <v>1285</v>
      </c>
      <c r="C186" s="570" t="s">
        <v>1295</v>
      </c>
      <c r="Q186" s="681"/>
    </row>
    <row r="187" spans="1:17" ht="12.75">
      <c r="A187" s="132"/>
      <c r="B187" s="181"/>
      <c r="C187" s="109"/>
      <c r="Q187" s="681"/>
    </row>
    <row r="188" spans="1:17" ht="12.75">
      <c r="A188" s="265"/>
      <c r="B188" s="730"/>
      <c r="C188" s="731"/>
      <c r="Q188" s="681"/>
    </row>
    <row r="189" spans="1:17" ht="12.75">
      <c r="A189" s="265"/>
      <c r="B189" s="730"/>
      <c r="C189" s="731"/>
    </row>
    <row r="190" spans="1:17" ht="12.75">
      <c r="A190" s="139" t="s">
        <v>1306</v>
      </c>
      <c r="B190" s="191" t="s">
        <v>1163</v>
      </c>
      <c r="C190" s="514" t="s">
        <v>10</v>
      </c>
      <c r="D190" s="1180" t="s">
        <v>1297</v>
      </c>
      <c r="E190" s="1197">
        <v>761</v>
      </c>
    </row>
    <row r="191" spans="1:17" ht="12.75">
      <c r="A191" s="2" t="s">
        <v>1307</v>
      </c>
      <c r="B191" s="1151" t="s">
        <v>1254</v>
      </c>
      <c r="C191" s="154" t="s">
        <v>1216</v>
      </c>
    </row>
    <row r="192" spans="1:17" ht="12.75">
      <c r="A192" s="49" t="s">
        <v>1304</v>
      </c>
      <c r="B192" s="1151" t="s">
        <v>1254</v>
      </c>
      <c r="C192" s="171" t="s">
        <v>1193</v>
      </c>
    </row>
    <row r="193" spans="1:30" ht="12.75">
      <c r="A193" s="192"/>
      <c r="B193" s="899"/>
    </row>
    <row r="194" spans="1:30" ht="12.75">
      <c r="A194" s="1122"/>
      <c r="B194" s="1123"/>
      <c r="C194" s="1124"/>
      <c r="D194" s="304"/>
      <c r="F194" s="304"/>
      <c r="G194" s="304"/>
      <c r="H194" s="304"/>
      <c r="I194" s="304"/>
      <c r="J194" s="304"/>
      <c r="K194" s="304"/>
      <c r="L194" s="304"/>
      <c r="M194" s="304"/>
      <c r="N194" s="304"/>
      <c r="O194" s="304"/>
      <c r="P194" s="304"/>
      <c r="Q194" s="304"/>
      <c r="R194" s="304"/>
      <c r="S194" s="304"/>
      <c r="T194" s="304"/>
      <c r="U194" s="304"/>
      <c r="V194" s="304"/>
      <c r="W194" s="304"/>
      <c r="X194" s="304"/>
      <c r="Y194" s="304"/>
      <c r="Z194" s="304"/>
      <c r="AA194" s="304"/>
      <c r="AB194" s="304"/>
      <c r="AC194" s="304"/>
      <c r="AD194" s="304"/>
    </row>
    <row r="195" spans="1:30" ht="12.75">
      <c r="A195" s="1122"/>
      <c r="B195" s="1123"/>
      <c r="C195" s="1124"/>
      <c r="D195" s="304"/>
      <c r="F195" s="304"/>
      <c r="G195" s="304"/>
      <c r="H195" s="304"/>
      <c r="I195" s="304"/>
      <c r="J195" s="304"/>
      <c r="K195" s="304"/>
      <c r="L195" s="304"/>
      <c r="M195" s="304"/>
      <c r="N195" s="304"/>
      <c r="O195" s="304"/>
      <c r="P195" s="304"/>
      <c r="Q195" s="304"/>
      <c r="R195" s="304"/>
      <c r="S195" s="304"/>
      <c r="T195" s="304"/>
      <c r="U195" s="304"/>
      <c r="V195" s="304"/>
      <c r="W195" s="304"/>
      <c r="X195" s="304"/>
      <c r="Y195" s="304"/>
      <c r="Z195" s="304"/>
      <c r="AA195" s="304"/>
      <c r="AB195" s="304"/>
      <c r="AC195" s="304"/>
      <c r="AD195" s="304"/>
    </row>
    <row r="196" spans="1:30" ht="12.75">
      <c r="A196" s="139" t="s">
        <v>1306</v>
      </c>
      <c r="B196" s="191" t="s">
        <v>1218</v>
      </c>
      <c r="C196" s="514" t="s">
        <v>10</v>
      </c>
      <c r="D196" s="1180" t="s">
        <v>1297</v>
      </c>
      <c r="E196" s="1197" t="s">
        <v>1324</v>
      </c>
    </row>
    <row r="197" spans="1:30" ht="12.75">
      <c r="A197" s="2" t="s">
        <v>114</v>
      </c>
      <c r="B197" s="1151" t="s">
        <v>1346</v>
      </c>
      <c r="C197" s="154" t="s">
        <v>1219</v>
      </c>
    </row>
    <row r="198" spans="1:30" ht="12.75">
      <c r="A198" s="49" t="s">
        <v>1304</v>
      </c>
      <c r="B198" s="1152" t="s">
        <v>1286</v>
      </c>
      <c r="C198" s="171" t="s">
        <v>1194</v>
      </c>
    </row>
    <row r="199" spans="1:30" ht="12.75">
      <c r="A199" s="192"/>
      <c r="B199" s="899"/>
    </row>
    <row r="200" spans="1:30" ht="12.75">
      <c r="A200" s="1122"/>
      <c r="B200" s="1123"/>
      <c r="C200" s="1124"/>
      <c r="D200" s="304"/>
      <c r="F200" s="304"/>
      <c r="G200" s="304"/>
      <c r="H200" s="304"/>
      <c r="I200" s="304"/>
      <c r="J200" s="304"/>
      <c r="K200" s="304"/>
      <c r="L200" s="304"/>
      <c r="M200" s="304"/>
      <c r="N200" s="304"/>
      <c r="O200" s="304"/>
      <c r="P200" s="304"/>
      <c r="Q200" s="304"/>
      <c r="R200" s="304"/>
      <c r="S200" s="304"/>
      <c r="T200" s="304"/>
      <c r="U200" s="304"/>
      <c r="V200" s="304"/>
      <c r="W200" s="304"/>
      <c r="X200" s="304"/>
      <c r="Y200" s="304"/>
      <c r="Z200" s="304"/>
      <c r="AA200" s="304"/>
      <c r="AB200" s="304"/>
      <c r="AC200" s="304"/>
      <c r="AD200" s="304"/>
    </row>
    <row r="201" spans="1:30" ht="12.75">
      <c r="A201" s="1122"/>
      <c r="B201" s="1123"/>
      <c r="C201" s="1124"/>
      <c r="D201" s="304"/>
      <c r="F201" s="304"/>
      <c r="G201" s="304"/>
      <c r="H201" s="304"/>
      <c r="I201" s="304"/>
      <c r="J201" s="304"/>
      <c r="K201" s="304"/>
      <c r="L201" s="304"/>
      <c r="M201" s="304"/>
      <c r="N201" s="304"/>
      <c r="O201" s="304"/>
      <c r="P201" s="304"/>
      <c r="Q201" s="304"/>
      <c r="R201" s="304"/>
      <c r="S201" s="304"/>
      <c r="T201" s="304"/>
      <c r="U201" s="304"/>
      <c r="V201" s="304"/>
      <c r="W201" s="304"/>
      <c r="X201" s="304"/>
      <c r="Y201" s="304"/>
      <c r="Z201" s="304"/>
      <c r="AA201" s="304"/>
      <c r="AB201" s="304"/>
      <c r="AC201" s="304"/>
      <c r="AD201" s="304"/>
    </row>
    <row r="202" spans="1:30" ht="12.75">
      <c r="A202" s="139" t="s">
        <v>1306</v>
      </c>
      <c r="B202" s="191" t="s">
        <v>1220</v>
      </c>
      <c r="C202" s="514" t="s">
        <v>10</v>
      </c>
      <c r="D202" s="1180" t="s">
        <v>1297</v>
      </c>
      <c r="E202" s="1197" t="s">
        <v>1325</v>
      </c>
      <c r="F202" s="304"/>
      <c r="G202" s="304"/>
      <c r="H202" s="304"/>
      <c r="I202" s="304"/>
      <c r="J202" s="304"/>
      <c r="K202" s="304"/>
      <c r="L202" s="304"/>
      <c r="M202" s="304"/>
      <c r="N202" s="304"/>
      <c r="O202" s="304"/>
      <c r="P202" s="304"/>
      <c r="Q202" s="304"/>
      <c r="R202" s="304"/>
      <c r="S202" s="304"/>
      <c r="T202" s="304"/>
      <c r="U202" s="304"/>
      <c r="V202" s="304"/>
      <c r="W202" s="304"/>
      <c r="X202" s="304"/>
      <c r="Y202" s="304"/>
      <c r="Z202" s="304"/>
      <c r="AA202" s="304"/>
      <c r="AB202" s="304"/>
      <c r="AC202" s="304"/>
      <c r="AD202" s="304"/>
    </row>
    <row r="203" spans="1:30" ht="12.75">
      <c r="A203" s="2" t="s">
        <v>1307</v>
      </c>
      <c r="B203" s="1151" t="s">
        <v>1269</v>
      </c>
      <c r="C203" s="154" t="s">
        <v>1295</v>
      </c>
      <c r="D203" s="304"/>
      <c r="F203" s="304"/>
      <c r="G203" s="304"/>
      <c r="H203" s="304"/>
      <c r="I203" s="304"/>
      <c r="J203" s="304"/>
      <c r="K203" s="304"/>
      <c r="L203" s="304"/>
      <c r="M203" s="304"/>
      <c r="N203" s="304"/>
      <c r="O203" s="304"/>
      <c r="P203" s="304"/>
      <c r="Q203" s="304"/>
      <c r="R203" s="304"/>
      <c r="S203" s="304"/>
      <c r="T203" s="304"/>
      <c r="U203" s="304"/>
      <c r="V203" s="304"/>
      <c r="W203" s="304"/>
      <c r="X203" s="304"/>
      <c r="Y203" s="304"/>
      <c r="Z203" s="304"/>
      <c r="AA203" s="304"/>
      <c r="AB203" s="304"/>
      <c r="AC203" s="304"/>
      <c r="AD203" s="304"/>
    </row>
    <row r="204" spans="1:30" ht="12.75">
      <c r="A204" s="49" t="s">
        <v>1304</v>
      </c>
      <c r="B204" s="1151"/>
      <c r="C204" s="171"/>
      <c r="D204" s="304"/>
      <c r="F204" s="304"/>
      <c r="G204" s="304"/>
      <c r="H204" s="304"/>
      <c r="I204" s="304"/>
      <c r="J204" s="304"/>
      <c r="K204" s="304"/>
      <c r="L204" s="304"/>
      <c r="M204" s="304"/>
      <c r="N204" s="304"/>
      <c r="O204" s="304"/>
      <c r="P204" s="304"/>
      <c r="Q204" s="304"/>
      <c r="R204" s="304"/>
      <c r="S204" s="304"/>
      <c r="T204" s="304"/>
      <c r="U204" s="304"/>
      <c r="V204" s="304"/>
      <c r="W204" s="304"/>
      <c r="X204" s="304"/>
      <c r="Y204" s="304"/>
      <c r="Z204" s="304"/>
      <c r="AA204" s="304"/>
      <c r="AB204" s="304"/>
      <c r="AC204" s="304"/>
      <c r="AD204" s="304"/>
    </row>
    <row r="205" spans="1:30" ht="12.75">
      <c r="A205" s="1122"/>
      <c r="B205" s="1123"/>
      <c r="C205" s="1124"/>
      <c r="D205" s="304"/>
      <c r="F205" s="304"/>
      <c r="G205" s="304"/>
      <c r="H205" s="304"/>
      <c r="I205" s="304"/>
      <c r="J205" s="304"/>
      <c r="K205" s="304"/>
      <c r="L205" s="304"/>
      <c r="M205" s="304"/>
      <c r="N205" s="304"/>
      <c r="O205" s="304"/>
      <c r="P205" s="304"/>
      <c r="Q205" s="304"/>
      <c r="R205" s="304"/>
      <c r="S205" s="304"/>
      <c r="T205" s="304"/>
      <c r="U205" s="304"/>
      <c r="V205" s="304"/>
      <c r="W205" s="304"/>
      <c r="X205" s="304"/>
      <c r="Y205" s="304"/>
      <c r="Z205" s="304"/>
      <c r="AA205" s="304"/>
      <c r="AB205" s="304"/>
      <c r="AC205" s="304"/>
      <c r="AD205" s="304"/>
    </row>
    <row r="206" spans="1:30" ht="12.75">
      <c r="A206" s="1122"/>
      <c r="B206" s="1123"/>
      <c r="C206" s="1124"/>
      <c r="D206" s="304"/>
      <c r="F206" s="304"/>
      <c r="G206" s="304"/>
      <c r="H206" s="304"/>
      <c r="I206" s="304"/>
      <c r="J206" s="304"/>
      <c r="K206" s="304"/>
      <c r="L206" s="304"/>
      <c r="M206" s="304"/>
      <c r="N206" s="304"/>
      <c r="O206" s="304"/>
      <c r="P206" s="304"/>
      <c r="Q206" s="304"/>
      <c r="R206" s="304"/>
      <c r="S206" s="304"/>
      <c r="T206" s="304"/>
      <c r="U206" s="304"/>
      <c r="V206" s="304"/>
      <c r="W206" s="304"/>
      <c r="X206" s="304"/>
      <c r="Y206" s="304"/>
      <c r="Z206" s="304"/>
      <c r="AA206" s="304"/>
      <c r="AB206" s="304"/>
      <c r="AC206" s="304"/>
      <c r="AD206" s="304"/>
    </row>
    <row r="207" spans="1:30" ht="12.75">
      <c r="A207" s="139" t="s">
        <v>5</v>
      </c>
      <c r="B207" s="191" t="s">
        <v>1221</v>
      </c>
      <c r="C207" s="514" t="s">
        <v>10</v>
      </c>
      <c r="D207" s="1180" t="s">
        <v>1297</v>
      </c>
      <c r="E207" s="1197" t="s">
        <v>1326</v>
      </c>
      <c r="F207" s="304"/>
      <c r="G207" s="304"/>
      <c r="H207" s="304"/>
      <c r="I207" s="304"/>
      <c r="J207" s="304"/>
      <c r="K207" s="304"/>
      <c r="L207" s="304"/>
      <c r="M207" s="304"/>
      <c r="N207" s="304"/>
      <c r="O207" s="304"/>
      <c r="P207" s="304"/>
      <c r="Q207" s="304"/>
      <c r="R207" s="304"/>
      <c r="S207" s="304"/>
      <c r="T207" s="304"/>
      <c r="U207" s="304"/>
      <c r="V207" s="304"/>
      <c r="W207" s="304"/>
      <c r="X207" s="304"/>
      <c r="Y207" s="304"/>
      <c r="Z207" s="304"/>
      <c r="AA207" s="304"/>
      <c r="AB207" s="304"/>
      <c r="AC207" s="304"/>
      <c r="AD207" s="304"/>
    </row>
    <row r="208" spans="1:30" ht="12.75">
      <c r="A208" s="132" t="s">
        <v>1307</v>
      </c>
      <c r="B208" s="1151"/>
      <c r="C208" s="154"/>
      <c r="D208" s="304"/>
      <c r="F208" s="304"/>
      <c r="G208" s="304"/>
      <c r="H208" s="304"/>
      <c r="I208" s="304"/>
      <c r="J208" s="304"/>
      <c r="K208" s="304"/>
      <c r="L208" s="304"/>
      <c r="M208" s="304"/>
      <c r="N208" s="304"/>
      <c r="O208" s="304"/>
      <c r="P208" s="304"/>
      <c r="Q208" s="304"/>
      <c r="R208" s="304"/>
      <c r="S208" s="304"/>
      <c r="T208" s="304"/>
      <c r="U208" s="304"/>
      <c r="V208" s="304"/>
      <c r="W208" s="304"/>
      <c r="X208" s="304"/>
      <c r="Y208" s="304"/>
      <c r="Z208" s="304"/>
      <c r="AA208" s="304"/>
      <c r="AB208" s="304"/>
      <c r="AC208" s="304"/>
      <c r="AD208" s="304"/>
    </row>
    <row r="209" spans="1:30" ht="12.75">
      <c r="A209" s="49" t="s">
        <v>1304</v>
      </c>
      <c r="B209" s="1151"/>
      <c r="C209" s="171"/>
      <c r="D209" s="304"/>
      <c r="F209" s="304"/>
      <c r="G209" s="304"/>
      <c r="H209" s="304"/>
      <c r="I209" s="304"/>
      <c r="J209" s="304"/>
      <c r="K209" s="304"/>
      <c r="L209" s="304"/>
      <c r="M209" s="304"/>
      <c r="N209" s="304"/>
      <c r="O209" s="304"/>
      <c r="P209" s="304"/>
      <c r="Q209" s="304"/>
      <c r="R209" s="304"/>
      <c r="S209" s="304"/>
      <c r="T209" s="304"/>
      <c r="U209" s="304"/>
      <c r="V209" s="304"/>
      <c r="W209" s="304"/>
      <c r="X209" s="304"/>
      <c r="Y209" s="304"/>
      <c r="Z209" s="304"/>
      <c r="AA209" s="304"/>
      <c r="AB209" s="304"/>
      <c r="AC209" s="304"/>
      <c r="AD209" s="304"/>
    </row>
    <row r="210" spans="1:30" ht="12.75">
      <c r="A210" s="1122"/>
      <c r="B210" s="1123"/>
      <c r="C210" s="1124"/>
      <c r="D210" s="304"/>
      <c r="F210" s="304"/>
      <c r="G210" s="304"/>
      <c r="H210" s="304"/>
      <c r="I210" s="304"/>
      <c r="J210" s="304"/>
      <c r="K210" s="304"/>
      <c r="L210" s="304"/>
      <c r="M210" s="304"/>
      <c r="N210" s="304"/>
      <c r="O210" s="304"/>
      <c r="P210" s="304"/>
      <c r="Q210" s="304"/>
      <c r="R210" s="304"/>
      <c r="S210" s="304"/>
      <c r="T210" s="304"/>
      <c r="U210" s="304"/>
      <c r="V210" s="304"/>
      <c r="W210" s="304"/>
      <c r="X210" s="304"/>
      <c r="Y210" s="304"/>
      <c r="Z210" s="304"/>
      <c r="AA210" s="304"/>
      <c r="AB210" s="304"/>
      <c r="AC210" s="304"/>
      <c r="AD210" s="304"/>
    </row>
    <row r="211" spans="1:30" ht="12.75">
      <c r="A211" s="1122"/>
      <c r="B211" s="1123"/>
      <c r="C211" s="1124"/>
      <c r="D211" s="304"/>
      <c r="F211" s="304"/>
      <c r="G211" s="304"/>
      <c r="H211" s="304"/>
      <c r="I211" s="304"/>
      <c r="J211" s="304"/>
      <c r="K211" s="304"/>
      <c r="L211" s="304"/>
      <c r="M211" s="304"/>
      <c r="N211" s="304"/>
      <c r="O211" s="304"/>
      <c r="P211" s="304"/>
      <c r="Q211" s="304"/>
      <c r="R211" s="304"/>
      <c r="S211" s="304"/>
      <c r="T211" s="304"/>
      <c r="U211" s="304"/>
      <c r="V211" s="304"/>
      <c r="W211" s="304"/>
      <c r="X211" s="304"/>
      <c r="Y211" s="304"/>
      <c r="Z211" s="304"/>
      <c r="AA211" s="304"/>
      <c r="AB211" s="304"/>
      <c r="AC211" s="304"/>
      <c r="AD211" s="304"/>
    </row>
    <row r="212" spans="1:30" ht="12.75">
      <c r="A212" s="139" t="s">
        <v>5</v>
      </c>
      <c r="B212" s="1164" t="s">
        <v>1224</v>
      </c>
      <c r="C212" s="514" t="s">
        <v>10</v>
      </c>
      <c r="D212" s="1180" t="s">
        <v>1297</v>
      </c>
      <c r="E212" s="1197" t="s">
        <v>1327</v>
      </c>
      <c r="F212" s="304"/>
      <c r="G212" s="304"/>
      <c r="H212" s="304"/>
      <c r="I212" s="304"/>
      <c r="J212" s="304"/>
      <c r="K212" s="304"/>
      <c r="L212" s="304"/>
      <c r="M212" s="304"/>
      <c r="N212" s="304"/>
      <c r="O212" s="304"/>
      <c r="P212" s="304"/>
      <c r="Q212" s="304"/>
      <c r="R212" s="304"/>
      <c r="S212" s="304"/>
      <c r="T212" s="304"/>
      <c r="U212" s="304"/>
      <c r="V212" s="304"/>
      <c r="W212" s="304"/>
      <c r="X212" s="304"/>
      <c r="Y212" s="304"/>
      <c r="Z212" s="304"/>
      <c r="AA212" s="304"/>
      <c r="AB212" s="304"/>
      <c r="AC212" s="304"/>
      <c r="AD212" s="304"/>
    </row>
    <row r="213" spans="1:30" ht="12.75">
      <c r="A213" s="132" t="s">
        <v>1307</v>
      </c>
      <c r="B213" s="1151" t="s">
        <v>1346</v>
      </c>
      <c r="C213" s="154"/>
      <c r="D213" s="304"/>
      <c r="F213" s="304"/>
      <c r="G213" s="304"/>
      <c r="H213" s="304"/>
      <c r="I213" s="304"/>
      <c r="J213" s="304"/>
      <c r="K213" s="304"/>
      <c r="L213" s="304"/>
      <c r="M213" s="304"/>
      <c r="N213" s="304"/>
      <c r="O213" s="304"/>
      <c r="P213" s="304"/>
      <c r="Q213" s="304"/>
      <c r="R213" s="304"/>
      <c r="S213" s="304"/>
      <c r="T213" s="304"/>
      <c r="U213" s="304"/>
      <c r="V213" s="304"/>
      <c r="W213" s="304"/>
      <c r="X213" s="304"/>
      <c r="Y213" s="304"/>
      <c r="Z213" s="304"/>
      <c r="AA213" s="304"/>
      <c r="AB213" s="304"/>
      <c r="AC213" s="304"/>
      <c r="AD213" s="304"/>
    </row>
    <row r="214" spans="1:30" ht="12.75">
      <c r="A214" s="49" t="s">
        <v>1304</v>
      </c>
      <c r="B214" s="1151"/>
      <c r="C214" s="171"/>
      <c r="D214" s="304"/>
      <c r="F214" s="304"/>
      <c r="G214" s="304"/>
      <c r="H214" s="304"/>
      <c r="I214" s="304"/>
      <c r="J214" s="304"/>
      <c r="K214" s="304"/>
      <c r="L214" s="304"/>
      <c r="M214" s="304"/>
      <c r="N214" s="304"/>
      <c r="O214" s="304"/>
      <c r="P214" s="304"/>
      <c r="Q214" s="304"/>
      <c r="R214" s="304"/>
      <c r="S214" s="304"/>
      <c r="T214" s="304"/>
      <c r="U214" s="304"/>
      <c r="V214" s="304"/>
      <c r="W214" s="304"/>
      <c r="X214" s="304"/>
      <c r="Y214" s="304"/>
      <c r="Z214" s="304"/>
      <c r="AA214" s="304"/>
      <c r="AB214" s="304"/>
      <c r="AC214" s="304"/>
      <c r="AD214" s="304"/>
    </row>
    <row r="215" spans="1:30" ht="12.75">
      <c r="A215" s="1122"/>
      <c r="B215" s="1123"/>
      <c r="C215" s="1124"/>
      <c r="D215" s="304"/>
      <c r="F215" s="304"/>
      <c r="G215" s="304"/>
      <c r="H215" s="304"/>
      <c r="I215" s="304"/>
      <c r="J215" s="304"/>
      <c r="K215" s="304"/>
      <c r="L215" s="304"/>
      <c r="M215" s="304"/>
      <c r="N215" s="304"/>
      <c r="O215" s="304"/>
      <c r="P215" s="304"/>
      <c r="Q215" s="304"/>
      <c r="R215" s="304"/>
      <c r="S215" s="304"/>
      <c r="T215" s="304"/>
      <c r="U215" s="304"/>
      <c r="V215" s="304"/>
      <c r="W215" s="304"/>
      <c r="X215" s="304"/>
      <c r="Y215" s="304"/>
      <c r="Z215" s="304"/>
      <c r="AA215" s="304"/>
      <c r="AB215" s="304"/>
      <c r="AC215" s="304"/>
      <c r="AD215" s="304"/>
    </row>
    <row r="216" spans="1:30" ht="12.75">
      <c r="A216" s="1122"/>
      <c r="B216" s="1123"/>
      <c r="C216" s="1124"/>
      <c r="D216" s="304"/>
      <c r="F216" s="304"/>
      <c r="G216" s="304"/>
      <c r="H216" s="304"/>
      <c r="I216" s="304"/>
      <c r="J216" s="304"/>
      <c r="K216" s="304"/>
      <c r="L216" s="304"/>
      <c r="M216" s="304"/>
      <c r="N216" s="304"/>
      <c r="O216" s="304"/>
      <c r="P216" s="304"/>
      <c r="Q216" s="304"/>
      <c r="R216" s="304"/>
      <c r="S216" s="304"/>
      <c r="T216" s="304"/>
      <c r="U216" s="304"/>
      <c r="V216" s="304"/>
      <c r="W216" s="304"/>
      <c r="X216" s="304"/>
      <c r="Y216" s="304"/>
      <c r="Z216" s="304"/>
      <c r="AA216" s="304"/>
      <c r="AB216" s="304"/>
      <c r="AC216" s="304"/>
      <c r="AD216" s="304"/>
    </row>
    <row r="217" spans="1:30" ht="12.75">
      <c r="A217" s="139" t="s">
        <v>5</v>
      </c>
      <c r="B217" s="1164" t="s">
        <v>1225</v>
      </c>
      <c r="C217" s="514" t="s">
        <v>10</v>
      </c>
      <c r="D217" s="1180" t="s">
        <v>1297</v>
      </c>
      <c r="E217" s="1197" t="s">
        <v>1328</v>
      </c>
      <c r="F217" s="304"/>
      <c r="G217" s="304"/>
      <c r="H217" s="304"/>
      <c r="I217" s="304"/>
      <c r="J217" s="304"/>
      <c r="K217" s="304"/>
      <c r="L217" s="304"/>
      <c r="M217" s="304"/>
      <c r="N217" s="304"/>
      <c r="O217" s="304"/>
      <c r="P217" s="304"/>
      <c r="Q217" s="304"/>
      <c r="R217" s="304"/>
      <c r="S217" s="304"/>
      <c r="T217" s="304"/>
      <c r="U217" s="304"/>
      <c r="V217" s="304"/>
      <c r="W217" s="304"/>
      <c r="X217" s="304"/>
      <c r="Y217" s="304"/>
      <c r="Z217" s="304"/>
      <c r="AA217" s="304"/>
      <c r="AB217" s="304"/>
      <c r="AC217" s="304"/>
      <c r="AD217" s="304"/>
    </row>
    <row r="218" spans="1:30" ht="12.75">
      <c r="A218" s="132" t="s">
        <v>1307</v>
      </c>
      <c r="B218" s="1151"/>
      <c r="C218" s="154"/>
      <c r="D218" s="304"/>
      <c r="F218" s="304"/>
      <c r="G218" s="304"/>
      <c r="H218" s="304"/>
      <c r="I218" s="304"/>
      <c r="J218" s="304"/>
      <c r="K218" s="304"/>
      <c r="L218" s="304"/>
      <c r="M218" s="304"/>
      <c r="N218" s="304"/>
      <c r="O218" s="304"/>
      <c r="P218" s="304"/>
      <c r="Q218" s="304"/>
      <c r="R218" s="304"/>
      <c r="S218" s="304"/>
      <c r="T218" s="304"/>
      <c r="U218" s="304"/>
      <c r="V218" s="304"/>
      <c r="W218" s="304"/>
      <c r="X218" s="304"/>
      <c r="Y218" s="304"/>
      <c r="Z218" s="304"/>
      <c r="AA218" s="304"/>
      <c r="AB218" s="304"/>
      <c r="AC218" s="304"/>
      <c r="AD218" s="304"/>
    </row>
    <row r="219" spans="1:30" ht="12.75">
      <c r="A219" s="49" t="s">
        <v>1304</v>
      </c>
      <c r="B219" s="1151" t="s">
        <v>1346</v>
      </c>
      <c r="C219" s="154" t="s">
        <v>1219</v>
      </c>
      <c r="D219" s="304"/>
      <c r="F219" s="304"/>
      <c r="G219" s="304"/>
      <c r="H219" s="304"/>
      <c r="I219" s="304"/>
      <c r="J219" s="304"/>
      <c r="K219" s="304"/>
      <c r="L219" s="304"/>
      <c r="M219" s="304"/>
      <c r="N219" s="304"/>
      <c r="O219" s="304"/>
      <c r="P219" s="304"/>
      <c r="Q219" s="304"/>
      <c r="R219" s="304"/>
      <c r="S219" s="304"/>
      <c r="T219" s="304"/>
      <c r="U219" s="304"/>
      <c r="V219" s="304"/>
      <c r="W219" s="304"/>
      <c r="X219" s="304"/>
      <c r="Y219" s="304"/>
      <c r="Z219" s="304"/>
      <c r="AA219" s="304"/>
      <c r="AB219" s="304"/>
      <c r="AC219" s="304"/>
      <c r="AD219" s="304"/>
    </row>
    <row r="220" spans="1:30" ht="12.75">
      <c r="A220" s="192"/>
      <c r="B220" s="899"/>
      <c r="D220" s="304"/>
      <c r="F220" s="304"/>
      <c r="G220" s="304"/>
      <c r="H220" s="304"/>
      <c r="I220" s="304"/>
      <c r="J220" s="304"/>
      <c r="K220" s="304"/>
      <c r="L220" s="304"/>
      <c r="M220" s="304"/>
      <c r="N220" s="304"/>
      <c r="O220" s="304"/>
      <c r="P220" s="304"/>
      <c r="Q220" s="304"/>
      <c r="R220" s="304"/>
      <c r="S220" s="304"/>
      <c r="T220" s="304"/>
      <c r="U220" s="304"/>
      <c r="V220" s="304"/>
      <c r="W220" s="304"/>
      <c r="X220" s="304"/>
      <c r="Y220" s="304"/>
      <c r="Z220" s="304"/>
      <c r="AA220" s="304"/>
      <c r="AB220" s="304"/>
      <c r="AC220" s="304"/>
      <c r="AD220" s="304"/>
    </row>
    <row r="221" spans="1:30" ht="12.75">
      <c r="A221" s="1122"/>
      <c r="B221" s="1123"/>
      <c r="C221" s="1124"/>
      <c r="D221" s="304"/>
      <c r="F221" s="304"/>
      <c r="G221" s="304"/>
      <c r="H221" s="304"/>
      <c r="I221" s="304"/>
      <c r="J221" s="304"/>
      <c r="K221" s="304"/>
      <c r="L221" s="304"/>
      <c r="M221" s="304"/>
      <c r="N221" s="304"/>
      <c r="O221" s="304"/>
      <c r="P221" s="304"/>
      <c r="Q221" s="304"/>
      <c r="R221" s="304"/>
      <c r="S221" s="304"/>
      <c r="T221" s="304"/>
      <c r="U221" s="304"/>
      <c r="V221" s="304"/>
      <c r="W221" s="304"/>
      <c r="X221" s="304"/>
      <c r="Y221" s="304"/>
      <c r="Z221" s="304"/>
      <c r="AA221" s="304"/>
      <c r="AB221" s="304"/>
      <c r="AC221" s="304"/>
      <c r="AD221" s="304"/>
    </row>
    <row r="222" spans="1:30" ht="12.75">
      <c r="A222" s="1122"/>
      <c r="B222" s="1123"/>
      <c r="C222" s="1124"/>
      <c r="D222" s="304"/>
      <c r="F222" s="304"/>
      <c r="G222" s="304"/>
      <c r="H222" s="304"/>
      <c r="I222" s="304"/>
      <c r="J222" s="304"/>
      <c r="K222" s="304"/>
      <c r="L222" s="304"/>
      <c r="M222" s="304"/>
      <c r="N222" s="304"/>
      <c r="O222" s="304"/>
      <c r="P222" s="304"/>
      <c r="Q222" s="304"/>
      <c r="R222" s="304"/>
      <c r="S222" s="304"/>
      <c r="T222" s="304"/>
      <c r="U222" s="304"/>
      <c r="V222" s="304"/>
      <c r="W222" s="304"/>
      <c r="X222" s="304"/>
      <c r="Y222" s="304"/>
      <c r="Z222" s="304"/>
      <c r="AA222" s="304"/>
      <c r="AB222" s="304"/>
      <c r="AC222" s="304"/>
      <c r="AD222" s="304"/>
    </row>
    <row r="223" spans="1:30" ht="12.75">
      <c r="A223" s="139" t="s">
        <v>5</v>
      </c>
      <c r="B223" s="1164" t="s">
        <v>1228</v>
      </c>
      <c r="C223" s="514" t="s">
        <v>10</v>
      </c>
      <c r="D223" s="1180" t="s">
        <v>1297</v>
      </c>
      <c r="E223" s="1197" t="s">
        <v>1329</v>
      </c>
      <c r="F223" s="304"/>
      <c r="G223" s="304"/>
      <c r="H223" s="304"/>
      <c r="I223" s="304"/>
      <c r="J223" s="304"/>
      <c r="K223" s="304"/>
      <c r="L223" s="304"/>
      <c r="M223" s="304"/>
      <c r="N223" s="304"/>
      <c r="O223" s="304"/>
      <c r="P223" s="304"/>
      <c r="Q223" s="304"/>
      <c r="R223" s="304"/>
      <c r="S223" s="304"/>
      <c r="T223" s="304"/>
      <c r="U223" s="304"/>
      <c r="V223" s="304"/>
      <c r="W223" s="304"/>
      <c r="X223" s="304"/>
      <c r="Y223" s="304"/>
      <c r="Z223" s="304"/>
      <c r="AA223" s="304"/>
      <c r="AB223" s="304"/>
      <c r="AC223" s="304"/>
      <c r="AD223" s="304"/>
    </row>
    <row r="224" spans="1:30" ht="12.75">
      <c r="A224" s="132" t="s">
        <v>1307</v>
      </c>
      <c r="B224" s="1151" t="s">
        <v>1346</v>
      </c>
      <c r="C224" s="154" t="s">
        <v>1219</v>
      </c>
      <c r="D224" s="304"/>
      <c r="F224" s="304"/>
      <c r="G224" s="304"/>
      <c r="H224" s="304"/>
      <c r="I224" s="304"/>
      <c r="J224" s="304"/>
      <c r="K224" s="304"/>
      <c r="L224" s="304"/>
      <c r="M224" s="304"/>
      <c r="N224" s="304"/>
      <c r="O224" s="304"/>
      <c r="P224" s="304"/>
      <c r="Q224" s="304"/>
      <c r="R224" s="304"/>
      <c r="S224" s="304"/>
      <c r="T224" s="304"/>
      <c r="U224" s="304"/>
      <c r="V224" s="304"/>
      <c r="W224" s="304"/>
      <c r="X224" s="304"/>
      <c r="Y224" s="304"/>
      <c r="Z224" s="304"/>
      <c r="AA224" s="304"/>
      <c r="AB224" s="304"/>
      <c r="AC224" s="304"/>
      <c r="AD224" s="304"/>
    </row>
    <row r="225" spans="1:30" ht="12.75">
      <c r="A225" s="49" t="s">
        <v>1304</v>
      </c>
      <c r="B225" s="1151"/>
      <c r="C225" s="171"/>
      <c r="D225" s="304"/>
      <c r="F225" s="304"/>
      <c r="G225" s="304"/>
      <c r="H225" s="304"/>
      <c r="I225" s="304"/>
      <c r="J225" s="304"/>
      <c r="K225" s="304"/>
      <c r="L225" s="304"/>
      <c r="M225" s="304"/>
      <c r="N225" s="304"/>
      <c r="O225" s="304"/>
      <c r="P225" s="304"/>
      <c r="Q225" s="304"/>
      <c r="R225" s="304"/>
      <c r="S225" s="304"/>
      <c r="T225" s="304"/>
      <c r="U225" s="304"/>
      <c r="V225" s="304"/>
      <c r="W225" s="304"/>
      <c r="X225" s="304"/>
      <c r="Y225" s="304"/>
      <c r="Z225" s="304"/>
      <c r="AA225" s="304"/>
      <c r="AB225" s="304"/>
      <c r="AC225" s="304"/>
      <c r="AD225" s="304"/>
    </row>
    <row r="226" spans="1:30" ht="12.75">
      <c r="A226" s="192"/>
      <c r="B226" s="899"/>
      <c r="D226" s="304"/>
      <c r="F226" s="304"/>
      <c r="G226" s="304"/>
      <c r="H226" s="304"/>
      <c r="I226" s="304"/>
      <c r="J226" s="304"/>
      <c r="K226" s="304"/>
      <c r="L226" s="304"/>
      <c r="M226" s="304"/>
      <c r="N226" s="304"/>
      <c r="O226" s="304"/>
      <c r="P226" s="304"/>
      <c r="Q226" s="304"/>
      <c r="R226" s="304"/>
      <c r="S226" s="304"/>
      <c r="T226" s="304"/>
      <c r="U226" s="304"/>
      <c r="V226" s="304"/>
      <c r="W226" s="304"/>
      <c r="X226" s="304"/>
      <c r="Y226" s="304"/>
      <c r="Z226" s="304"/>
      <c r="AA226" s="304"/>
      <c r="AB226" s="304"/>
      <c r="AC226" s="304"/>
      <c r="AD226" s="304"/>
    </row>
    <row r="227" spans="1:30" ht="12.75">
      <c r="A227" s="1122"/>
      <c r="B227" s="1123"/>
      <c r="C227" s="1124"/>
      <c r="D227" s="304"/>
      <c r="F227" s="304"/>
      <c r="G227" s="304"/>
      <c r="H227" s="304"/>
      <c r="I227" s="304"/>
      <c r="J227" s="304"/>
      <c r="K227" s="304"/>
      <c r="L227" s="304"/>
      <c r="M227" s="304"/>
      <c r="N227" s="304"/>
      <c r="O227" s="304"/>
      <c r="P227" s="304"/>
      <c r="Q227" s="304"/>
      <c r="R227" s="304"/>
      <c r="S227" s="304"/>
      <c r="T227" s="304"/>
      <c r="U227" s="304"/>
      <c r="V227" s="304"/>
      <c r="W227" s="304"/>
      <c r="X227" s="304"/>
      <c r="Y227" s="304"/>
      <c r="Z227" s="304"/>
      <c r="AA227" s="304"/>
      <c r="AB227" s="304"/>
      <c r="AC227" s="304"/>
      <c r="AD227" s="304"/>
    </row>
    <row r="228" spans="1:30" ht="12.75">
      <c r="A228" s="1122"/>
      <c r="B228" s="1123"/>
      <c r="C228" s="1124"/>
      <c r="D228" s="304"/>
      <c r="F228" s="304"/>
      <c r="G228" s="304"/>
      <c r="H228" s="304"/>
      <c r="I228" s="304"/>
      <c r="J228" s="304"/>
      <c r="K228" s="304"/>
      <c r="L228" s="304"/>
      <c r="M228" s="304"/>
      <c r="N228" s="304"/>
      <c r="O228" s="304"/>
      <c r="P228" s="304"/>
      <c r="Q228" s="304"/>
      <c r="R228" s="304"/>
      <c r="S228" s="304"/>
      <c r="T228" s="304"/>
      <c r="U228" s="304"/>
      <c r="V228" s="304"/>
      <c r="W228" s="304"/>
      <c r="X228" s="304"/>
      <c r="Y228" s="304"/>
      <c r="Z228" s="304"/>
      <c r="AA228" s="304"/>
      <c r="AB228" s="304"/>
      <c r="AC228" s="304"/>
      <c r="AD228" s="304"/>
    </row>
    <row r="229" spans="1:30" ht="25.5">
      <c r="A229" s="139" t="s">
        <v>5</v>
      </c>
      <c r="B229" s="1164" t="s">
        <v>1231</v>
      </c>
      <c r="C229" s="514" t="s">
        <v>10</v>
      </c>
      <c r="D229" s="1180" t="s">
        <v>1297</v>
      </c>
      <c r="E229" s="1197" t="s">
        <v>1330</v>
      </c>
      <c r="F229" s="304"/>
      <c r="G229" s="304"/>
      <c r="H229" s="304"/>
      <c r="I229" s="304"/>
      <c r="J229" s="304"/>
      <c r="K229" s="304"/>
      <c r="L229" s="304"/>
      <c r="M229" s="304"/>
      <c r="N229" s="304"/>
      <c r="O229" s="304"/>
      <c r="P229" s="304"/>
      <c r="Q229" s="304"/>
      <c r="R229" s="304"/>
      <c r="S229" s="304"/>
      <c r="T229" s="304"/>
      <c r="U229" s="304"/>
      <c r="V229" s="304"/>
      <c r="W229" s="304"/>
      <c r="X229" s="304"/>
      <c r="Y229" s="304"/>
      <c r="Z229" s="304"/>
      <c r="AA229" s="304"/>
      <c r="AB229" s="304"/>
      <c r="AC229" s="304"/>
      <c r="AD229" s="304"/>
    </row>
    <row r="230" spans="1:30" ht="12.75">
      <c r="A230" s="132" t="s">
        <v>1307</v>
      </c>
      <c r="B230" s="1151" t="s">
        <v>1238</v>
      </c>
      <c r="C230" s="154"/>
      <c r="D230" s="304"/>
      <c r="F230" s="304"/>
      <c r="G230" s="304"/>
      <c r="H230" s="304"/>
      <c r="I230" s="304"/>
      <c r="J230" s="304"/>
      <c r="K230" s="304"/>
      <c r="L230" s="304"/>
      <c r="M230" s="304"/>
      <c r="N230" s="304"/>
      <c r="O230" s="304"/>
      <c r="P230" s="304"/>
      <c r="Q230" s="304"/>
      <c r="R230" s="304"/>
      <c r="S230" s="304"/>
      <c r="T230" s="304"/>
      <c r="U230" s="304"/>
      <c r="V230" s="304"/>
      <c r="W230" s="304"/>
      <c r="X230" s="304"/>
      <c r="Y230" s="304"/>
      <c r="Z230" s="304"/>
      <c r="AA230" s="304"/>
      <c r="AB230" s="304"/>
      <c r="AC230" s="304"/>
      <c r="AD230" s="304"/>
    </row>
    <row r="231" spans="1:30" ht="12.75">
      <c r="A231" s="49" t="s">
        <v>1304</v>
      </c>
      <c r="B231" s="1151" t="s">
        <v>1238</v>
      </c>
      <c r="C231" s="171"/>
      <c r="D231" s="304"/>
      <c r="F231" s="304"/>
      <c r="G231" s="304"/>
      <c r="H231" s="304"/>
      <c r="I231" s="304"/>
      <c r="J231" s="304"/>
      <c r="K231" s="304"/>
      <c r="L231" s="304"/>
      <c r="M231" s="304"/>
      <c r="N231" s="304"/>
      <c r="O231" s="304"/>
      <c r="P231" s="304"/>
      <c r="Q231" s="304"/>
      <c r="R231" s="304"/>
      <c r="S231" s="304"/>
      <c r="T231" s="304"/>
      <c r="U231" s="304"/>
      <c r="V231" s="304"/>
      <c r="W231" s="304"/>
      <c r="X231" s="304"/>
      <c r="Y231" s="304"/>
      <c r="Z231" s="304"/>
      <c r="AA231" s="304"/>
      <c r="AB231" s="304"/>
      <c r="AC231" s="304"/>
      <c r="AD231" s="304"/>
    </row>
    <row r="232" spans="1:30" ht="12.75">
      <c r="A232" s="192"/>
      <c r="B232" s="899"/>
      <c r="D232" s="304"/>
      <c r="F232" s="304"/>
      <c r="G232" s="304"/>
      <c r="H232" s="304"/>
      <c r="I232" s="304"/>
      <c r="J232" s="304"/>
      <c r="K232" s="304"/>
      <c r="L232" s="304"/>
      <c r="M232" s="304"/>
      <c r="N232" s="304"/>
      <c r="O232" s="304"/>
      <c r="P232" s="304"/>
      <c r="Q232" s="304"/>
      <c r="R232" s="304"/>
      <c r="S232" s="304"/>
      <c r="T232" s="304"/>
      <c r="U232" s="304"/>
      <c r="V232" s="304"/>
      <c r="W232" s="304"/>
      <c r="X232" s="304"/>
      <c r="Y232" s="304"/>
      <c r="Z232" s="304"/>
      <c r="AA232" s="304"/>
      <c r="AB232" s="304"/>
      <c r="AC232" s="304"/>
      <c r="AD232" s="304"/>
    </row>
    <row r="233" spans="1:30" ht="14.25">
      <c r="A233" s="1125"/>
      <c r="B233" s="681"/>
      <c r="C233" s="681"/>
    </row>
    <row r="234" spans="1:30" ht="14.25">
      <c r="A234" s="1125"/>
      <c r="B234" s="681"/>
      <c r="C234" s="681"/>
    </row>
    <row r="235" spans="1:30" ht="25.5">
      <c r="A235" s="139" t="s">
        <v>5</v>
      </c>
      <c r="B235" s="1164" t="s">
        <v>1232</v>
      </c>
      <c r="C235" s="514" t="s">
        <v>10</v>
      </c>
      <c r="D235" s="1180" t="s">
        <v>1297</v>
      </c>
      <c r="E235" s="1197" t="s">
        <v>1331</v>
      </c>
    </row>
    <row r="236" spans="1:30" ht="12.75">
      <c r="A236" s="132" t="s">
        <v>1307</v>
      </c>
      <c r="B236" s="1151" t="s">
        <v>1346</v>
      </c>
      <c r="C236" s="154"/>
    </row>
    <row r="237" spans="1:30" ht="12.75">
      <c r="A237" s="49" t="s">
        <v>1304</v>
      </c>
      <c r="B237" s="1165" t="s">
        <v>1346</v>
      </c>
      <c r="C237" s="1166" t="s">
        <v>1219</v>
      </c>
    </row>
    <row r="238" spans="1:30" ht="14.25">
      <c r="A238" s="1125"/>
      <c r="B238" s="681"/>
      <c r="C238" s="681"/>
    </row>
    <row r="239" spans="1:30" ht="14.25">
      <c r="A239" s="1125"/>
      <c r="B239" s="681"/>
      <c r="C239" s="681"/>
    </row>
    <row r="240" spans="1:30" ht="12.75">
      <c r="A240" s="139" t="s">
        <v>5</v>
      </c>
      <c r="B240" s="1164" t="s">
        <v>1233</v>
      </c>
      <c r="C240" s="514" t="s">
        <v>10</v>
      </c>
      <c r="D240" s="1180" t="s">
        <v>1297</v>
      </c>
      <c r="E240" s="1197" t="s">
        <v>1332</v>
      </c>
    </row>
    <row r="241" spans="1:5" ht="12.75">
      <c r="A241" s="132" t="s">
        <v>1307</v>
      </c>
      <c r="B241" s="1151" t="s">
        <v>1346</v>
      </c>
      <c r="C241" s="154"/>
    </row>
    <row r="242" spans="1:5" ht="12.75">
      <c r="A242" s="49" t="s">
        <v>1304</v>
      </c>
      <c r="B242" s="1151"/>
      <c r="C242" s="171"/>
    </row>
    <row r="243" spans="1:5" ht="12.75">
      <c r="A243" s="192"/>
      <c r="B243" s="899"/>
    </row>
    <row r="244" spans="1:5" ht="14.25">
      <c r="A244" s="1125"/>
      <c r="B244" s="681"/>
      <c r="C244" s="681"/>
    </row>
    <row r="245" spans="1:5" ht="14.25">
      <c r="A245" s="1125"/>
      <c r="B245" s="681"/>
      <c r="C245" s="681"/>
    </row>
    <row r="246" spans="1:5" ht="12.75">
      <c r="A246" s="139" t="s">
        <v>5</v>
      </c>
      <c r="B246" s="1164" t="s">
        <v>1234</v>
      </c>
      <c r="C246" s="514" t="s">
        <v>10</v>
      </c>
      <c r="D246" s="1180" t="s">
        <v>1297</v>
      </c>
      <c r="E246" s="1197" t="s">
        <v>1333</v>
      </c>
    </row>
    <row r="247" spans="1:5" ht="12.75">
      <c r="A247" s="132" t="s">
        <v>1307</v>
      </c>
      <c r="B247" s="1151" t="s">
        <v>1346</v>
      </c>
      <c r="C247" s="154"/>
    </row>
    <row r="248" spans="1:5" ht="12.75">
      <c r="A248" s="49" t="s">
        <v>1304</v>
      </c>
      <c r="B248" s="1151"/>
      <c r="C248" s="171"/>
    </row>
    <row r="249" spans="1:5" ht="12.75">
      <c r="A249" s="192"/>
      <c r="B249" s="899"/>
    </row>
    <row r="250" spans="1:5" ht="14.25">
      <c r="A250" s="1125"/>
      <c r="B250" s="681"/>
      <c r="C250" s="681"/>
    </row>
    <row r="251" spans="1:5" ht="14.25">
      <c r="A251" s="1125"/>
      <c r="B251" s="681"/>
      <c r="C251" s="681"/>
    </row>
    <row r="252" spans="1:5" ht="12.75">
      <c r="A252" s="139" t="s">
        <v>5</v>
      </c>
      <c r="B252" s="1164" t="s">
        <v>1235</v>
      </c>
      <c r="C252" s="514" t="s">
        <v>10</v>
      </c>
      <c r="D252" s="1180" t="s">
        <v>1297</v>
      </c>
      <c r="E252" s="1197" t="s">
        <v>1334</v>
      </c>
    </row>
    <row r="253" spans="1:5" ht="12.75">
      <c r="A253" s="132" t="s">
        <v>1307</v>
      </c>
      <c r="B253" s="1151" t="s">
        <v>1346</v>
      </c>
      <c r="C253" s="154"/>
    </row>
    <row r="254" spans="1:5" ht="12.75">
      <c r="A254" s="49" t="s">
        <v>1304</v>
      </c>
      <c r="B254" s="1151"/>
      <c r="C254" s="171"/>
    </row>
    <row r="255" spans="1:5" ht="12.75">
      <c r="A255" s="192"/>
      <c r="B255" s="899"/>
    </row>
    <row r="256" spans="1:5" ht="14.25">
      <c r="A256" s="1125"/>
      <c r="B256" s="681"/>
      <c r="C256" s="681"/>
    </row>
    <row r="257" spans="1:30" ht="14.25">
      <c r="A257" s="1125"/>
      <c r="B257" s="681"/>
      <c r="C257" s="681"/>
    </row>
    <row r="258" spans="1:30" ht="12.75">
      <c r="A258" s="139" t="s">
        <v>5</v>
      </c>
      <c r="B258" s="1164" t="s">
        <v>1236</v>
      </c>
      <c r="C258" s="514" t="s">
        <v>10</v>
      </c>
      <c r="D258" s="1180" t="s">
        <v>1297</v>
      </c>
      <c r="E258" s="1197" t="s">
        <v>1335</v>
      </c>
    </row>
    <row r="259" spans="1:30" ht="12.75">
      <c r="A259" s="132" t="s">
        <v>1307</v>
      </c>
      <c r="B259" s="1151"/>
      <c r="C259" s="154"/>
    </row>
    <row r="260" spans="1:30" ht="12.75">
      <c r="A260" s="49" t="s">
        <v>1304</v>
      </c>
      <c r="B260" s="1152" t="s">
        <v>1346</v>
      </c>
      <c r="C260" s="171"/>
    </row>
    <row r="261" spans="1:30" ht="12.75">
      <c r="A261" s="192"/>
      <c r="B261" s="899"/>
    </row>
    <row r="262" spans="1:30" ht="12.75">
      <c r="A262" s="1122"/>
      <c r="B262" s="1123"/>
      <c r="C262" s="1124"/>
      <c r="D262" s="304"/>
      <c r="F262" s="304"/>
      <c r="G262" s="304"/>
      <c r="H262" s="304"/>
      <c r="I262" s="304"/>
      <c r="J262" s="304"/>
      <c r="K262" s="304"/>
      <c r="L262" s="304"/>
      <c r="M262" s="304"/>
      <c r="N262" s="304"/>
      <c r="O262" s="304"/>
      <c r="P262" s="304"/>
      <c r="Q262" s="304"/>
      <c r="R262" s="304"/>
      <c r="S262" s="304"/>
      <c r="T262" s="304"/>
      <c r="U262" s="304"/>
      <c r="V262" s="304"/>
      <c r="W262" s="304"/>
      <c r="X262" s="304"/>
      <c r="Y262" s="304"/>
      <c r="Z262" s="304"/>
      <c r="AA262" s="304"/>
      <c r="AB262" s="304"/>
      <c r="AC262" s="304"/>
      <c r="AD262" s="304"/>
    </row>
    <row r="263" spans="1:30" ht="14.25">
      <c r="A263" s="1125"/>
      <c r="B263" s="681"/>
      <c r="C263" s="681"/>
    </row>
    <row r="264" spans="1:30" ht="12.75">
      <c r="A264" s="1078"/>
      <c r="B264" s="1201" t="s">
        <v>1336</v>
      </c>
      <c r="C264" s="1082" t="s">
        <v>10</v>
      </c>
      <c r="D264" s="1180" t="s">
        <v>1297</v>
      </c>
    </row>
    <row r="265" spans="1:30" ht="14.25">
      <c r="A265" s="132" t="s">
        <v>1307</v>
      </c>
      <c r="B265" s="1167" t="s">
        <v>1287</v>
      </c>
      <c r="C265" s="1153" t="s">
        <v>1295</v>
      </c>
    </row>
    <row r="266" spans="1:30" ht="12.75">
      <c r="A266" s="365"/>
      <c r="B266" s="1201" t="s">
        <v>1337</v>
      </c>
      <c r="C266" s="1153"/>
    </row>
    <row r="267" spans="1:30" ht="12.75">
      <c r="A267" s="132" t="s">
        <v>1307</v>
      </c>
      <c r="B267" s="1176" t="s">
        <v>1282</v>
      </c>
      <c r="C267" s="1154" t="s">
        <v>1295</v>
      </c>
    </row>
    <row r="268" spans="1:30" ht="12.75">
      <c r="A268" s="234"/>
      <c r="B268" s="1126"/>
      <c r="C268" s="235"/>
    </row>
    <row r="269" spans="1:30" ht="12.75">
      <c r="A269" s="14"/>
      <c r="B269" s="207"/>
      <c r="C269" s="1025"/>
    </row>
    <row r="270" spans="1:30" ht="12.75">
      <c r="A270" s="14"/>
      <c r="B270" s="207"/>
      <c r="C270" s="1025"/>
    </row>
    <row r="271" spans="1:30" ht="12.75">
      <c r="A271" s="14"/>
      <c r="B271" s="207"/>
      <c r="C271" s="1025"/>
    </row>
    <row r="272" spans="1:30" ht="12.75">
      <c r="A272" s="139" t="s">
        <v>5</v>
      </c>
      <c r="B272" s="684" t="s">
        <v>1195</v>
      </c>
      <c r="C272" s="686" t="s">
        <v>10</v>
      </c>
      <c r="D272" s="1180" t="s">
        <v>1297</v>
      </c>
      <c r="E272" s="1197" t="s">
        <v>1338</v>
      </c>
    </row>
    <row r="273" spans="1:16" ht="12.75">
      <c r="A273" s="132" t="s">
        <v>1307</v>
      </c>
      <c r="B273" s="1156" t="s">
        <v>1288</v>
      </c>
      <c r="C273" s="534" t="s">
        <v>1237</v>
      </c>
    </row>
    <row r="274" spans="1:16" ht="12.75">
      <c r="A274" s="251" t="s">
        <v>1304</v>
      </c>
      <c r="B274" s="639" t="s">
        <v>1322</v>
      </c>
      <c r="C274" s="1136" t="s">
        <v>1295</v>
      </c>
    </row>
    <row r="275" spans="1:16" ht="12.75">
      <c r="A275" s="100"/>
      <c r="B275" s="284"/>
      <c r="C275" s="1147"/>
    </row>
    <row r="276" spans="1:16" ht="12.75">
      <c r="A276" s="14"/>
      <c r="B276" s="207"/>
      <c r="C276" s="1025"/>
    </row>
    <row r="277" spans="1:16" ht="12.75">
      <c r="A277" s="14"/>
      <c r="B277" s="207"/>
      <c r="C277" s="1025"/>
    </row>
    <row r="278" spans="1:16" ht="12.75">
      <c r="A278" s="139" t="s">
        <v>5</v>
      </c>
      <c r="B278" s="191" t="s">
        <v>861</v>
      </c>
      <c r="C278" s="514" t="s">
        <v>10</v>
      </c>
      <c r="D278" s="1180" t="s">
        <v>1297</v>
      </c>
      <c r="E278" s="1197">
        <v>619</v>
      </c>
    </row>
    <row r="279" spans="1:16" ht="12.75">
      <c r="A279" s="132" t="s">
        <v>1307</v>
      </c>
      <c r="B279" s="283" t="s">
        <v>1289</v>
      </c>
      <c r="C279" s="51" t="s">
        <v>18</v>
      </c>
    </row>
    <row r="280" spans="1:16" ht="12.75">
      <c r="A280" s="251" t="s">
        <v>1304</v>
      </c>
      <c r="B280" s="481"/>
      <c r="C280" s="454"/>
    </row>
    <row r="281" spans="1:16" ht="12.75">
      <c r="A281" s="269"/>
      <c r="B281" s="342" t="s">
        <v>1239</v>
      </c>
      <c r="C281" s="51"/>
      <c r="D281" s="1180" t="s">
        <v>1297</v>
      </c>
      <c r="E281" s="1198" t="s">
        <v>1339</v>
      </c>
      <c r="F281" s="681"/>
      <c r="G281" s="681"/>
      <c r="H281" s="681"/>
      <c r="I281" s="681"/>
      <c r="J281" s="681"/>
      <c r="K281" s="681"/>
      <c r="L281" s="681"/>
      <c r="M281" s="681"/>
      <c r="N281" s="681"/>
      <c r="O281" s="681"/>
      <c r="P281" s="681"/>
    </row>
    <row r="282" spans="1:16" ht="12.75">
      <c r="A282" s="702" t="s">
        <v>114</v>
      </c>
      <c r="B282" s="283" t="s">
        <v>1323</v>
      </c>
      <c r="C282" s="45" t="s">
        <v>1295</v>
      </c>
    </row>
    <row r="283" spans="1:16" ht="12.75">
      <c r="A283" s="251" t="s">
        <v>1304</v>
      </c>
      <c r="B283" s="283"/>
      <c r="C283" s="45"/>
    </row>
    <row r="284" spans="1:16" ht="12.75">
      <c r="A284" s="132"/>
      <c r="B284" s="4"/>
      <c r="C284" s="8"/>
    </row>
    <row r="285" spans="1:16" ht="12.75"/>
    <row r="286" spans="1:16" ht="12.75"/>
    <row r="287" spans="1:16" ht="12.75">
      <c r="A287" s="139" t="s">
        <v>5</v>
      </c>
      <c r="B287" s="1095" t="s">
        <v>1241</v>
      </c>
      <c r="C287" s="514" t="s">
        <v>10</v>
      </c>
      <c r="D287" s="1180" t="s">
        <v>1297</v>
      </c>
      <c r="E287" s="1199" t="s">
        <v>1340</v>
      </c>
    </row>
    <row r="288" spans="1:16" ht="12.75">
      <c r="A288" s="144" t="s">
        <v>114</v>
      </c>
      <c r="B288" s="1128" t="s">
        <v>1258</v>
      </c>
      <c r="C288" s="234" t="s">
        <v>1295</v>
      </c>
    </row>
    <row r="289" spans="1:5" ht="12.75">
      <c r="A289" s="251" t="s">
        <v>1304</v>
      </c>
      <c r="B289" s="1131"/>
      <c r="C289" s="154"/>
    </row>
    <row r="290" spans="1:5" ht="12.75">
      <c r="A290" s="500"/>
      <c r="B290" s="584"/>
      <c r="C290" s="234"/>
    </row>
    <row r="291" spans="1:5" ht="12.75"/>
    <row r="292" spans="1:5" ht="12.75"/>
    <row r="293" spans="1:5" ht="12.75">
      <c r="A293" s="139" t="s">
        <v>5</v>
      </c>
      <c r="B293" s="1095" t="s">
        <v>1242</v>
      </c>
      <c r="C293" s="514" t="s">
        <v>10</v>
      </c>
      <c r="D293" s="1180" t="s">
        <v>1297</v>
      </c>
      <c r="E293" s="1199" t="s">
        <v>1341</v>
      </c>
    </row>
    <row r="294" spans="1:5" ht="12.75">
      <c r="A294" s="144" t="s">
        <v>114</v>
      </c>
      <c r="B294" s="1128" t="s">
        <v>1243</v>
      </c>
      <c r="C294" s="234"/>
    </row>
    <row r="295" spans="1:5" ht="12.75">
      <c r="A295" s="251" t="s">
        <v>1304</v>
      </c>
      <c r="B295" s="1131"/>
      <c r="C295" s="154"/>
    </row>
    <row r="296" spans="1:5" ht="12.75">
      <c r="A296" s="500"/>
      <c r="B296" s="584"/>
      <c r="C296" s="234"/>
    </row>
    <row r="297" spans="1:5" ht="12.75"/>
    <row r="298" spans="1:5" ht="12.75"/>
    <row r="299" spans="1:5" ht="12.75"/>
    <row r="300" spans="1:5" ht="25.5">
      <c r="A300" s="139" t="s">
        <v>5</v>
      </c>
      <c r="B300" s="1095" t="s">
        <v>1244</v>
      </c>
      <c r="C300" s="514" t="s">
        <v>10</v>
      </c>
      <c r="D300" s="1180" t="s">
        <v>1297</v>
      </c>
      <c r="E300" s="1197">
        <v>587</v>
      </c>
    </row>
    <row r="301" spans="1:5" ht="12.75">
      <c r="A301" s="144" t="s">
        <v>114</v>
      </c>
      <c r="B301" s="1128" t="s">
        <v>219</v>
      </c>
      <c r="C301" s="234" t="s">
        <v>1200</v>
      </c>
    </row>
    <row r="302" spans="1:5" ht="12.75">
      <c r="A302" s="251" t="s">
        <v>1304</v>
      </c>
      <c r="B302" s="584"/>
      <c r="C302" s="234"/>
    </row>
    <row r="303" spans="1:5" ht="12.75"/>
    <row r="304" spans="1:5" ht="12.75"/>
    <row r="305" spans="1:5" ht="12.75"/>
    <row r="306" spans="1:5" ht="12.75">
      <c r="A306" s="139" t="s">
        <v>5</v>
      </c>
      <c r="B306" s="1095" t="s">
        <v>1245</v>
      </c>
      <c r="C306" s="514" t="s">
        <v>10</v>
      </c>
      <c r="D306" s="1180" t="s">
        <v>1297</v>
      </c>
      <c r="E306" s="1199" t="s">
        <v>1342</v>
      </c>
    </row>
    <row r="307" spans="1:5" ht="12.75">
      <c r="A307" s="702" t="s">
        <v>114</v>
      </c>
      <c r="B307" s="1176" t="s">
        <v>1282</v>
      </c>
      <c r="C307" s="854" t="s">
        <v>1295</v>
      </c>
    </row>
    <row r="308" spans="1:5" ht="12.75">
      <c r="A308" s="251" t="s">
        <v>1304</v>
      </c>
      <c r="B308" s="1128" t="s">
        <v>1347</v>
      </c>
      <c r="C308" s="854" t="s">
        <v>1295</v>
      </c>
    </row>
    <row r="309" spans="1:5" ht="12.75">
      <c r="A309" s="583"/>
      <c r="B309" s="584"/>
      <c r="C309" s="235"/>
    </row>
    <row r="310" spans="1:5" ht="12.75">
      <c r="A310" s="1168"/>
      <c r="B310" s="926"/>
    </row>
    <row r="311" spans="1:5" ht="12.75"/>
    <row r="312" spans="1:5" ht="12.75"/>
    <row r="313" spans="1:5" ht="12.75">
      <c r="A313" s="139" t="s">
        <v>5</v>
      </c>
      <c r="B313" s="1169" t="s">
        <v>1268</v>
      </c>
      <c r="C313" s="514" t="s">
        <v>10</v>
      </c>
      <c r="D313" s="1180" t="s">
        <v>1297</v>
      </c>
      <c r="E313" s="1197" t="s">
        <v>1343</v>
      </c>
    </row>
    <row r="314" spans="1:5" ht="12.75">
      <c r="A314" s="132" t="s">
        <v>114</v>
      </c>
      <c r="B314" s="1128" t="s">
        <v>1248</v>
      </c>
      <c r="C314" s="854" t="s">
        <v>1296</v>
      </c>
    </row>
    <row r="315" spans="1:5" ht="12.75">
      <c r="A315" s="251" t="s">
        <v>1304</v>
      </c>
      <c r="B315" s="234" t="s">
        <v>1203</v>
      </c>
      <c r="C315" s="854" t="s">
        <v>1247</v>
      </c>
    </row>
    <row r="316" spans="1:5" ht="12.75">
      <c r="A316" s="17"/>
      <c r="B316" s="1"/>
    </row>
    <row r="317" spans="1:5" ht="12.75">
      <c r="A317" s="926"/>
      <c r="B317" s="926"/>
      <c r="C317" s="926"/>
    </row>
    <row r="318" spans="1:5" ht="12.75">
      <c r="A318" s="926"/>
      <c r="B318" s="926"/>
    </row>
    <row r="319" spans="1:5" ht="12.75">
      <c r="A319" s="139" t="s">
        <v>5</v>
      </c>
      <c r="B319" s="1095" t="s">
        <v>1249</v>
      </c>
      <c r="C319" s="514" t="s">
        <v>10</v>
      </c>
      <c r="D319" s="1180" t="s">
        <v>1297</v>
      </c>
      <c r="E319" s="1197">
        <v>808</v>
      </c>
    </row>
    <row r="320" spans="1:5" ht="12.75">
      <c r="A320" s="132" t="s">
        <v>114</v>
      </c>
      <c r="B320" s="1128" t="s">
        <v>1290</v>
      </c>
      <c r="C320" s="854"/>
    </row>
    <row r="321" spans="1:5" ht="12.75">
      <c r="A321" s="251" t="s">
        <v>1304</v>
      </c>
      <c r="B321" s="234" t="s">
        <v>1290</v>
      </c>
      <c r="C321" s="854"/>
    </row>
    <row r="322" spans="1:5" ht="12.75">
      <c r="A322" s="500" t="s">
        <v>119</v>
      </c>
      <c r="B322" s="234"/>
      <c r="C322" s="235"/>
    </row>
    <row r="323" spans="1:5" ht="12.75">
      <c r="A323" s="17"/>
      <c r="B323" s="1"/>
    </row>
    <row r="324" spans="1:5" ht="12.75">
      <c r="A324" s="926"/>
      <c r="B324" s="926"/>
    </row>
    <row r="325" spans="1:5" ht="12.75">
      <c r="A325" s="926"/>
      <c r="B325" s="926"/>
    </row>
    <row r="326" spans="1:5" ht="12.75">
      <c r="A326" s="926"/>
      <c r="B326" s="926"/>
    </row>
    <row r="327" spans="1:5" ht="12.75">
      <c r="A327" s="139" t="s">
        <v>5</v>
      </c>
      <c r="B327" s="1095" t="s">
        <v>1344</v>
      </c>
      <c r="C327" s="514" t="s">
        <v>10</v>
      </c>
      <c r="D327" s="1180" t="s">
        <v>1297</v>
      </c>
      <c r="E327" s="1197" t="s">
        <v>1345</v>
      </c>
    </row>
    <row r="328" spans="1:5" ht="12.75">
      <c r="A328" s="132" t="s">
        <v>114</v>
      </c>
      <c r="B328" s="1128" t="s">
        <v>1191</v>
      </c>
      <c r="C328" s="854" t="s">
        <v>1295</v>
      </c>
    </row>
    <row r="329" spans="1:5" ht="12.75">
      <c r="A329" s="251" t="s">
        <v>1304</v>
      </c>
      <c r="B329" s="1128" t="s">
        <v>1288</v>
      </c>
      <c r="C329" s="854" t="s">
        <v>1295</v>
      </c>
    </row>
    <row r="330" spans="1:5" ht="12.75">
      <c r="A330" s="144"/>
      <c r="B330" s="584"/>
      <c r="C330" s="235"/>
    </row>
    <row r="331" spans="1:5" ht="12.75"/>
    <row r="332" spans="1:5" ht="12.75"/>
    <row r="333" spans="1:5" ht="12.75"/>
    <row r="334" spans="1:5" ht="12.75">
      <c r="A334" s="139" t="s">
        <v>5</v>
      </c>
      <c r="B334" s="1158" t="s">
        <v>323</v>
      </c>
      <c r="C334" s="514" t="s">
        <v>10</v>
      </c>
      <c r="D334" s="1180" t="s">
        <v>1297</v>
      </c>
      <c r="E334" s="1197">
        <v>16</v>
      </c>
    </row>
    <row r="335" spans="1:5" ht="12.75">
      <c r="A335" s="132" t="s">
        <v>114</v>
      </c>
      <c r="B335" s="253" t="s">
        <v>1291</v>
      </c>
      <c r="C335" s="1159" t="s">
        <v>1240</v>
      </c>
    </row>
    <row r="336" spans="1:5" ht="12.75">
      <c r="A336" s="251" t="s">
        <v>1304</v>
      </c>
      <c r="B336" s="253"/>
      <c r="C336" s="492"/>
    </row>
    <row r="337" spans="1:30" ht="12.75">
      <c r="A337" s="251"/>
      <c r="B337" s="283"/>
      <c r="C337" s="8"/>
    </row>
    <row r="338" spans="1:30" ht="12.75">
      <c r="B338" s="1160" t="s">
        <v>1208</v>
      </c>
    </row>
    <row r="339" spans="1:30" ht="12.75"/>
    <row r="340" spans="1:30" ht="12.75">
      <c r="A340" s="219" t="s">
        <v>5</v>
      </c>
      <c r="B340" s="342" t="s">
        <v>325</v>
      </c>
      <c r="C340" s="129" t="s">
        <v>10</v>
      </c>
      <c r="D340" s="1180" t="s">
        <v>1297</v>
      </c>
      <c r="E340" s="1197">
        <v>13</v>
      </c>
    </row>
    <row r="341" spans="1:30" ht="12.75">
      <c r="A341" s="132" t="s">
        <v>114</v>
      </c>
      <c r="B341" s="453" t="s">
        <v>1256</v>
      </c>
      <c r="C341" s="455" t="s">
        <v>148</v>
      </c>
    </row>
    <row r="342" spans="1:30" ht="12.75">
      <c r="A342" s="251" t="s">
        <v>1304</v>
      </c>
      <c r="B342" s="453" t="s">
        <v>1256</v>
      </c>
      <c r="C342" s="153" t="s">
        <v>148</v>
      </c>
    </row>
    <row r="343" spans="1:30" ht="12.75">
      <c r="A343" s="132"/>
      <c r="B343" s="29"/>
      <c r="C343" s="8"/>
    </row>
    <row r="344" spans="1:30" ht="12.75"/>
    <row r="345" spans="1:30" ht="12.75">
      <c r="B345" s="681"/>
    </row>
    <row r="346" spans="1:30" ht="12.75">
      <c r="A346" s="219" t="s">
        <v>5</v>
      </c>
      <c r="B346" s="191" t="s">
        <v>1250</v>
      </c>
      <c r="C346" s="129" t="s">
        <v>10</v>
      </c>
      <c r="D346" s="1180" t="s">
        <v>1297</v>
      </c>
      <c r="E346" s="1197">
        <v>19</v>
      </c>
    </row>
    <row r="347" spans="1:30" ht="12.75">
      <c r="A347" s="132" t="s">
        <v>114</v>
      </c>
      <c r="B347" s="453" t="s">
        <v>1292</v>
      </c>
      <c r="C347" s="1159" t="s">
        <v>148</v>
      </c>
    </row>
    <row r="348" spans="1:30" ht="12.75">
      <c r="A348" s="251" t="s">
        <v>1304</v>
      </c>
      <c r="B348" s="224" t="s">
        <v>1269</v>
      </c>
      <c r="C348" s="1161" t="s">
        <v>1209</v>
      </c>
    </row>
    <row r="349" spans="1:30" ht="12.75">
      <c r="A349" s="1170"/>
      <c r="B349" s="584"/>
      <c r="C349" s="234"/>
    </row>
    <row r="350" spans="1:30" ht="12.75">
      <c r="B350" s="266"/>
      <c r="Q350" s="681"/>
      <c r="R350" s="681"/>
      <c r="S350" s="681"/>
      <c r="T350" s="681"/>
      <c r="U350" s="681"/>
      <c r="V350" s="681"/>
      <c r="W350" s="681"/>
      <c r="X350" s="681"/>
      <c r="Y350" s="681"/>
      <c r="Z350" s="681"/>
      <c r="AA350" s="681"/>
      <c r="AB350" s="681"/>
      <c r="AC350" s="681"/>
      <c r="AD350" s="681"/>
    </row>
    <row r="351" spans="1:30" ht="12.75">
      <c r="A351" s="219" t="s">
        <v>5</v>
      </c>
      <c r="B351" s="191" t="s">
        <v>1251</v>
      </c>
      <c r="C351" s="129" t="s">
        <v>10</v>
      </c>
      <c r="D351" s="1180" t="s">
        <v>1297</v>
      </c>
      <c r="Q351" s="681"/>
      <c r="R351" s="681"/>
      <c r="S351" s="681"/>
      <c r="T351" s="681"/>
      <c r="U351" s="681"/>
      <c r="V351" s="681"/>
      <c r="W351" s="681"/>
      <c r="X351" s="681"/>
      <c r="Y351" s="681"/>
      <c r="Z351" s="681"/>
      <c r="AA351" s="681"/>
      <c r="AB351" s="681"/>
      <c r="AC351" s="681"/>
      <c r="AD351" s="681"/>
    </row>
    <row r="352" spans="1:30" ht="12.75">
      <c r="A352" s="132" t="s">
        <v>114</v>
      </c>
      <c r="B352" s="584" t="s">
        <v>1256</v>
      </c>
      <c r="C352" s="234" t="s">
        <v>1295</v>
      </c>
      <c r="Q352" s="681"/>
      <c r="R352" s="681"/>
      <c r="S352" s="681"/>
      <c r="T352" s="681"/>
      <c r="U352" s="681"/>
      <c r="V352" s="681"/>
      <c r="W352" s="681"/>
      <c r="X352" s="681"/>
      <c r="Y352" s="681"/>
      <c r="Z352" s="681"/>
      <c r="AA352" s="681"/>
      <c r="AB352" s="681"/>
      <c r="AC352" s="681"/>
      <c r="AD352" s="681"/>
    </row>
    <row r="353" spans="1:30" ht="12.75">
      <c r="A353" s="251" t="s">
        <v>1304</v>
      </c>
      <c r="B353" s="224" t="s">
        <v>1269</v>
      </c>
      <c r="C353" s="1161" t="s">
        <v>1209</v>
      </c>
      <c r="Q353" s="681"/>
      <c r="R353" s="681"/>
      <c r="S353" s="681"/>
      <c r="T353" s="681"/>
      <c r="U353" s="681"/>
      <c r="V353" s="681"/>
      <c r="W353" s="681"/>
      <c r="X353" s="681"/>
      <c r="Y353" s="681"/>
      <c r="Z353" s="681"/>
      <c r="AA353" s="681"/>
      <c r="AB353" s="681"/>
      <c r="AC353" s="681"/>
      <c r="AD353" s="681"/>
    </row>
    <row r="354" spans="1:30" ht="12.75">
      <c r="A354" s="1090"/>
      <c r="B354" s="1090"/>
      <c r="C354" s="1090"/>
      <c r="Q354" s="681"/>
      <c r="R354" s="681"/>
      <c r="S354" s="681"/>
      <c r="T354" s="681"/>
      <c r="U354" s="681"/>
      <c r="V354" s="681"/>
      <c r="W354" s="681"/>
      <c r="X354" s="681"/>
      <c r="Y354" s="681"/>
      <c r="Z354" s="681"/>
      <c r="AA354" s="681"/>
      <c r="AB354" s="681"/>
      <c r="AC354" s="681"/>
      <c r="AD354" s="681"/>
    </row>
    <row r="355" spans="1:30" ht="12.75">
      <c r="Q355" s="681"/>
      <c r="R355" s="681"/>
      <c r="S355" s="681"/>
      <c r="T355" s="681"/>
      <c r="U355" s="681"/>
      <c r="V355" s="681"/>
      <c r="W355" s="681"/>
      <c r="X355" s="681"/>
      <c r="Y355" s="681"/>
      <c r="Z355" s="681"/>
      <c r="AA355" s="681"/>
      <c r="AB355" s="681"/>
      <c r="AC355" s="681"/>
      <c r="AD355" s="681"/>
    </row>
    <row r="356" spans="1:30" ht="12.75">
      <c r="Q356" s="681"/>
      <c r="R356" s="681"/>
      <c r="S356" s="681"/>
      <c r="T356" s="681"/>
      <c r="U356" s="681"/>
      <c r="V356" s="681"/>
      <c r="W356" s="681"/>
      <c r="X356" s="681"/>
      <c r="Y356" s="681"/>
      <c r="Z356" s="681"/>
      <c r="AA356" s="681"/>
      <c r="AB356" s="681"/>
      <c r="AC356" s="681"/>
      <c r="AD356" s="681"/>
    </row>
    <row r="357" spans="1:30" ht="12.75">
      <c r="Q357" s="681"/>
      <c r="R357" s="681"/>
      <c r="S357" s="681"/>
      <c r="T357" s="681"/>
      <c r="U357" s="681"/>
      <c r="V357" s="681"/>
      <c r="W357" s="681"/>
      <c r="X357" s="681"/>
      <c r="Y357" s="681"/>
      <c r="Z357" s="681"/>
      <c r="AA357" s="681"/>
      <c r="AB357" s="681"/>
      <c r="AC357" s="681"/>
      <c r="AD357" s="681"/>
    </row>
    <row r="358" spans="1:30" ht="12.75">
      <c r="A358" s="219" t="s">
        <v>5</v>
      </c>
      <c r="B358" s="342" t="s">
        <v>1252</v>
      </c>
      <c r="C358" s="129" t="s">
        <v>10</v>
      </c>
      <c r="D358" s="1180" t="s">
        <v>1297</v>
      </c>
      <c r="E358" s="1197">
        <v>6</v>
      </c>
    </row>
    <row r="359" spans="1:30" ht="12.75">
      <c r="A359" s="132" t="s">
        <v>114</v>
      </c>
      <c r="B359" s="453" t="s">
        <v>1292</v>
      </c>
      <c r="C359" s="338" t="s">
        <v>1210</v>
      </c>
    </row>
    <row r="360" spans="1:30" ht="12.75">
      <c r="A360" s="251" t="s">
        <v>1304</v>
      </c>
      <c r="B360" s="283"/>
      <c r="C360" s="338"/>
    </row>
    <row r="361" spans="1:30" ht="12.75">
      <c r="A361" s="260" t="s">
        <v>1307</v>
      </c>
      <c r="B361" s="639" t="s">
        <v>1282</v>
      </c>
      <c r="C361" s="854" t="s">
        <v>1295</v>
      </c>
    </row>
    <row r="362" spans="1:30" ht="12.75">
      <c r="A362" s="500"/>
      <c r="B362" s="283"/>
      <c r="C362" s="45"/>
    </row>
    <row r="363" spans="1:30" ht="12.75">
      <c r="A363" s="33" t="s">
        <v>114</v>
      </c>
      <c r="B363" s="926"/>
    </row>
    <row r="364" spans="1:30" ht="12.75">
      <c r="A364" s="219" t="s">
        <v>5</v>
      </c>
      <c r="B364" s="342" t="s">
        <v>441</v>
      </c>
      <c r="C364" s="129" t="s">
        <v>10</v>
      </c>
      <c r="D364" s="1180" t="s">
        <v>1297</v>
      </c>
      <c r="E364" s="1197">
        <v>107</v>
      </c>
    </row>
    <row r="365" spans="1:30" ht="12.75">
      <c r="A365" s="132" t="s">
        <v>114</v>
      </c>
      <c r="B365" s="253" t="s">
        <v>1246</v>
      </c>
      <c r="C365" s="1142" t="s">
        <v>1295</v>
      </c>
      <c r="D365" s="681"/>
      <c r="E365" s="1198"/>
      <c r="F365" s="681"/>
      <c r="G365" s="681"/>
      <c r="H365" s="681"/>
      <c r="I365" s="681"/>
      <c r="J365" s="681"/>
      <c r="K365" s="681"/>
      <c r="L365" s="681"/>
      <c r="M365" s="681"/>
      <c r="N365" s="681"/>
      <c r="O365" s="681"/>
      <c r="P365" s="681"/>
      <c r="Q365" s="681"/>
      <c r="R365" s="681"/>
      <c r="S365" s="681"/>
      <c r="T365" s="681"/>
      <c r="U365" s="681"/>
      <c r="V365" s="681"/>
      <c r="W365" s="681"/>
      <c r="X365" s="681"/>
      <c r="Y365" s="681"/>
      <c r="Z365" s="681"/>
      <c r="AA365" s="681"/>
      <c r="AB365" s="681"/>
      <c r="AC365" s="681"/>
      <c r="AD365" s="681"/>
    </row>
    <row r="366" spans="1:30" ht="12.75">
      <c r="A366" s="251" t="s">
        <v>1304</v>
      </c>
      <c r="B366" s="453" t="s">
        <v>1292</v>
      </c>
      <c r="C366" s="492" t="s">
        <v>148</v>
      </c>
    </row>
    <row r="367" spans="1:30" ht="14.25">
      <c r="A367" s="132"/>
      <c r="B367" s="1127"/>
      <c r="C367" s="45"/>
    </row>
    <row r="368" spans="1:30" ht="14.25">
      <c r="A368" s="33"/>
      <c r="B368" s="1171"/>
    </row>
    <row r="369" spans="1:5" ht="12.75">
      <c r="A369" s="17"/>
      <c r="B369" s="283"/>
    </row>
    <row r="370" spans="1:5" ht="12.75">
      <c r="A370" s="219" t="s">
        <v>5</v>
      </c>
      <c r="B370" s="342" t="s">
        <v>445</v>
      </c>
      <c r="C370" s="129" t="s">
        <v>10</v>
      </c>
      <c r="D370" s="1180" t="s">
        <v>1297</v>
      </c>
      <c r="E370" s="1197">
        <v>108</v>
      </c>
    </row>
    <row r="371" spans="1:5" ht="12.75">
      <c r="A371" s="2" t="s">
        <v>114</v>
      </c>
      <c r="B371" s="253" t="s">
        <v>1293</v>
      </c>
      <c r="C371" s="1142" t="s">
        <v>1200</v>
      </c>
    </row>
    <row r="372" spans="1:5" ht="12.75">
      <c r="A372" s="452" t="s">
        <v>119</v>
      </c>
      <c r="B372" s="253" t="s">
        <v>1294</v>
      </c>
      <c r="C372" s="492" t="s">
        <v>1295</v>
      </c>
    </row>
    <row r="373" spans="1:5" ht="12.75">
      <c r="A373" s="132" t="s">
        <v>114</v>
      </c>
      <c r="B373" s="283"/>
      <c r="C373" s="45"/>
    </row>
    <row r="374" spans="1:5" ht="12.75">
      <c r="A374" s="1"/>
      <c r="B374" s="926"/>
    </row>
    <row r="375" spans="1:5" ht="12.75">
      <c r="A375" s="1"/>
      <c r="B375" s="253"/>
      <c r="C375" s="926"/>
    </row>
    <row r="376" spans="1:5" ht="12.75"/>
  </sheetData>
  <pageMargins left="0.7" right="0.7" top="0.75" bottom="0.75" header="0.3" footer="0.3"/>
  <pageSetup paperSize="9" orientation="portrait" r:id="rId1"/>
  <ignoredErrors>
    <ignoredError sqref="E53 E141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26</vt:i4>
      </vt:variant>
    </vt:vector>
  </HeadingPairs>
  <TitlesOfParts>
    <vt:vector size="26" baseType="lpstr">
      <vt:lpstr>январь</vt:lpstr>
      <vt:lpstr>февраль </vt:lpstr>
      <vt:lpstr>март</vt:lpstr>
      <vt:lpstr>апрель</vt:lpstr>
      <vt:lpstr>май</vt:lpstr>
      <vt:lpstr>Июнь </vt:lpstr>
      <vt:lpstr>Июль</vt:lpstr>
      <vt:lpstr>Август</vt:lpstr>
      <vt:lpstr>Сентябрь</vt:lpstr>
      <vt:lpstr>октябрь</vt:lpstr>
      <vt:lpstr>ноябрь</vt:lpstr>
      <vt:lpstr>ноябрь (копия)</vt:lpstr>
      <vt:lpstr>декабрь</vt:lpstr>
      <vt:lpstr>январь 2025</vt:lpstr>
      <vt:lpstr>февраль 2025</vt:lpstr>
      <vt:lpstr>март 2025</vt:lpstr>
      <vt:lpstr>апрель 2025</vt:lpstr>
      <vt:lpstr>май 2025</vt:lpstr>
      <vt:lpstr>июнь 2025</vt:lpstr>
      <vt:lpstr>июль 2025</vt:lpstr>
      <vt:lpstr>август 2025</vt:lpstr>
      <vt:lpstr>сентябрь 2025</vt:lpstr>
      <vt:lpstr>октябрь 2025</vt:lpstr>
      <vt:lpstr>ноябрь 2025</vt:lpstr>
      <vt:lpstr>декабрь 2025</vt:lpstr>
      <vt:lpstr>октябрь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2026-09-29T10:34:22Z</dcterms:modified>
</cp:coreProperties>
</file>